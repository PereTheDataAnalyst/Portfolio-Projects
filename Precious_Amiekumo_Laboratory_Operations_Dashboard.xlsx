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430ecc246ac029ec/Desktop/"/>
    </mc:Choice>
  </mc:AlternateContent>
  <xr:revisionPtr revIDLastSave="117" documentId="8_{C3EFB4A9-201B-4D04-B755-D8EF3D482926}" xr6:coauthVersionLast="47" xr6:coauthVersionMax="47" xr10:uidLastSave="{7913AA32-E11B-4FFC-8961-1B0153B71B8A}"/>
  <bookViews>
    <workbookView xWindow="-110" yWindow="-110" windowWidth="19420" windowHeight="10300" activeTab="1" xr2:uid="{3EFDC44A-9CBE-42B1-9641-E90EA866E7DA}"/>
  </bookViews>
  <sheets>
    <sheet name="Lab_Data" sheetId="2" r:id="rId1"/>
    <sheet name="Dashboard" sheetId="3" r:id="rId2"/>
    <sheet name="KPI" sheetId="4" r:id="rId3"/>
    <sheet name="Pivot Tables" sheetId="5" r:id="rId4"/>
  </sheets>
  <definedNames>
    <definedName name="ExternalData_1" localSheetId="0" hidden="1">Lab_Data!$A$1:$AI$1471</definedName>
    <definedName name="Slicer_Department">#N/A</definedName>
    <definedName name="Slicer_Lab_Status">#N/A</definedName>
    <definedName name="Slicer_Test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3" l="1"/>
  <c r="C4" i="3"/>
  <c r="A7" i="4"/>
  <c r="E4" i="3"/>
  <c r="B4" i="3"/>
  <c r="I4" i="4"/>
  <c r="G4" i="4"/>
  <c r="E4" i="4"/>
  <c r="C4" i="4"/>
  <c r="A4" i="3"/>
  <c r="A4" i="4"/>
  <c r="AO2" i="2"/>
  <c r="AO3" i="2"/>
  <c r="AO4" i="2"/>
  <c r="AO5" i="2"/>
  <c r="AO6" i="2"/>
  <c r="AO7" i="2"/>
  <c r="AO8" i="2"/>
  <c r="AO9" i="2"/>
  <c r="AO1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5" i="2"/>
  <c r="AO46" i="2"/>
  <c r="AO47" i="2"/>
  <c r="AO48" i="2"/>
  <c r="AO49" i="2"/>
  <c r="AO50" i="2"/>
  <c r="AO51" i="2"/>
  <c r="AO52" i="2"/>
  <c r="AO53" i="2"/>
  <c r="AO54" i="2"/>
  <c r="AO55" i="2"/>
  <c r="AO56" i="2"/>
  <c r="AO57" i="2"/>
  <c r="AO58" i="2"/>
  <c r="AO59" i="2"/>
  <c r="AO60" i="2"/>
  <c r="AO61" i="2"/>
  <c r="AO62" i="2"/>
  <c r="AO63" i="2"/>
  <c r="AO64" i="2"/>
  <c r="AO65" i="2"/>
  <c r="AO66" i="2"/>
  <c r="AO67" i="2"/>
  <c r="AO68" i="2"/>
  <c r="AO69" i="2"/>
  <c r="AO70" i="2"/>
  <c r="AO71" i="2"/>
  <c r="AO72" i="2"/>
  <c r="AO73" i="2"/>
  <c r="AO74" i="2"/>
  <c r="AO75" i="2"/>
  <c r="AO76" i="2"/>
  <c r="AO77" i="2"/>
  <c r="AO78" i="2"/>
  <c r="AO79" i="2"/>
  <c r="AO80" i="2"/>
  <c r="AO81" i="2"/>
  <c r="AO82" i="2"/>
  <c r="AO83" i="2"/>
  <c r="AO84" i="2"/>
  <c r="AO85" i="2"/>
  <c r="AO86" i="2"/>
  <c r="AO87" i="2"/>
  <c r="AO88" i="2"/>
  <c r="AO89" i="2"/>
  <c r="AO90" i="2"/>
  <c r="AO91" i="2"/>
  <c r="AO92" i="2"/>
  <c r="AO93" i="2"/>
  <c r="AO94" i="2"/>
  <c r="AO95" i="2"/>
  <c r="AO96" i="2"/>
  <c r="AO97" i="2"/>
  <c r="AO98" i="2"/>
  <c r="AO99" i="2"/>
  <c r="AO100" i="2"/>
  <c r="AO101" i="2"/>
  <c r="AO102" i="2"/>
  <c r="AO103" i="2"/>
  <c r="AO104" i="2"/>
  <c r="AO105" i="2"/>
  <c r="AO106" i="2"/>
  <c r="AO107" i="2"/>
  <c r="AO108" i="2"/>
  <c r="AO109" i="2"/>
  <c r="AO110" i="2"/>
  <c r="AO111" i="2"/>
  <c r="AO112" i="2"/>
  <c r="AO113" i="2"/>
  <c r="AO114" i="2"/>
  <c r="AO115" i="2"/>
  <c r="AO116" i="2"/>
  <c r="AO117" i="2"/>
  <c r="AO118" i="2"/>
  <c r="AO119" i="2"/>
  <c r="AO120" i="2"/>
  <c r="AO121" i="2"/>
  <c r="AO122" i="2"/>
  <c r="AO123" i="2"/>
  <c r="AO124" i="2"/>
  <c r="AO125" i="2"/>
  <c r="AO126" i="2"/>
  <c r="AO127" i="2"/>
  <c r="AO128" i="2"/>
  <c r="AO129" i="2"/>
  <c r="AO130" i="2"/>
  <c r="AO131" i="2"/>
  <c r="AO132" i="2"/>
  <c r="AO133" i="2"/>
  <c r="AO134" i="2"/>
  <c r="AO135" i="2"/>
  <c r="AO136" i="2"/>
  <c r="AO137" i="2"/>
  <c r="AO138" i="2"/>
  <c r="AO139" i="2"/>
  <c r="AO140" i="2"/>
  <c r="AO141" i="2"/>
  <c r="AO142" i="2"/>
  <c r="AO143" i="2"/>
  <c r="AO144" i="2"/>
  <c r="AO145" i="2"/>
  <c r="AO146" i="2"/>
  <c r="AO147" i="2"/>
  <c r="AO148" i="2"/>
  <c r="AO149" i="2"/>
  <c r="AO150" i="2"/>
  <c r="AO151" i="2"/>
  <c r="AO152" i="2"/>
  <c r="AO153" i="2"/>
  <c r="AO154" i="2"/>
  <c r="AO155" i="2"/>
  <c r="AO156" i="2"/>
  <c r="AO157" i="2"/>
  <c r="AO158" i="2"/>
  <c r="AO159" i="2"/>
  <c r="AO160" i="2"/>
  <c r="AO161" i="2"/>
  <c r="AO162" i="2"/>
  <c r="AO163" i="2"/>
  <c r="AO164" i="2"/>
  <c r="AO165" i="2"/>
  <c r="AO166" i="2"/>
  <c r="AO167" i="2"/>
  <c r="AO168" i="2"/>
  <c r="AO169" i="2"/>
  <c r="AO170" i="2"/>
  <c r="AO171" i="2"/>
  <c r="AO172" i="2"/>
  <c r="AO173" i="2"/>
  <c r="AO174" i="2"/>
  <c r="AO175" i="2"/>
  <c r="AO176" i="2"/>
  <c r="AO177" i="2"/>
  <c r="AO178" i="2"/>
  <c r="AO179" i="2"/>
  <c r="AO180" i="2"/>
  <c r="AO181" i="2"/>
  <c r="AO182" i="2"/>
  <c r="AO183" i="2"/>
  <c r="AO184" i="2"/>
  <c r="AO185" i="2"/>
  <c r="AO186" i="2"/>
  <c r="AO187" i="2"/>
  <c r="AO188" i="2"/>
  <c r="AO189" i="2"/>
  <c r="AO190" i="2"/>
  <c r="AO191" i="2"/>
  <c r="AO192" i="2"/>
  <c r="AO193" i="2"/>
  <c r="AO194" i="2"/>
  <c r="AO195" i="2"/>
  <c r="AO196" i="2"/>
  <c r="AO197" i="2"/>
  <c r="AO198" i="2"/>
  <c r="AO199" i="2"/>
  <c r="AO200" i="2"/>
  <c r="AO201" i="2"/>
  <c r="AO202" i="2"/>
  <c r="AO203" i="2"/>
  <c r="AO204" i="2"/>
  <c r="AO205" i="2"/>
  <c r="AO206" i="2"/>
  <c r="AO207" i="2"/>
  <c r="AO208" i="2"/>
  <c r="AO209" i="2"/>
  <c r="AO210" i="2"/>
  <c r="AO211" i="2"/>
  <c r="AO212" i="2"/>
  <c r="AO213" i="2"/>
  <c r="AO214" i="2"/>
  <c r="AO215" i="2"/>
  <c r="AO216" i="2"/>
  <c r="AO217" i="2"/>
  <c r="AO218" i="2"/>
  <c r="AO219" i="2"/>
  <c r="AO220" i="2"/>
  <c r="AO221" i="2"/>
  <c r="AO222" i="2"/>
  <c r="AO223" i="2"/>
  <c r="AO224" i="2"/>
  <c r="AO225" i="2"/>
  <c r="AO226" i="2"/>
  <c r="AO227" i="2"/>
  <c r="AO228" i="2"/>
  <c r="AO229" i="2"/>
  <c r="AO230" i="2"/>
  <c r="AO231" i="2"/>
  <c r="AO232" i="2"/>
  <c r="AO233" i="2"/>
  <c r="AO234" i="2"/>
  <c r="AO235" i="2"/>
  <c r="AO236" i="2"/>
  <c r="AO237" i="2"/>
  <c r="AO238" i="2"/>
  <c r="AO239" i="2"/>
  <c r="AO240" i="2"/>
  <c r="AO241" i="2"/>
  <c r="AO242" i="2"/>
  <c r="AO243" i="2"/>
  <c r="AO244" i="2"/>
  <c r="AO245" i="2"/>
  <c r="AO246" i="2"/>
  <c r="AO247" i="2"/>
  <c r="AO248" i="2"/>
  <c r="AO249" i="2"/>
  <c r="AO250" i="2"/>
  <c r="AO251" i="2"/>
  <c r="AO252" i="2"/>
  <c r="AO253" i="2"/>
  <c r="AO254" i="2"/>
  <c r="AO255" i="2"/>
  <c r="AO256" i="2"/>
  <c r="AO257" i="2"/>
  <c r="AO258" i="2"/>
  <c r="AO259" i="2"/>
  <c r="AO260" i="2"/>
  <c r="AO261" i="2"/>
  <c r="AO262" i="2"/>
  <c r="AO263" i="2"/>
  <c r="AO264" i="2"/>
  <c r="AO265" i="2"/>
  <c r="AO266" i="2"/>
  <c r="AO267" i="2"/>
  <c r="AO268" i="2"/>
  <c r="AO269" i="2"/>
  <c r="AO270" i="2"/>
  <c r="AO271" i="2"/>
  <c r="AO272" i="2"/>
  <c r="AO273" i="2"/>
  <c r="AO274" i="2"/>
  <c r="AO275" i="2"/>
  <c r="AO276" i="2"/>
  <c r="AO277" i="2"/>
  <c r="AO278" i="2"/>
  <c r="AO279" i="2"/>
  <c r="AO280" i="2"/>
  <c r="AO281" i="2"/>
  <c r="AO282" i="2"/>
  <c r="AO283" i="2"/>
  <c r="AO284" i="2"/>
  <c r="AO285" i="2"/>
  <c r="AO286" i="2"/>
  <c r="AO287" i="2"/>
  <c r="AO288" i="2"/>
  <c r="AO289" i="2"/>
  <c r="AO290" i="2"/>
  <c r="AO291" i="2"/>
  <c r="AO292" i="2"/>
  <c r="AO293" i="2"/>
  <c r="AO294" i="2"/>
  <c r="AO295" i="2"/>
  <c r="AO296" i="2"/>
  <c r="AO297" i="2"/>
  <c r="AO298" i="2"/>
  <c r="AO299" i="2"/>
  <c r="AO300" i="2"/>
  <c r="AO301" i="2"/>
  <c r="AO302" i="2"/>
  <c r="AO303" i="2"/>
  <c r="AO304" i="2"/>
  <c r="AO305" i="2"/>
  <c r="AO306" i="2"/>
  <c r="AO307" i="2"/>
  <c r="AO308" i="2"/>
  <c r="AO309" i="2"/>
  <c r="AO310" i="2"/>
  <c r="AO311" i="2"/>
  <c r="AO312" i="2"/>
  <c r="AO313" i="2"/>
  <c r="AO314" i="2"/>
  <c r="AO315" i="2"/>
  <c r="AO316" i="2"/>
  <c r="AO317" i="2"/>
  <c r="AO318" i="2"/>
  <c r="AO319" i="2"/>
  <c r="AO320" i="2"/>
  <c r="AO321" i="2"/>
  <c r="AO322" i="2"/>
  <c r="AO323" i="2"/>
  <c r="AO324" i="2"/>
  <c r="AO325" i="2"/>
  <c r="AO326" i="2"/>
  <c r="AO327" i="2"/>
  <c r="AO328" i="2"/>
  <c r="AO329" i="2"/>
  <c r="AO330" i="2"/>
  <c r="AO331" i="2"/>
  <c r="AO332" i="2"/>
  <c r="AO333" i="2"/>
  <c r="AO334" i="2"/>
  <c r="AO335" i="2"/>
  <c r="AO336" i="2"/>
  <c r="AO337" i="2"/>
  <c r="AO338" i="2"/>
  <c r="AO339" i="2"/>
  <c r="AO340" i="2"/>
  <c r="AO341" i="2"/>
  <c r="AO342" i="2"/>
  <c r="AO343" i="2"/>
  <c r="AO344" i="2"/>
  <c r="AO345" i="2"/>
  <c r="AO346" i="2"/>
  <c r="AO347" i="2"/>
  <c r="AO348" i="2"/>
  <c r="AO349" i="2"/>
  <c r="AO350" i="2"/>
  <c r="AO351" i="2"/>
  <c r="AO352" i="2"/>
  <c r="AO353" i="2"/>
  <c r="AO354" i="2"/>
  <c r="AO355" i="2"/>
  <c r="AO356" i="2"/>
  <c r="AO357" i="2"/>
  <c r="AO358" i="2"/>
  <c r="AO359" i="2"/>
  <c r="AO360" i="2"/>
  <c r="AO361" i="2"/>
  <c r="AO362" i="2"/>
  <c r="AO363" i="2"/>
  <c r="AO364" i="2"/>
  <c r="AO365" i="2"/>
  <c r="AO366" i="2"/>
  <c r="AO367" i="2"/>
  <c r="AO368" i="2"/>
  <c r="AO369" i="2"/>
  <c r="AO370" i="2"/>
  <c r="AO371" i="2"/>
  <c r="AO372" i="2"/>
  <c r="AO373" i="2"/>
  <c r="AO374" i="2"/>
  <c r="AO375" i="2"/>
  <c r="AO376" i="2"/>
  <c r="AO377" i="2"/>
  <c r="AO378" i="2"/>
  <c r="AO379" i="2"/>
  <c r="AO380" i="2"/>
  <c r="AO381" i="2"/>
  <c r="AO382" i="2"/>
  <c r="AO383" i="2"/>
  <c r="AO384" i="2"/>
  <c r="AO385" i="2"/>
  <c r="AO386" i="2"/>
  <c r="AO387" i="2"/>
  <c r="AO388" i="2"/>
  <c r="AO389" i="2"/>
  <c r="AO390" i="2"/>
  <c r="AO391" i="2"/>
  <c r="AO392" i="2"/>
  <c r="AO393" i="2"/>
  <c r="AO394" i="2"/>
  <c r="AO395" i="2"/>
  <c r="AO396" i="2"/>
  <c r="AO397" i="2"/>
  <c r="AO398" i="2"/>
  <c r="AO399" i="2"/>
  <c r="AO400" i="2"/>
  <c r="AO401" i="2"/>
  <c r="AO402" i="2"/>
  <c r="AO403" i="2"/>
  <c r="AO404" i="2"/>
  <c r="AO405" i="2"/>
  <c r="AO406" i="2"/>
  <c r="AO407" i="2"/>
  <c r="AO408" i="2"/>
  <c r="AO409" i="2"/>
  <c r="AO410" i="2"/>
  <c r="AO411" i="2"/>
  <c r="AO412" i="2"/>
  <c r="AO413" i="2"/>
  <c r="AO414" i="2"/>
  <c r="AO415" i="2"/>
  <c r="AO416" i="2"/>
  <c r="AO417" i="2"/>
  <c r="AO418" i="2"/>
  <c r="AO419" i="2"/>
  <c r="AO420" i="2"/>
  <c r="AO421" i="2"/>
  <c r="AO422" i="2"/>
  <c r="AO423" i="2"/>
  <c r="AO424" i="2"/>
  <c r="AO425" i="2"/>
  <c r="AO426" i="2"/>
  <c r="AO427" i="2"/>
  <c r="AO428" i="2"/>
  <c r="AO429" i="2"/>
  <c r="AO430" i="2"/>
  <c r="AO431" i="2"/>
  <c r="AO432" i="2"/>
  <c r="AO433" i="2"/>
  <c r="AO434" i="2"/>
  <c r="AO435" i="2"/>
  <c r="AO436" i="2"/>
  <c r="AO437" i="2"/>
  <c r="AO438" i="2"/>
  <c r="AO439" i="2"/>
  <c r="AO440" i="2"/>
  <c r="AO441" i="2"/>
  <c r="AO442" i="2"/>
  <c r="AO443" i="2"/>
  <c r="AO444" i="2"/>
  <c r="AO445" i="2"/>
  <c r="AO446" i="2"/>
  <c r="AO447" i="2"/>
  <c r="AO448" i="2"/>
  <c r="AO449" i="2"/>
  <c r="AO450" i="2"/>
  <c r="AO451" i="2"/>
  <c r="AO452" i="2"/>
  <c r="AO453" i="2"/>
  <c r="AO454" i="2"/>
  <c r="AO455" i="2"/>
  <c r="AO456" i="2"/>
  <c r="AO457" i="2"/>
  <c r="AO458" i="2"/>
  <c r="AO459" i="2"/>
  <c r="AO460" i="2"/>
  <c r="AO461" i="2"/>
  <c r="AO462" i="2"/>
  <c r="AO463" i="2"/>
  <c r="AO464" i="2"/>
  <c r="AO465" i="2"/>
  <c r="AO466" i="2"/>
  <c r="AO467" i="2"/>
  <c r="AO468" i="2"/>
  <c r="AO469" i="2"/>
  <c r="AO470" i="2"/>
  <c r="AO471" i="2"/>
  <c r="AO472" i="2"/>
  <c r="AO473" i="2"/>
  <c r="AO474" i="2"/>
  <c r="AO475" i="2"/>
  <c r="AO476" i="2"/>
  <c r="AO477" i="2"/>
  <c r="AO478" i="2"/>
  <c r="AO479" i="2"/>
  <c r="AO480" i="2"/>
  <c r="AO481" i="2"/>
  <c r="AO482" i="2"/>
  <c r="AO483" i="2"/>
  <c r="AO484" i="2"/>
  <c r="AO485" i="2"/>
  <c r="AO486" i="2"/>
  <c r="AO487" i="2"/>
  <c r="AO488" i="2"/>
  <c r="AO489" i="2"/>
  <c r="AO490" i="2"/>
  <c r="AO491" i="2"/>
  <c r="AO492" i="2"/>
  <c r="AO493" i="2"/>
  <c r="AO494" i="2"/>
  <c r="AO495" i="2"/>
  <c r="AO496" i="2"/>
  <c r="AO497" i="2"/>
  <c r="AO498" i="2"/>
  <c r="AO499" i="2"/>
  <c r="AO500" i="2"/>
  <c r="AO501" i="2"/>
  <c r="AO502" i="2"/>
  <c r="AO503" i="2"/>
  <c r="AO504" i="2"/>
  <c r="AO505" i="2"/>
  <c r="AO506" i="2"/>
  <c r="AO507" i="2"/>
  <c r="AO508" i="2"/>
  <c r="AO509" i="2"/>
  <c r="AO510" i="2"/>
  <c r="AO511" i="2"/>
  <c r="AO512" i="2"/>
  <c r="AO513" i="2"/>
  <c r="AO514" i="2"/>
  <c r="AO515" i="2"/>
  <c r="AO516" i="2"/>
  <c r="AO517" i="2"/>
  <c r="AO518" i="2"/>
  <c r="AO519" i="2"/>
  <c r="AO520" i="2"/>
  <c r="AO521" i="2"/>
  <c r="AO522" i="2"/>
  <c r="AO523" i="2"/>
  <c r="AO524" i="2"/>
  <c r="AO525" i="2"/>
  <c r="AO526" i="2"/>
  <c r="AO527" i="2"/>
  <c r="AO528" i="2"/>
  <c r="AO529" i="2"/>
  <c r="AO530" i="2"/>
  <c r="AO531" i="2"/>
  <c r="AO532" i="2"/>
  <c r="AO533" i="2"/>
  <c r="AO534" i="2"/>
  <c r="AO535" i="2"/>
  <c r="AO536" i="2"/>
  <c r="AO537" i="2"/>
  <c r="AO538" i="2"/>
  <c r="AO539" i="2"/>
  <c r="AO540" i="2"/>
  <c r="AO541" i="2"/>
  <c r="AO542" i="2"/>
  <c r="AO543" i="2"/>
  <c r="AO544" i="2"/>
  <c r="AO545" i="2"/>
  <c r="AO546" i="2"/>
  <c r="AO547" i="2"/>
  <c r="AO548" i="2"/>
  <c r="AO549" i="2"/>
  <c r="AO550" i="2"/>
  <c r="AO551" i="2"/>
  <c r="AO552" i="2"/>
  <c r="AO553" i="2"/>
  <c r="AO554" i="2"/>
  <c r="AO555" i="2"/>
  <c r="AO556" i="2"/>
  <c r="AO557" i="2"/>
  <c r="AO558" i="2"/>
  <c r="AO559" i="2"/>
  <c r="AO560" i="2"/>
  <c r="AO561" i="2"/>
  <c r="AO562" i="2"/>
  <c r="AO563" i="2"/>
  <c r="AO564" i="2"/>
  <c r="AO565" i="2"/>
  <c r="AO566" i="2"/>
  <c r="AO567" i="2"/>
  <c r="AO568" i="2"/>
  <c r="AO569" i="2"/>
  <c r="AO570" i="2"/>
  <c r="AO571" i="2"/>
  <c r="AO572" i="2"/>
  <c r="AO573" i="2"/>
  <c r="AO574" i="2"/>
  <c r="AO575" i="2"/>
  <c r="AO576" i="2"/>
  <c r="AO577" i="2"/>
  <c r="AO578" i="2"/>
  <c r="AO579" i="2"/>
  <c r="AO580" i="2"/>
  <c r="AO581" i="2"/>
  <c r="AO582" i="2"/>
  <c r="AO583" i="2"/>
  <c r="AO584" i="2"/>
  <c r="AO585" i="2"/>
  <c r="AO586" i="2"/>
  <c r="AO587" i="2"/>
  <c r="AO588" i="2"/>
  <c r="AO589" i="2"/>
  <c r="AO590" i="2"/>
  <c r="AO591" i="2"/>
  <c r="AO592" i="2"/>
  <c r="AO593" i="2"/>
  <c r="AO594" i="2"/>
  <c r="AO595" i="2"/>
  <c r="AO596" i="2"/>
  <c r="AO597" i="2"/>
  <c r="AO598" i="2"/>
  <c r="AO599" i="2"/>
  <c r="AO600" i="2"/>
  <c r="AO601" i="2"/>
  <c r="AO602" i="2"/>
  <c r="AO603" i="2"/>
  <c r="AO604" i="2"/>
  <c r="AO605" i="2"/>
  <c r="AO606" i="2"/>
  <c r="AO607" i="2"/>
  <c r="AO608" i="2"/>
  <c r="AO609" i="2"/>
  <c r="AO610" i="2"/>
  <c r="AO611" i="2"/>
  <c r="AO612" i="2"/>
  <c r="AO613" i="2"/>
  <c r="AO614" i="2"/>
  <c r="AO615" i="2"/>
  <c r="AO616" i="2"/>
  <c r="AO617" i="2"/>
  <c r="AO618" i="2"/>
  <c r="AO619" i="2"/>
  <c r="AO620" i="2"/>
  <c r="AO621" i="2"/>
  <c r="AO622" i="2"/>
  <c r="AO623" i="2"/>
  <c r="AO624" i="2"/>
  <c r="AO625" i="2"/>
  <c r="AO626" i="2"/>
  <c r="AO627" i="2"/>
  <c r="AO628" i="2"/>
  <c r="AO629" i="2"/>
  <c r="AO630" i="2"/>
  <c r="AO631" i="2"/>
  <c r="AO632" i="2"/>
  <c r="AO633" i="2"/>
  <c r="AO634" i="2"/>
  <c r="AO635" i="2"/>
  <c r="AO636" i="2"/>
  <c r="AO637" i="2"/>
  <c r="AO638" i="2"/>
  <c r="AO639" i="2"/>
  <c r="AO640" i="2"/>
  <c r="AO641" i="2"/>
  <c r="AO642" i="2"/>
  <c r="AO643" i="2"/>
  <c r="AO644" i="2"/>
  <c r="AO645" i="2"/>
  <c r="AO646" i="2"/>
  <c r="AO647" i="2"/>
  <c r="AO648" i="2"/>
  <c r="AO649" i="2"/>
  <c r="AO650" i="2"/>
  <c r="AO651" i="2"/>
  <c r="AO652" i="2"/>
  <c r="AO653" i="2"/>
  <c r="AO654" i="2"/>
  <c r="AO655" i="2"/>
  <c r="AO656" i="2"/>
  <c r="AO657" i="2"/>
  <c r="AO658" i="2"/>
  <c r="AO659" i="2"/>
  <c r="AO660" i="2"/>
  <c r="AO661" i="2"/>
  <c r="AO662" i="2"/>
  <c r="AO663" i="2"/>
  <c r="AO664" i="2"/>
  <c r="AO665" i="2"/>
  <c r="AO666" i="2"/>
  <c r="AO667" i="2"/>
  <c r="AO668" i="2"/>
  <c r="AO669" i="2"/>
  <c r="AO670" i="2"/>
  <c r="AO671" i="2"/>
  <c r="AO672" i="2"/>
  <c r="AO673" i="2"/>
  <c r="AO674" i="2"/>
  <c r="AO675" i="2"/>
  <c r="AO676" i="2"/>
  <c r="AO677" i="2"/>
  <c r="AO678" i="2"/>
  <c r="AO679" i="2"/>
  <c r="AO680" i="2"/>
  <c r="AO681" i="2"/>
  <c r="AO682" i="2"/>
  <c r="AO683" i="2"/>
  <c r="AO684" i="2"/>
  <c r="AO685" i="2"/>
  <c r="AO686" i="2"/>
  <c r="AO687" i="2"/>
  <c r="AO688" i="2"/>
  <c r="AO689" i="2"/>
  <c r="AO690" i="2"/>
  <c r="AO691" i="2"/>
  <c r="AO692" i="2"/>
  <c r="AO693" i="2"/>
  <c r="AO694" i="2"/>
  <c r="AO695" i="2"/>
  <c r="AO696" i="2"/>
  <c r="AO697" i="2"/>
  <c r="AO698" i="2"/>
  <c r="AO699" i="2"/>
  <c r="AO700" i="2"/>
  <c r="AO701" i="2"/>
  <c r="AO702" i="2"/>
  <c r="AO703" i="2"/>
  <c r="AO704" i="2"/>
  <c r="AO705" i="2"/>
  <c r="AO706" i="2"/>
  <c r="AO707" i="2"/>
  <c r="AO708" i="2"/>
  <c r="AO709" i="2"/>
  <c r="AO710" i="2"/>
  <c r="AO711" i="2"/>
  <c r="AO712" i="2"/>
  <c r="AO713" i="2"/>
  <c r="AO714" i="2"/>
  <c r="AO715" i="2"/>
  <c r="AO716" i="2"/>
  <c r="AO717" i="2"/>
  <c r="AO718" i="2"/>
  <c r="AO719" i="2"/>
  <c r="AO720" i="2"/>
  <c r="AO721" i="2"/>
  <c r="AO722" i="2"/>
  <c r="AO723" i="2"/>
  <c r="AO724" i="2"/>
  <c r="AO725" i="2"/>
  <c r="AO726" i="2"/>
  <c r="AO727" i="2"/>
  <c r="AO728" i="2"/>
  <c r="AO729" i="2"/>
  <c r="AO730" i="2"/>
  <c r="AO731" i="2"/>
  <c r="AO732" i="2"/>
  <c r="AO733" i="2"/>
  <c r="AO734" i="2"/>
  <c r="AO735" i="2"/>
  <c r="AO736" i="2"/>
  <c r="AO737" i="2"/>
  <c r="AO738" i="2"/>
  <c r="AO739" i="2"/>
  <c r="AO740" i="2"/>
  <c r="AO741" i="2"/>
  <c r="AO742" i="2"/>
  <c r="AO743" i="2"/>
  <c r="AO744" i="2"/>
  <c r="AO745" i="2"/>
  <c r="AO746" i="2"/>
  <c r="AO747" i="2"/>
  <c r="AO748" i="2"/>
  <c r="AO749" i="2"/>
  <c r="AO750" i="2"/>
  <c r="AO751" i="2"/>
  <c r="AO752" i="2"/>
  <c r="AO753" i="2"/>
  <c r="AO754" i="2"/>
  <c r="AO755" i="2"/>
  <c r="AO756" i="2"/>
  <c r="AO757" i="2"/>
  <c r="AO758" i="2"/>
  <c r="AO759" i="2"/>
  <c r="AO760" i="2"/>
  <c r="AO761" i="2"/>
  <c r="AO762" i="2"/>
  <c r="AO763" i="2"/>
  <c r="AO764" i="2"/>
  <c r="AO765" i="2"/>
  <c r="AO766" i="2"/>
  <c r="AO767" i="2"/>
  <c r="AO768" i="2"/>
  <c r="AO769" i="2"/>
  <c r="AO770" i="2"/>
  <c r="AO771" i="2"/>
  <c r="AO772" i="2"/>
  <c r="AO773" i="2"/>
  <c r="AO774" i="2"/>
  <c r="AO775" i="2"/>
  <c r="AO776" i="2"/>
  <c r="AO777" i="2"/>
  <c r="AO778" i="2"/>
  <c r="AO779" i="2"/>
  <c r="AO780" i="2"/>
  <c r="AO781" i="2"/>
  <c r="AO782" i="2"/>
  <c r="AO783" i="2"/>
  <c r="AO784" i="2"/>
  <c r="AO785" i="2"/>
  <c r="AO786" i="2"/>
  <c r="AO787" i="2"/>
  <c r="AO788" i="2"/>
  <c r="AO789" i="2"/>
  <c r="AO790" i="2"/>
  <c r="AO791" i="2"/>
  <c r="AO792" i="2"/>
  <c r="AO793" i="2"/>
  <c r="AO794" i="2"/>
  <c r="AO795" i="2"/>
  <c r="AO796" i="2"/>
  <c r="AO797" i="2"/>
  <c r="AO798" i="2"/>
  <c r="AO799" i="2"/>
  <c r="AO800" i="2"/>
  <c r="AO801" i="2"/>
  <c r="AO802" i="2"/>
  <c r="AO803" i="2"/>
  <c r="AO804" i="2"/>
  <c r="AO805" i="2"/>
  <c r="AO806" i="2"/>
  <c r="AO807" i="2"/>
  <c r="AO808" i="2"/>
  <c r="AO809" i="2"/>
  <c r="AO810" i="2"/>
  <c r="AO811" i="2"/>
  <c r="AO812" i="2"/>
  <c r="AO813" i="2"/>
  <c r="AO814" i="2"/>
  <c r="AO815" i="2"/>
  <c r="AO816" i="2"/>
  <c r="AO817" i="2"/>
  <c r="AO818" i="2"/>
  <c r="AO819" i="2"/>
  <c r="AO820" i="2"/>
  <c r="AO821" i="2"/>
  <c r="AO822" i="2"/>
  <c r="AO823" i="2"/>
  <c r="AO824" i="2"/>
  <c r="AO825" i="2"/>
  <c r="AO826" i="2"/>
  <c r="AO827" i="2"/>
  <c r="AO828" i="2"/>
  <c r="AO829" i="2"/>
  <c r="AO830" i="2"/>
  <c r="AO831" i="2"/>
  <c r="AO832" i="2"/>
  <c r="AO833" i="2"/>
  <c r="AO834" i="2"/>
  <c r="AO835" i="2"/>
  <c r="AO836" i="2"/>
  <c r="AO837" i="2"/>
  <c r="AO838" i="2"/>
  <c r="AO839" i="2"/>
  <c r="AO840" i="2"/>
  <c r="AO841" i="2"/>
  <c r="AO842" i="2"/>
  <c r="AO843" i="2"/>
  <c r="AO844" i="2"/>
  <c r="AO845" i="2"/>
  <c r="AO846" i="2"/>
  <c r="AO847" i="2"/>
  <c r="AO848" i="2"/>
  <c r="AO849" i="2"/>
  <c r="AO850" i="2"/>
  <c r="AO851" i="2"/>
  <c r="AO852" i="2"/>
  <c r="AO853" i="2"/>
  <c r="AO854" i="2"/>
  <c r="AO855" i="2"/>
  <c r="AO856" i="2"/>
  <c r="AO857" i="2"/>
  <c r="AO858" i="2"/>
  <c r="AO859" i="2"/>
  <c r="AO860" i="2"/>
  <c r="AO861" i="2"/>
  <c r="AO862" i="2"/>
  <c r="AO863" i="2"/>
  <c r="AO864" i="2"/>
  <c r="AO865" i="2"/>
  <c r="AO866" i="2"/>
  <c r="AO867" i="2"/>
  <c r="AO868" i="2"/>
  <c r="AO869" i="2"/>
  <c r="AO870" i="2"/>
  <c r="AO871" i="2"/>
  <c r="AO872" i="2"/>
  <c r="AO873" i="2"/>
  <c r="AO874" i="2"/>
  <c r="AO875" i="2"/>
  <c r="AO876" i="2"/>
  <c r="AO877" i="2"/>
  <c r="AO878" i="2"/>
  <c r="AO879" i="2"/>
  <c r="AO880" i="2"/>
  <c r="AO881" i="2"/>
  <c r="AO882" i="2"/>
  <c r="AO883" i="2"/>
  <c r="AO884" i="2"/>
  <c r="AO885" i="2"/>
  <c r="AO886" i="2"/>
  <c r="AO887" i="2"/>
  <c r="AO888" i="2"/>
  <c r="AO889" i="2"/>
  <c r="AO890" i="2"/>
  <c r="AO891" i="2"/>
  <c r="AO892" i="2"/>
  <c r="AO893" i="2"/>
  <c r="AO894" i="2"/>
  <c r="AO895" i="2"/>
  <c r="AO896" i="2"/>
  <c r="AO897" i="2"/>
  <c r="AO898" i="2"/>
  <c r="AO899" i="2"/>
  <c r="AO900" i="2"/>
  <c r="AO901" i="2"/>
  <c r="AO902" i="2"/>
  <c r="AO903" i="2"/>
  <c r="AO904" i="2"/>
  <c r="AO905" i="2"/>
  <c r="AO906" i="2"/>
  <c r="AO907" i="2"/>
  <c r="AO908" i="2"/>
  <c r="AO909" i="2"/>
  <c r="AO910" i="2"/>
  <c r="AO911" i="2"/>
  <c r="AO912" i="2"/>
  <c r="AO913" i="2"/>
  <c r="AO914" i="2"/>
  <c r="AO915" i="2"/>
  <c r="AO916" i="2"/>
  <c r="AO917" i="2"/>
  <c r="AO918" i="2"/>
  <c r="AO919" i="2"/>
  <c r="AO920" i="2"/>
  <c r="AO921" i="2"/>
  <c r="AO922" i="2"/>
  <c r="AO923" i="2"/>
  <c r="AO924" i="2"/>
  <c r="AO925" i="2"/>
  <c r="AO926" i="2"/>
  <c r="AO927" i="2"/>
  <c r="AO928" i="2"/>
  <c r="AO929" i="2"/>
  <c r="AO930" i="2"/>
  <c r="AO931" i="2"/>
  <c r="AO932" i="2"/>
  <c r="AO933" i="2"/>
  <c r="AO934" i="2"/>
  <c r="AO935" i="2"/>
  <c r="AO936" i="2"/>
  <c r="AO937" i="2"/>
  <c r="AO938" i="2"/>
  <c r="AO939" i="2"/>
  <c r="AO940" i="2"/>
  <c r="AO941" i="2"/>
  <c r="AO942" i="2"/>
  <c r="AO943" i="2"/>
  <c r="AO944" i="2"/>
  <c r="AO945" i="2"/>
  <c r="AO946" i="2"/>
  <c r="AO947" i="2"/>
  <c r="AO948" i="2"/>
  <c r="AO949" i="2"/>
  <c r="AO950" i="2"/>
  <c r="AO951" i="2"/>
  <c r="AO952" i="2"/>
  <c r="AO953" i="2"/>
  <c r="AO954" i="2"/>
  <c r="AO955" i="2"/>
  <c r="AO956" i="2"/>
  <c r="AO957" i="2"/>
  <c r="AO958" i="2"/>
  <c r="AO959" i="2"/>
  <c r="AO960" i="2"/>
  <c r="AO961" i="2"/>
  <c r="AO962" i="2"/>
  <c r="AO963" i="2"/>
  <c r="AO964" i="2"/>
  <c r="AO965" i="2"/>
  <c r="AO966" i="2"/>
  <c r="AO967" i="2"/>
  <c r="AO968" i="2"/>
  <c r="AO969" i="2"/>
  <c r="AO970" i="2"/>
  <c r="AO971" i="2"/>
  <c r="AO972" i="2"/>
  <c r="AO973" i="2"/>
  <c r="AO974" i="2"/>
  <c r="AO975" i="2"/>
  <c r="AO976" i="2"/>
  <c r="AO977" i="2"/>
  <c r="AO978" i="2"/>
  <c r="AO979" i="2"/>
  <c r="AO980" i="2"/>
  <c r="AO981" i="2"/>
  <c r="AO982" i="2"/>
  <c r="AO983" i="2"/>
  <c r="AO984" i="2"/>
  <c r="AO985" i="2"/>
  <c r="AO986" i="2"/>
  <c r="AO987" i="2"/>
  <c r="AO988" i="2"/>
  <c r="AO989" i="2"/>
  <c r="AO990" i="2"/>
  <c r="AO991" i="2"/>
  <c r="AO992" i="2"/>
  <c r="AO993" i="2"/>
  <c r="AO994" i="2"/>
  <c r="AO995" i="2"/>
  <c r="AO996" i="2"/>
  <c r="AO997" i="2"/>
  <c r="AO998" i="2"/>
  <c r="AO999" i="2"/>
  <c r="AO1000" i="2"/>
  <c r="AO1001" i="2"/>
  <c r="AO1002" i="2"/>
  <c r="AO1003" i="2"/>
  <c r="AO1004" i="2"/>
  <c r="AO1005" i="2"/>
  <c r="AO1006" i="2"/>
  <c r="AO1007" i="2"/>
  <c r="AO1008" i="2"/>
  <c r="AO1009" i="2"/>
  <c r="AO1010" i="2"/>
  <c r="AO1011" i="2"/>
  <c r="AO1012" i="2"/>
  <c r="AO1013" i="2"/>
  <c r="AO1014" i="2"/>
  <c r="AO1015" i="2"/>
  <c r="AO1016" i="2"/>
  <c r="AO1017" i="2"/>
  <c r="AO1018" i="2"/>
  <c r="AO1019" i="2"/>
  <c r="AO1020" i="2"/>
  <c r="AO1021" i="2"/>
  <c r="AO1022" i="2"/>
  <c r="AO1023" i="2"/>
  <c r="AO1024" i="2"/>
  <c r="AO1025" i="2"/>
  <c r="AO1026" i="2"/>
  <c r="AO1027" i="2"/>
  <c r="AO1028" i="2"/>
  <c r="AO1029" i="2"/>
  <c r="AO1030" i="2"/>
  <c r="AO1031" i="2"/>
  <c r="AO1032" i="2"/>
  <c r="AO1033" i="2"/>
  <c r="AO1034" i="2"/>
  <c r="AO1035" i="2"/>
  <c r="AO1036" i="2"/>
  <c r="AO1037" i="2"/>
  <c r="AO1038" i="2"/>
  <c r="AO1039" i="2"/>
  <c r="AO1040" i="2"/>
  <c r="AO1041" i="2"/>
  <c r="AO1042" i="2"/>
  <c r="AO1043" i="2"/>
  <c r="AO1044" i="2"/>
  <c r="AO1045" i="2"/>
  <c r="AO1046" i="2"/>
  <c r="AO1047" i="2"/>
  <c r="AO1048" i="2"/>
  <c r="AO1049" i="2"/>
  <c r="AO1050" i="2"/>
  <c r="AO1051" i="2"/>
  <c r="AO1052" i="2"/>
  <c r="AO1053" i="2"/>
  <c r="AO1054" i="2"/>
  <c r="AO1055" i="2"/>
  <c r="AO1056" i="2"/>
  <c r="AO1057" i="2"/>
  <c r="AO1058" i="2"/>
  <c r="AO1059" i="2"/>
  <c r="AO1060" i="2"/>
  <c r="AO1061" i="2"/>
  <c r="AO1062" i="2"/>
  <c r="AO1063" i="2"/>
  <c r="AO1064" i="2"/>
  <c r="AO1065" i="2"/>
  <c r="AO1066" i="2"/>
  <c r="AO1067" i="2"/>
  <c r="AO1068" i="2"/>
  <c r="AO1069" i="2"/>
  <c r="AO1070" i="2"/>
  <c r="AO1071" i="2"/>
  <c r="AO1072" i="2"/>
  <c r="AO1073" i="2"/>
  <c r="AO1074" i="2"/>
  <c r="AO1075" i="2"/>
  <c r="AO1076" i="2"/>
  <c r="AO1077" i="2"/>
  <c r="AO1078" i="2"/>
  <c r="AO1079" i="2"/>
  <c r="AO1080" i="2"/>
  <c r="AO1081" i="2"/>
  <c r="AO1082" i="2"/>
  <c r="AO1083" i="2"/>
  <c r="AO1084" i="2"/>
  <c r="AO1085" i="2"/>
  <c r="AO1086" i="2"/>
  <c r="AO1087" i="2"/>
  <c r="AO1088" i="2"/>
  <c r="AO1089" i="2"/>
  <c r="AO1090" i="2"/>
  <c r="AO1091" i="2"/>
  <c r="AO1092" i="2"/>
  <c r="AO1093" i="2"/>
  <c r="AO1094" i="2"/>
  <c r="AO1095" i="2"/>
  <c r="AO1096" i="2"/>
  <c r="AO1097" i="2"/>
  <c r="AO1098" i="2"/>
  <c r="AO1099" i="2"/>
  <c r="AO1100" i="2"/>
  <c r="AO1101" i="2"/>
  <c r="AO1102" i="2"/>
  <c r="AO1103" i="2"/>
  <c r="AO1104" i="2"/>
  <c r="AO1105" i="2"/>
  <c r="AO1106" i="2"/>
  <c r="AO1107" i="2"/>
  <c r="AO1108" i="2"/>
  <c r="AO1109" i="2"/>
  <c r="AO1110" i="2"/>
  <c r="AO1111" i="2"/>
  <c r="AO1112" i="2"/>
  <c r="AO1113" i="2"/>
  <c r="AO1114" i="2"/>
  <c r="AO1115" i="2"/>
  <c r="AO1116" i="2"/>
  <c r="AO1117" i="2"/>
  <c r="AO1118" i="2"/>
  <c r="AO1119" i="2"/>
  <c r="AO1120" i="2"/>
  <c r="AO1121" i="2"/>
  <c r="AO1122" i="2"/>
  <c r="AO1123" i="2"/>
  <c r="AO1124" i="2"/>
  <c r="AO1125" i="2"/>
  <c r="AO1126" i="2"/>
  <c r="AO1127" i="2"/>
  <c r="AO1128" i="2"/>
  <c r="AO1129" i="2"/>
  <c r="AO1130" i="2"/>
  <c r="AO1131" i="2"/>
  <c r="AO1132" i="2"/>
  <c r="AO1133" i="2"/>
  <c r="AO1134" i="2"/>
  <c r="AO1135" i="2"/>
  <c r="AO1136" i="2"/>
  <c r="AO1137" i="2"/>
  <c r="AO1138" i="2"/>
  <c r="AO1139" i="2"/>
  <c r="AO1140" i="2"/>
  <c r="AO1141" i="2"/>
  <c r="AO1142" i="2"/>
  <c r="AO1143" i="2"/>
  <c r="AO1144" i="2"/>
  <c r="AO1145" i="2"/>
  <c r="AO1146" i="2"/>
  <c r="AO1147" i="2"/>
  <c r="AO1148" i="2"/>
  <c r="AO1149" i="2"/>
  <c r="AO1150" i="2"/>
  <c r="AO1151" i="2"/>
  <c r="AO1152" i="2"/>
  <c r="AO1153" i="2"/>
  <c r="AO1154" i="2"/>
  <c r="AO1155" i="2"/>
  <c r="AO1156" i="2"/>
  <c r="AO1157" i="2"/>
  <c r="AO1158" i="2"/>
  <c r="AO1159" i="2"/>
  <c r="AO1160" i="2"/>
  <c r="AO1161" i="2"/>
  <c r="AO1162" i="2"/>
  <c r="AO1163" i="2"/>
  <c r="AO1164" i="2"/>
  <c r="AO1165" i="2"/>
  <c r="AO1166" i="2"/>
  <c r="AO1167" i="2"/>
  <c r="AO1168" i="2"/>
  <c r="AO1169" i="2"/>
  <c r="AO1170" i="2"/>
  <c r="AO1171" i="2"/>
  <c r="AO1172" i="2"/>
  <c r="AO1173" i="2"/>
  <c r="AO1174" i="2"/>
  <c r="AO1175" i="2"/>
  <c r="AO1176" i="2"/>
  <c r="AO1177" i="2"/>
  <c r="AO1178" i="2"/>
  <c r="AO1179" i="2"/>
  <c r="AO1180" i="2"/>
  <c r="AO1181" i="2"/>
  <c r="AO1182" i="2"/>
  <c r="AO1183" i="2"/>
  <c r="AO1184" i="2"/>
  <c r="AO1185" i="2"/>
  <c r="AO1186" i="2"/>
  <c r="AO1187" i="2"/>
  <c r="AO1188" i="2"/>
  <c r="AO1189" i="2"/>
  <c r="AO1190" i="2"/>
  <c r="AO1191" i="2"/>
  <c r="AO1192" i="2"/>
  <c r="AO1193" i="2"/>
  <c r="AO1194" i="2"/>
  <c r="AO1195" i="2"/>
  <c r="AO1196" i="2"/>
  <c r="AO1197" i="2"/>
  <c r="AO1198" i="2"/>
  <c r="AO1199" i="2"/>
  <c r="AO1200" i="2"/>
  <c r="AO1201" i="2"/>
  <c r="AO1202" i="2"/>
  <c r="AO1203" i="2"/>
  <c r="AO1204" i="2"/>
  <c r="AO1205" i="2"/>
  <c r="AO1206" i="2"/>
  <c r="AO1207" i="2"/>
  <c r="AO1208" i="2"/>
  <c r="AO1209" i="2"/>
  <c r="AO1210" i="2"/>
  <c r="AO1211" i="2"/>
  <c r="AO1212" i="2"/>
  <c r="AO1213" i="2"/>
  <c r="AO1214" i="2"/>
  <c r="AO1215" i="2"/>
  <c r="AO1216" i="2"/>
  <c r="AO1217" i="2"/>
  <c r="AO1218" i="2"/>
  <c r="AO1219" i="2"/>
  <c r="AO1220" i="2"/>
  <c r="AO1221" i="2"/>
  <c r="AO1222" i="2"/>
  <c r="AO1223" i="2"/>
  <c r="AO1224" i="2"/>
  <c r="AO1225" i="2"/>
  <c r="AO1226" i="2"/>
  <c r="AO1227" i="2"/>
  <c r="AO1228" i="2"/>
  <c r="AO1229" i="2"/>
  <c r="AO1230" i="2"/>
  <c r="AO1231" i="2"/>
  <c r="AO1232" i="2"/>
  <c r="AO1233" i="2"/>
  <c r="AO1234" i="2"/>
  <c r="AO1235" i="2"/>
  <c r="AO1236" i="2"/>
  <c r="AO1237" i="2"/>
  <c r="AO1238" i="2"/>
  <c r="AO1239" i="2"/>
  <c r="AO1240" i="2"/>
  <c r="AO1241" i="2"/>
  <c r="AO1242" i="2"/>
  <c r="AO1243" i="2"/>
  <c r="AO1244" i="2"/>
  <c r="AO1245" i="2"/>
  <c r="AO1246" i="2"/>
  <c r="AO1247" i="2"/>
  <c r="AO1248" i="2"/>
  <c r="AO1249" i="2"/>
  <c r="AO1250" i="2"/>
  <c r="AO1251" i="2"/>
  <c r="AO1252" i="2"/>
  <c r="AO1253" i="2"/>
  <c r="AO1254" i="2"/>
  <c r="AO1255" i="2"/>
  <c r="AO1256" i="2"/>
  <c r="AO1257" i="2"/>
  <c r="AO1258" i="2"/>
  <c r="AO1259" i="2"/>
  <c r="AO1260" i="2"/>
  <c r="AO1261" i="2"/>
  <c r="AO1262" i="2"/>
  <c r="AO1263" i="2"/>
  <c r="AO1264" i="2"/>
  <c r="AO1265" i="2"/>
  <c r="AO1266" i="2"/>
  <c r="AO1267" i="2"/>
  <c r="AO1268" i="2"/>
  <c r="AO1269" i="2"/>
  <c r="AO1270" i="2"/>
  <c r="AO1271" i="2"/>
  <c r="AO1272" i="2"/>
  <c r="AO1273" i="2"/>
  <c r="AO1274" i="2"/>
  <c r="AO1275" i="2"/>
  <c r="AO1276" i="2"/>
  <c r="AO1277" i="2"/>
  <c r="AO1278" i="2"/>
  <c r="AO1279" i="2"/>
  <c r="AO1280" i="2"/>
  <c r="AO1281" i="2"/>
  <c r="AO1282" i="2"/>
  <c r="AO1283" i="2"/>
  <c r="AO1284" i="2"/>
  <c r="AO1285" i="2"/>
  <c r="AO1286" i="2"/>
  <c r="AO1287" i="2"/>
  <c r="AO1288" i="2"/>
  <c r="AO1289" i="2"/>
  <c r="AO1290" i="2"/>
  <c r="AO1291" i="2"/>
  <c r="AO1292" i="2"/>
  <c r="AO1293" i="2"/>
  <c r="AO1294" i="2"/>
  <c r="AO1295" i="2"/>
  <c r="AO1296" i="2"/>
  <c r="AO1297" i="2"/>
  <c r="AO1298" i="2"/>
  <c r="AO1299" i="2"/>
  <c r="AO1300" i="2"/>
  <c r="AO1301" i="2"/>
  <c r="AO1302" i="2"/>
  <c r="AO1303" i="2"/>
  <c r="AO1304" i="2"/>
  <c r="AO1305" i="2"/>
  <c r="AO1306" i="2"/>
  <c r="AO1307" i="2"/>
  <c r="AO1308" i="2"/>
  <c r="AO1309" i="2"/>
  <c r="AO1310" i="2"/>
  <c r="AO1311" i="2"/>
  <c r="AO1312" i="2"/>
  <c r="AO1313" i="2"/>
  <c r="AO1314" i="2"/>
  <c r="AO1315" i="2"/>
  <c r="AO1316" i="2"/>
  <c r="AO1317" i="2"/>
  <c r="AO1318" i="2"/>
  <c r="AO1319" i="2"/>
  <c r="AO1320" i="2"/>
  <c r="AO1321" i="2"/>
  <c r="AO1322" i="2"/>
  <c r="AO1323" i="2"/>
  <c r="AO1324" i="2"/>
  <c r="AO1325" i="2"/>
  <c r="AO1326" i="2"/>
  <c r="AO1327" i="2"/>
  <c r="AO1328" i="2"/>
  <c r="AO1329" i="2"/>
  <c r="AO1330" i="2"/>
  <c r="AO1331" i="2"/>
  <c r="AO1332" i="2"/>
  <c r="AO1333" i="2"/>
  <c r="AO1334" i="2"/>
  <c r="AO1335" i="2"/>
  <c r="AO1336" i="2"/>
  <c r="AO1337" i="2"/>
  <c r="AO1338" i="2"/>
  <c r="AO1339" i="2"/>
  <c r="AO1340" i="2"/>
  <c r="AO1341" i="2"/>
  <c r="AO1342" i="2"/>
  <c r="AO1343" i="2"/>
  <c r="AO1344" i="2"/>
  <c r="AO1345" i="2"/>
  <c r="AO1346" i="2"/>
  <c r="AO1347" i="2"/>
  <c r="AO1348" i="2"/>
  <c r="AO1349" i="2"/>
  <c r="AO1350" i="2"/>
  <c r="AO1351" i="2"/>
  <c r="AO1352" i="2"/>
  <c r="AO1353" i="2"/>
  <c r="AO1354" i="2"/>
  <c r="AO1355" i="2"/>
  <c r="AO1356" i="2"/>
  <c r="AO1357" i="2"/>
  <c r="AO1358" i="2"/>
  <c r="AO1359" i="2"/>
  <c r="AO1360" i="2"/>
  <c r="AO1361" i="2"/>
  <c r="AO1362" i="2"/>
  <c r="AO1363" i="2"/>
  <c r="AO1364" i="2"/>
  <c r="AO1365" i="2"/>
  <c r="AO1366" i="2"/>
  <c r="AO1367" i="2"/>
  <c r="AO1368" i="2"/>
  <c r="AO1369" i="2"/>
  <c r="AO1370" i="2"/>
  <c r="AO1371" i="2"/>
  <c r="AO1372" i="2"/>
  <c r="AO1373" i="2"/>
  <c r="AO1374" i="2"/>
  <c r="AO1375" i="2"/>
  <c r="AO1376" i="2"/>
  <c r="AO1377" i="2"/>
  <c r="AO1378" i="2"/>
  <c r="AO1379" i="2"/>
  <c r="AO1380" i="2"/>
  <c r="AO1381" i="2"/>
  <c r="AO1382" i="2"/>
  <c r="AO1383" i="2"/>
  <c r="AO1384" i="2"/>
  <c r="AO1385" i="2"/>
  <c r="AO1386" i="2"/>
  <c r="AO1387" i="2"/>
  <c r="AO1388" i="2"/>
  <c r="AO1389" i="2"/>
  <c r="AO1390" i="2"/>
  <c r="AO1391" i="2"/>
  <c r="AO1392" i="2"/>
  <c r="AO1393" i="2"/>
  <c r="AO1394" i="2"/>
  <c r="AO1395" i="2"/>
  <c r="AO1396" i="2"/>
  <c r="AO1397" i="2"/>
  <c r="AO1398" i="2"/>
  <c r="AO1399" i="2"/>
  <c r="AO1400" i="2"/>
  <c r="AO1401" i="2"/>
  <c r="AO1402" i="2"/>
  <c r="AO1403" i="2"/>
  <c r="AO1404" i="2"/>
  <c r="AO1405" i="2"/>
  <c r="AO1406" i="2"/>
  <c r="AO1407" i="2"/>
  <c r="AO1408" i="2"/>
  <c r="AO1409" i="2"/>
  <c r="AO1410" i="2"/>
  <c r="AO1411" i="2"/>
  <c r="AO1412" i="2"/>
  <c r="AO1413" i="2"/>
  <c r="AO1414" i="2"/>
  <c r="AO1415" i="2"/>
  <c r="AO1416" i="2"/>
  <c r="AO1417" i="2"/>
  <c r="AO1418" i="2"/>
  <c r="AO1419" i="2"/>
  <c r="AO1420" i="2"/>
  <c r="AO1421" i="2"/>
  <c r="AO1422" i="2"/>
  <c r="AO1423" i="2"/>
  <c r="AO1424" i="2"/>
  <c r="AO1425" i="2"/>
  <c r="AO1426" i="2"/>
  <c r="AO1427" i="2"/>
  <c r="AO1428" i="2"/>
  <c r="AO1429" i="2"/>
  <c r="AO1430" i="2"/>
  <c r="AO1431" i="2"/>
  <c r="AO1432" i="2"/>
  <c r="AO1433" i="2"/>
  <c r="AO1434" i="2"/>
  <c r="AO1435" i="2"/>
  <c r="AO1436" i="2"/>
  <c r="AO1437" i="2"/>
  <c r="AO1438" i="2"/>
  <c r="AO1439" i="2"/>
  <c r="AO1440" i="2"/>
  <c r="AO1441" i="2"/>
  <c r="AO1442" i="2"/>
  <c r="AO1443" i="2"/>
  <c r="AO1444" i="2"/>
  <c r="AO1445" i="2"/>
  <c r="AO1446" i="2"/>
  <c r="AO1447" i="2"/>
  <c r="AO1448" i="2"/>
  <c r="AO1449" i="2"/>
  <c r="AO1450" i="2"/>
  <c r="AO1451" i="2"/>
  <c r="AO1452" i="2"/>
  <c r="AO1453" i="2"/>
  <c r="AO1454" i="2"/>
  <c r="AO1455" i="2"/>
  <c r="AO1456" i="2"/>
  <c r="AO1457" i="2"/>
  <c r="AO1458" i="2"/>
  <c r="AO1459" i="2"/>
  <c r="AO1460" i="2"/>
  <c r="AO1461" i="2"/>
  <c r="AO1462" i="2"/>
  <c r="AO1463" i="2"/>
  <c r="AO1464" i="2"/>
  <c r="AO1465" i="2"/>
  <c r="AO1466" i="2"/>
  <c r="AO1467" i="2"/>
  <c r="AO1468" i="2"/>
  <c r="AO1469" i="2"/>
  <c r="AO1470" i="2"/>
  <c r="AO1471" i="2"/>
  <c r="AN2" i="2"/>
  <c r="AN3" i="2"/>
  <c r="AN4" i="2"/>
  <c r="AN5" i="2"/>
  <c r="AN6" i="2"/>
  <c r="AN7" i="2"/>
  <c r="AN8" i="2"/>
  <c r="AN9" i="2"/>
  <c r="AN10" i="2"/>
  <c r="AN11" i="2"/>
  <c r="AN12" i="2"/>
  <c r="AN13" i="2"/>
  <c r="AN14" i="2"/>
  <c r="AN15" i="2"/>
  <c r="AN16" i="2"/>
  <c r="AN17" i="2"/>
  <c r="AN18" i="2"/>
  <c r="AN19" i="2"/>
  <c r="AN20" i="2"/>
  <c r="AN21" i="2"/>
  <c r="AN22" i="2"/>
  <c r="AN23" i="2"/>
  <c r="AN24" i="2"/>
  <c r="AN25" i="2"/>
  <c r="AN26" i="2"/>
  <c r="AN27" i="2"/>
  <c r="AN28" i="2"/>
  <c r="AN29" i="2"/>
  <c r="AN30" i="2"/>
  <c r="AN31" i="2"/>
  <c r="AN32" i="2"/>
  <c r="AN33" i="2"/>
  <c r="AN34" i="2"/>
  <c r="AN35" i="2"/>
  <c r="AN36" i="2"/>
  <c r="AN37" i="2"/>
  <c r="AN38" i="2"/>
  <c r="AN39" i="2"/>
  <c r="AN40" i="2"/>
  <c r="AN41" i="2"/>
  <c r="AN42" i="2"/>
  <c r="AN43" i="2"/>
  <c r="AN44" i="2"/>
  <c r="AN45" i="2"/>
  <c r="AN46" i="2"/>
  <c r="AN47" i="2"/>
  <c r="AN48" i="2"/>
  <c r="AN49" i="2"/>
  <c r="AN50" i="2"/>
  <c r="AN51" i="2"/>
  <c r="AN52" i="2"/>
  <c r="AN53" i="2"/>
  <c r="AN54" i="2"/>
  <c r="AN55" i="2"/>
  <c r="AN56" i="2"/>
  <c r="AN57" i="2"/>
  <c r="AN58" i="2"/>
  <c r="AN59" i="2"/>
  <c r="AN60" i="2"/>
  <c r="AN61" i="2"/>
  <c r="AN62" i="2"/>
  <c r="AN63" i="2"/>
  <c r="AN64" i="2"/>
  <c r="AN65" i="2"/>
  <c r="AN66" i="2"/>
  <c r="AN67" i="2"/>
  <c r="AN68" i="2"/>
  <c r="AN69" i="2"/>
  <c r="AN70" i="2"/>
  <c r="AN71" i="2"/>
  <c r="AN72" i="2"/>
  <c r="AN73" i="2"/>
  <c r="AN74" i="2"/>
  <c r="AN75" i="2"/>
  <c r="AN76" i="2"/>
  <c r="AN77" i="2"/>
  <c r="AN78" i="2"/>
  <c r="AN79" i="2"/>
  <c r="AN80" i="2"/>
  <c r="AN81" i="2"/>
  <c r="AN82" i="2"/>
  <c r="AN83" i="2"/>
  <c r="AN84" i="2"/>
  <c r="AN85" i="2"/>
  <c r="AN86" i="2"/>
  <c r="AN87" i="2"/>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147" i="2"/>
  <c r="AN148" i="2"/>
  <c r="AN149" i="2"/>
  <c r="AN150" i="2"/>
  <c r="AN151" i="2"/>
  <c r="AN152" i="2"/>
  <c r="AN153" i="2"/>
  <c r="AN154" i="2"/>
  <c r="AN155" i="2"/>
  <c r="AN156" i="2"/>
  <c r="AN157" i="2"/>
  <c r="AN158" i="2"/>
  <c r="AN159" i="2"/>
  <c r="AN160" i="2"/>
  <c r="AN161" i="2"/>
  <c r="AN162" i="2"/>
  <c r="AN163" i="2"/>
  <c r="AN164" i="2"/>
  <c r="AN165" i="2"/>
  <c r="AN166" i="2"/>
  <c r="AN167" i="2"/>
  <c r="AN168" i="2"/>
  <c r="AN169" i="2"/>
  <c r="AN170" i="2"/>
  <c r="AN171" i="2"/>
  <c r="AN172" i="2"/>
  <c r="AN173" i="2"/>
  <c r="AN174" i="2"/>
  <c r="AN175" i="2"/>
  <c r="AN176" i="2"/>
  <c r="AN177" i="2"/>
  <c r="AN178" i="2"/>
  <c r="AN179" i="2"/>
  <c r="AN180" i="2"/>
  <c r="AN181" i="2"/>
  <c r="AN182" i="2"/>
  <c r="AN183" i="2"/>
  <c r="AN184" i="2"/>
  <c r="AN185" i="2"/>
  <c r="AN186" i="2"/>
  <c r="AN187" i="2"/>
  <c r="AN188" i="2"/>
  <c r="AN189" i="2"/>
  <c r="AN190" i="2"/>
  <c r="AN191" i="2"/>
  <c r="AN192" i="2"/>
  <c r="AN193" i="2"/>
  <c r="AN194" i="2"/>
  <c r="AN195" i="2"/>
  <c r="AN196" i="2"/>
  <c r="AN197" i="2"/>
  <c r="AN198" i="2"/>
  <c r="AN199" i="2"/>
  <c r="AN200" i="2"/>
  <c r="AN201" i="2"/>
  <c r="AN202" i="2"/>
  <c r="AN203" i="2"/>
  <c r="AN204" i="2"/>
  <c r="AN205" i="2"/>
  <c r="AN206" i="2"/>
  <c r="AN207" i="2"/>
  <c r="AN208" i="2"/>
  <c r="AN209" i="2"/>
  <c r="AN210" i="2"/>
  <c r="AN211" i="2"/>
  <c r="AN212" i="2"/>
  <c r="AN213" i="2"/>
  <c r="AN214" i="2"/>
  <c r="AN215" i="2"/>
  <c r="AN216" i="2"/>
  <c r="AN217" i="2"/>
  <c r="AN218" i="2"/>
  <c r="AN219" i="2"/>
  <c r="AN220" i="2"/>
  <c r="AN221" i="2"/>
  <c r="AN222" i="2"/>
  <c r="AN223" i="2"/>
  <c r="AN224" i="2"/>
  <c r="AN225" i="2"/>
  <c r="AN226" i="2"/>
  <c r="AN227" i="2"/>
  <c r="AN228" i="2"/>
  <c r="AN229" i="2"/>
  <c r="AN230" i="2"/>
  <c r="AN231" i="2"/>
  <c r="AN232" i="2"/>
  <c r="AN233" i="2"/>
  <c r="AN234" i="2"/>
  <c r="AN235" i="2"/>
  <c r="AN236" i="2"/>
  <c r="AN237" i="2"/>
  <c r="AN238" i="2"/>
  <c r="AN239" i="2"/>
  <c r="AN240" i="2"/>
  <c r="AN241" i="2"/>
  <c r="AN242" i="2"/>
  <c r="AN243" i="2"/>
  <c r="AN244" i="2"/>
  <c r="AN245" i="2"/>
  <c r="AN246" i="2"/>
  <c r="AN247" i="2"/>
  <c r="AN248" i="2"/>
  <c r="AN249" i="2"/>
  <c r="AN250" i="2"/>
  <c r="AN251" i="2"/>
  <c r="AN252" i="2"/>
  <c r="AN253" i="2"/>
  <c r="AN254" i="2"/>
  <c r="AN255" i="2"/>
  <c r="AN256" i="2"/>
  <c r="AN257" i="2"/>
  <c r="AN258" i="2"/>
  <c r="AN259" i="2"/>
  <c r="AN260" i="2"/>
  <c r="AN261" i="2"/>
  <c r="AN262" i="2"/>
  <c r="AN263" i="2"/>
  <c r="AN264" i="2"/>
  <c r="AN265" i="2"/>
  <c r="AN266" i="2"/>
  <c r="AN267" i="2"/>
  <c r="AN268" i="2"/>
  <c r="AN269" i="2"/>
  <c r="AN270" i="2"/>
  <c r="AN271" i="2"/>
  <c r="AN272" i="2"/>
  <c r="AN273" i="2"/>
  <c r="AN274" i="2"/>
  <c r="AN275" i="2"/>
  <c r="AN276" i="2"/>
  <c r="AN277" i="2"/>
  <c r="AN278" i="2"/>
  <c r="AN279" i="2"/>
  <c r="AN280" i="2"/>
  <c r="AN281" i="2"/>
  <c r="AN282" i="2"/>
  <c r="AN283" i="2"/>
  <c r="AN284" i="2"/>
  <c r="AN285" i="2"/>
  <c r="AN286" i="2"/>
  <c r="AN287" i="2"/>
  <c r="AN288" i="2"/>
  <c r="AN289" i="2"/>
  <c r="AN290" i="2"/>
  <c r="AN291" i="2"/>
  <c r="AN292" i="2"/>
  <c r="AN293" i="2"/>
  <c r="AN294" i="2"/>
  <c r="AN295" i="2"/>
  <c r="AN296" i="2"/>
  <c r="AN297" i="2"/>
  <c r="AN298" i="2"/>
  <c r="AN299" i="2"/>
  <c r="AN300" i="2"/>
  <c r="AN301" i="2"/>
  <c r="AN302" i="2"/>
  <c r="AN303" i="2"/>
  <c r="AN304" i="2"/>
  <c r="AN305" i="2"/>
  <c r="AN306" i="2"/>
  <c r="AN307" i="2"/>
  <c r="AN308" i="2"/>
  <c r="AN309" i="2"/>
  <c r="AN310" i="2"/>
  <c r="AN311" i="2"/>
  <c r="AN312" i="2"/>
  <c r="AN313" i="2"/>
  <c r="AN314" i="2"/>
  <c r="AN315" i="2"/>
  <c r="AN316" i="2"/>
  <c r="AN317" i="2"/>
  <c r="AN318" i="2"/>
  <c r="AN319" i="2"/>
  <c r="AN320" i="2"/>
  <c r="AN321" i="2"/>
  <c r="AN322" i="2"/>
  <c r="AN323" i="2"/>
  <c r="AN324" i="2"/>
  <c r="AN325" i="2"/>
  <c r="AN326" i="2"/>
  <c r="AN327" i="2"/>
  <c r="AN328" i="2"/>
  <c r="AN329" i="2"/>
  <c r="AN330" i="2"/>
  <c r="AN331" i="2"/>
  <c r="AN332" i="2"/>
  <c r="AN333" i="2"/>
  <c r="AN334" i="2"/>
  <c r="AN335" i="2"/>
  <c r="AN336" i="2"/>
  <c r="AN337" i="2"/>
  <c r="AN338" i="2"/>
  <c r="AN339" i="2"/>
  <c r="AN340" i="2"/>
  <c r="AN341" i="2"/>
  <c r="AN342" i="2"/>
  <c r="AN343" i="2"/>
  <c r="AN344" i="2"/>
  <c r="AN345" i="2"/>
  <c r="AN346" i="2"/>
  <c r="AN347" i="2"/>
  <c r="AN348" i="2"/>
  <c r="AN349" i="2"/>
  <c r="AN350" i="2"/>
  <c r="AN351" i="2"/>
  <c r="AN352" i="2"/>
  <c r="AN353" i="2"/>
  <c r="AN354" i="2"/>
  <c r="AN355" i="2"/>
  <c r="AN356" i="2"/>
  <c r="AN357" i="2"/>
  <c r="AN358" i="2"/>
  <c r="AN359" i="2"/>
  <c r="AN360" i="2"/>
  <c r="AN361" i="2"/>
  <c r="AN362" i="2"/>
  <c r="AN363" i="2"/>
  <c r="AN364" i="2"/>
  <c r="AN365" i="2"/>
  <c r="AN366" i="2"/>
  <c r="AN367" i="2"/>
  <c r="AN368" i="2"/>
  <c r="AN369" i="2"/>
  <c r="AN370" i="2"/>
  <c r="AN371" i="2"/>
  <c r="AN372" i="2"/>
  <c r="AN373" i="2"/>
  <c r="AN374" i="2"/>
  <c r="AN375" i="2"/>
  <c r="AN376" i="2"/>
  <c r="AN377" i="2"/>
  <c r="AN378" i="2"/>
  <c r="AN379" i="2"/>
  <c r="AN380" i="2"/>
  <c r="AN381" i="2"/>
  <c r="AN382" i="2"/>
  <c r="AN383" i="2"/>
  <c r="AN384" i="2"/>
  <c r="AN385" i="2"/>
  <c r="AN386" i="2"/>
  <c r="AN387" i="2"/>
  <c r="AN388" i="2"/>
  <c r="AN389" i="2"/>
  <c r="AN390" i="2"/>
  <c r="AN391" i="2"/>
  <c r="AN392" i="2"/>
  <c r="AN393" i="2"/>
  <c r="AN394" i="2"/>
  <c r="AN395" i="2"/>
  <c r="AN396" i="2"/>
  <c r="AN397" i="2"/>
  <c r="AN398" i="2"/>
  <c r="AN399" i="2"/>
  <c r="AN400" i="2"/>
  <c r="AN401" i="2"/>
  <c r="AN402" i="2"/>
  <c r="AN403" i="2"/>
  <c r="AN404" i="2"/>
  <c r="AN405" i="2"/>
  <c r="AN406" i="2"/>
  <c r="AN407" i="2"/>
  <c r="AN408" i="2"/>
  <c r="AN409" i="2"/>
  <c r="AN410" i="2"/>
  <c r="AN411" i="2"/>
  <c r="AN412" i="2"/>
  <c r="AN413" i="2"/>
  <c r="AN414" i="2"/>
  <c r="AN415" i="2"/>
  <c r="AN416" i="2"/>
  <c r="AN417" i="2"/>
  <c r="AN418" i="2"/>
  <c r="AN419" i="2"/>
  <c r="AN420" i="2"/>
  <c r="AN421" i="2"/>
  <c r="AN422" i="2"/>
  <c r="AN423" i="2"/>
  <c r="AN424" i="2"/>
  <c r="AN425" i="2"/>
  <c r="AN426" i="2"/>
  <c r="AN427" i="2"/>
  <c r="AN428" i="2"/>
  <c r="AN429" i="2"/>
  <c r="AN430" i="2"/>
  <c r="AN431" i="2"/>
  <c r="AN432" i="2"/>
  <c r="AN433" i="2"/>
  <c r="AN434" i="2"/>
  <c r="AN435" i="2"/>
  <c r="AN436" i="2"/>
  <c r="AN437" i="2"/>
  <c r="AN438" i="2"/>
  <c r="AN439" i="2"/>
  <c r="AN440" i="2"/>
  <c r="AN441" i="2"/>
  <c r="AN442" i="2"/>
  <c r="AN443" i="2"/>
  <c r="AN444" i="2"/>
  <c r="AN445" i="2"/>
  <c r="AN446" i="2"/>
  <c r="AN447" i="2"/>
  <c r="AN448" i="2"/>
  <c r="AN449" i="2"/>
  <c r="AN450" i="2"/>
  <c r="AN451" i="2"/>
  <c r="AN452" i="2"/>
  <c r="AN453" i="2"/>
  <c r="AN454" i="2"/>
  <c r="AN455" i="2"/>
  <c r="AN456" i="2"/>
  <c r="AN457" i="2"/>
  <c r="AN458" i="2"/>
  <c r="AN459" i="2"/>
  <c r="AN460" i="2"/>
  <c r="AN461" i="2"/>
  <c r="AN462" i="2"/>
  <c r="AN463" i="2"/>
  <c r="AN464" i="2"/>
  <c r="AN465" i="2"/>
  <c r="AN466" i="2"/>
  <c r="AN467" i="2"/>
  <c r="AN468" i="2"/>
  <c r="AN469" i="2"/>
  <c r="AN470" i="2"/>
  <c r="AN471" i="2"/>
  <c r="AN472" i="2"/>
  <c r="AN473" i="2"/>
  <c r="AN474" i="2"/>
  <c r="AN475" i="2"/>
  <c r="AN476" i="2"/>
  <c r="AN477" i="2"/>
  <c r="AN478" i="2"/>
  <c r="AN479" i="2"/>
  <c r="AN480" i="2"/>
  <c r="AN481" i="2"/>
  <c r="AN482" i="2"/>
  <c r="AN483" i="2"/>
  <c r="AN484" i="2"/>
  <c r="AN485" i="2"/>
  <c r="AN486" i="2"/>
  <c r="AN487" i="2"/>
  <c r="AN488" i="2"/>
  <c r="AN489" i="2"/>
  <c r="AN490" i="2"/>
  <c r="AN491" i="2"/>
  <c r="AN492" i="2"/>
  <c r="AN493" i="2"/>
  <c r="AN494" i="2"/>
  <c r="AN495" i="2"/>
  <c r="AN496" i="2"/>
  <c r="AN497" i="2"/>
  <c r="AN498" i="2"/>
  <c r="AN499" i="2"/>
  <c r="AN500" i="2"/>
  <c r="AN501" i="2"/>
  <c r="AN502" i="2"/>
  <c r="AN503" i="2"/>
  <c r="AN504" i="2"/>
  <c r="AN505" i="2"/>
  <c r="AN506" i="2"/>
  <c r="AN507" i="2"/>
  <c r="AN508" i="2"/>
  <c r="AN509" i="2"/>
  <c r="AN510" i="2"/>
  <c r="AN511" i="2"/>
  <c r="AN512" i="2"/>
  <c r="AN513" i="2"/>
  <c r="AN514" i="2"/>
  <c r="AN515" i="2"/>
  <c r="AN516" i="2"/>
  <c r="AN517" i="2"/>
  <c r="AN518" i="2"/>
  <c r="AN519" i="2"/>
  <c r="AN520" i="2"/>
  <c r="AN521" i="2"/>
  <c r="AN522" i="2"/>
  <c r="AN523" i="2"/>
  <c r="AN524" i="2"/>
  <c r="AN525" i="2"/>
  <c r="AN526" i="2"/>
  <c r="AN527" i="2"/>
  <c r="AN528" i="2"/>
  <c r="AN529" i="2"/>
  <c r="AN530" i="2"/>
  <c r="AN531" i="2"/>
  <c r="AN532" i="2"/>
  <c r="AN533" i="2"/>
  <c r="AN534" i="2"/>
  <c r="AN535" i="2"/>
  <c r="AN536" i="2"/>
  <c r="AN537" i="2"/>
  <c r="AN538" i="2"/>
  <c r="AN539" i="2"/>
  <c r="AN540" i="2"/>
  <c r="AN541" i="2"/>
  <c r="AN542" i="2"/>
  <c r="AN543" i="2"/>
  <c r="AN544" i="2"/>
  <c r="AN545" i="2"/>
  <c r="AN546" i="2"/>
  <c r="AN547" i="2"/>
  <c r="AN548" i="2"/>
  <c r="AN549" i="2"/>
  <c r="AN550" i="2"/>
  <c r="AN551" i="2"/>
  <c r="AN552" i="2"/>
  <c r="AN553" i="2"/>
  <c r="AN554" i="2"/>
  <c r="AN555" i="2"/>
  <c r="AN556" i="2"/>
  <c r="AN557" i="2"/>
  <c r="AN558" i="2"/>
  <c r="AN559" i="2"/>
  <c r="AN560" i="2"/>
  <c r="AN561" i="2"/>
  <c r="AN562" i="2"/>
  <c r="AN563" i="2"/>
  <c r="AN564" i="2"/>
  <c r="AN565" i="2"/>
  <c r="AN566" i="2"/>
  <c r="AN567" i="2"/>
  <c r="AN568" i="2"/>
  <c r="AN569" i="2"/>
  <c r="AN570" i="2"/>
  <c r="AN571" i="2"/>
  <c r="AN572" i="2"/>
  <c r="AN573" i="2"/>
  <c r="AN574" i="2"/>
  <c r="AN575" i="2"/>
  <c r="AN576" i="2"/>
  <c r="AN577" i="2"/>
  <c r="AN578" i="2"/>
  <c r="AN579" i="2"/>
  <c r="AN580" i="2"/>
  <c r="AN581" i="2"/>
  <c r="AN582" i="2"/>
  <c r="AN583" i="2"/>
  <c r="AN584" i="2"/>
  <c r="AN585" i="2"/>
  <c r="AN586" i="2"/>
  <c r="AN587" i="2"/>
  <c r="AN588" i="2"/>
  <c r="AN589" i="2"/>
  <c r="AN590" i="2"/>
  <c r="AN591" i="2"/>
  <c r="AN592" i="2"/>
  <c r="AN593" i="2"/>
  <c r="AN594" i="2"/>
  <c r="AN595" i="2"/>
  <c r="AN596" i="2"/>
  <c r="AN597" i="2"/>
  <c r="AN598" i="2"/>
  <c r="AN599" i="2"/>
  <c r="AN600" i="2"/>
  <c r="AN601" i="2"/>
  <c r="AN602" i="2"/>
  <c r="AN603" i="2"/>
  <c r="AN604" i="2"/>
  <c r="AN605" i="2"/>
  <c r="AN606" i="2"/>
  <c r="AN607" i="2"/>
  <c r="AN608" i="2"/>
  <c r="AN609" i="2"/>
  <c r="AN610" i="2"/>
  <c r="AN611" i="2"/>
  <c r="AN612" i="2"/>
  <c r="AN613" i="2"/>
  <c r="AN614" i="2"/>
  <c r="AN615" i="2"/>
  <c r="AN616" i="2"/>
  <c r="AN617" i="2"/>
  <c r="AN618" i="2"/>
  <c r="AN619" i="2"/>
  <c r="AN620" i="2"/>
  <c r="AN621" i="2"/>
  <c r="AN622" i="2"/>
  <c r="AN623" i="2"/>
  <c r="AN624" i="2"/>
  <c r="AN625" i="2"/>
  <c r="AN626" i="2"/>
  <c r="AN627" i="2"/>
  <c r="AN628" i="2"/>
  <c r="AN629" i="2"/>
  <c r="AN630" i="2"/>
  <c r="AN631" i="2"/>
  <c r="AN632" i="2"/>
  <c r="AN633" i="2"/>
  <c r="AN634" i="2"/>
  <c r="AN635" i="2"/>
  <c r="AN636" i="2"/>
  <c r="AN637" i="2"/>
  <c r="AN638" i="2"/>
  <c r="AN639" i="2"/>
  <c r="AN640" i="2"/>
  <c r="AN641" i="2"/>
  <c r="AN642" i="2"/>
  <c r="AN643" i="2"/>
  <c r="AN644" i="2"/>
  <c r="AN645" i="2"/>
  <c r="AN646" i="2"/>
  <c r="AN647" i="2"/>
  <c r="AN648" i="2"/>
  <c r="AN649" i="2"/>
  <c r="AN650" i="2"/>
  <c r="AN651" i="2"/>
  <c r="AN652" i="2"/>
  <c r="AN653" i="2"/>
  <c r="AN654" i="2"/>
  <c r="AN655" i="2"/>
  <c r="AN656" i="2"/>
  <c r="AN657" i="2"/>
  <c r="AN658" i="2"/>
  <c r="AN659" i="2"/>
  <c r="AN660" i="2"/>
  <c r="AN661" i="2"/>
  <c r="AN662" i="2"/>
  <c r="AN663" i="2"/>
  <c r="AN664" i="2"/>
  <c r="AN665" i="2"/>
  <c r="AN666" i="2"/>
  <c r="AN667" i="2"/>
  <c r="AN668" i="2"/>
  <c r="AN669" i="2"/>
  <c r="AN670" i="2"/>
  <c r="AN671" i="2"/>
  <c r="AN672" i="2"/>
  <c r="AN673" i="2"/>
  <c r="AN674" i="2"/>
  <c r="AN675" i="2"/>
  <c r="AN676" i="2"/>
  <c r="AN677" i="2"/>
  <c r="AN678" i="2"/>
  <c r="AN679" i="2"/>
  <c r="AN680" i="2"/>
  <c r="AN681" i="2"/>
  <c r="AN682" i="2"/>
  <c r="AN683" i="2"/>
  <c r="AN684" i="2"/>
  <c r="AN685" i="2"/>
  <c r="AN686" i="2"/>
  <c r="AN687" i="2"/>
  <c r="AN688" i="2"/>
  <c r="AN689" i="2"/>
  <c r="AN690" i="2"/>
  <c r="AN691" i="2"/>
  <c r="AN692" i="2"/>
  <c r="AN693" i="2"/>
  <c r="AN694" i="2"/>
  <c r="AN695" i="2"/>
  <c r="AN696" i="2"/>
  <c r="AN697" i="2"/>
  <c r="AN698" i="2"/>
  <c r="AN699" i="2"/>
  <c r="AN700" i="2"/>
  <c r="AN701" i="2"/>
  <c r="AN702" i="2"/>
  <c r="AN703" i="2"/>
  <c r="AN704" i="2"/>
  <c r="AN705" i="2"/>
  <c r="AN706" i="2"/>
  <c r="AN707" i="2"/>
  <c r="AN708" i="2"/>
  <c r="AN709" i="2"/>
  <c r="AN710" i="2"/>
  <c r="AN711" i="2"/>
  <c r="AN712" i="2"/>
  <c r="AN713" i="2"/>
  <c r="AN714" i="2"/>
  <c r="AN715" i="2"/>
  <c r="AN716" i="2"/>
  <c r="AN717" i="2"/>
  <c r="AN718" i="2"/>
  <c r="AN719" i="2"/>
  <c r="AN720" i="2"/>
  <c r="AN721" i="2"/>
  <c r="AN722" i="2"/>
  <c r="AN723" i="2"/>
  <c r="AN724" i="2"/>
  <c r="AN725" i="2"/>
  <c r="AN726" i="2"/>
  <c r="AN727" i="2"/>
  <c r="AN728" i="2"/>
  <c r="AN729" i="2"/>
  <c r="AN730" i="2"/>
  <c r="AN731" i="2"/>
  <c r="AN732" i="2"/>
  <c r="AN733" i="2"/>
  <c r="AN734" i="2"/>
  <c r="AN735" i="2"/>
  <c r="AN736" i="2"/>
  <c r="AN737" i="2"/>
  <c r="AN738" i="2"/>
  <c r="AN739" i="2"/>
  <c r="AN740" i="2"/>
  <c r="AN741" i="2"/>
  <c r="AN742" i="2"/>
  <c r="AN743" i="2"/>
  <c r="AN744" i="2"/>
  <c r="AN745" i="2"/>
  <c r="AN746" i="2"/>
  <c r="AN747" i="2"/>
  <c r="AN748" i="2"/>
  <c r="AN749" i="2"/>
  <c r="AN750" i="2"/>
  <c r="AN751" i="2"/>
  <c r="AN752" i="2"/>
  <c r="AN753" i="2"/>
  <c r="AN754" i="2"/>
  <c r="AN755" i="2"/>
  <c r="AN756" i="2"/>
  <c r="AN757" i="2"/>
  <c r="AN758" i="2"/>
  <c r="AN759" i="2"/>
  <c r="AN760" i="2"/>
  <c r="AN761" i="2"/>
  <c r="AN762" i="2"/>
  <c r="AN763" i="2"/>
  <c r="AN764" i="2"/>
  <c r="AN765" i="2"/>
  <c r="AN766" i="2"/>
  <c r="AN767" i="2"/>
  <c r="AN768" i="2"/>
  <c r="AN769" i="2"/>
  <c r="AN770" i="2"/>
  <c r="AN771" i="2"/>
  <c r="AN772" i="2"/>
  <c r="AN773" i="2"/>
  <c r="AN774" i="2"/>
  <c r="AN775" i="2"/>
  <c r="AN776" i="2"/>
  <c r="AN777" i="2"/>
  <c r="AN778" i="2"/>
  <c r="AN779" i="2"/>
  <c r="AN780" i="2"/>
  <c r="AN781" i="2"/>
  <c r="AN782" i="2"/>
  <c r="AN783" i="2"/>
  <c r="AN784" i="2"/>
  <c r="AN785" i="2"/>
  <c r="AN786" i="2"/>
  <c r="AN787" i="2"/>
  <c r="AN788" i="2"/>
  <c r="AN789" i="2"/>
  <c r="AN790" i="2"/>
  <c r="AN791" i="2"/>
  <c r="AN792" i="2"/>
  <c r="AN793" i="2"/>
  <c r="AN794" i="2"/>
  <c r="AN795" i="2"/>
  <c r="AN796" i="2"/>
  <c r="AN797" i="2"/>
  <c r="AN798" i="2"/>
  <c r="AN799" i="2"/>
  <c r="AN800" i="2"/>
  <c r="AN801" i="2"/>
  <c r="AN802" i="2"/>
  <c r="AN803" i="2"/>
  <c r="AN804" i="2"/>
  <c r="AN805" i="2"/>
  <c r="AN806" i="2"/>
  <c r="AN807" i="2"/>
  <c r="AN808" i="2"/>
  <c r="AN809" i="2"/>
  <c r="AN810" i="2"/>
  <c r="AN811" i="2"/>
  <c r="AN812" i="2"/>
  <c r="AN813" i="2"/>
  <c r="AN814" i="2"/>
  <c r="AN815" i="2"/>
  <c r="AN816" i="2"/>
  <c r="AN817" i="2"/>
  <c r="AN818" i="2"/>
  <c r="AN819" i="2"/>
  <c r="AN820" i="2"/>
  <c r="AN821" i="2"/>
  <c r="AN822" i="2"/>
  <c r="AN823" i="2"/>
  <c r="AN824" i="2"/>
  <c r="AN825" i="2"/>
  <c r="AN826" i="2"/>
  <c r="AN827" i="2"/>
  <c r="AN828" i="2"/>
  <c r="AN829" i="2"/>
  <c r="AN830" i="2"/>
  <c r="AN831" i="2"/>
  <c r="AN832" i="2"/>
  <c r="AN833" i="2"/>
  <c r="AN834" i="2"/>
  <c r="AN835" i="2"/>
  <c r="AN836" i="2"/>
  <c r="AN837" i="2"/>
  <c r="AN838" i="2"/>
  <c r="AN839" i="2"/>
  <c r="AN840" i="2"/>
  <c r="AN841" i="2"/>
  <c r="AN842" i="2"/>
  <c r="AN843" i="2"/>
  <c r="AN844" i="2"/>
  <c r="AN845" i="2"/>
  <c r="AN846" i="2"/>
  <c r="AN847" i="2"/>
  <c r="AN848" i="2"/>
  <c r="AN849" i="2"/>
  <c r="AN850" i="2"/>
  <c r="AN851" i="2"/>
  <c r="AN852" i="2"/>
  <c r="AN853" i="2"/>
  <c r="AN854" i="2"/>
  <c r="AN855" i="2"/>
  <c r="AN856" i="2"/>
  <c r="AN857" i="2"/>
  <c r="AN858" i="2"/>
  <c r="AN859" i="2"/>
  <c r="AN860" i="2"/>
  <c r="AN861" i="2"/>
  <c r="AN862" i="2"/>
  <c r="AN863" i="2"/>
  <c r="AN864" i="2"/>
  <c r="AN865" i="2"/>
  <c r="AN866" i="2"/>
  <c r="AN867" i="2"/>
  <c r="AN868" i="2"/>
  <c r="AN869" i="2"/>
  <c r="AN870" i="2"/>
  <c r="AN871" i="2"/>
  <c r="AN872" i="2"/>
  <c r="AN873" i="2"/>
  <c r="AN874" i="2"/>
  <c r="AN875" i="2"/>
  <c r="AN876" i="2"/>
  <c r="AN877" i="2"/>
  <c r="AN878" i="2"/>
  <c r="AN879" i="2"/>
  <c r="AN880" i="2"/>
  <c r="AN881" i="2"/>
  <c r="AN882" i="2"/>
  <c r="AN883" i="2"/>
  <c r="AN884" i="2"/>
  <c r="AN885" i="2"/>
  <c r="AN886" i="2"/>
  <c r="AN887" i="2"/>
  <c r="AN888" i="2"/>
  <c r="AN889" i="2"/>
  <c r="AN890" i="2"/>
  <c r="AN891" i="2"/>
  <c r="AN892" i="2"/>
  <c r="AN893" i="2"/>
  <c r="AN894" i="2"/>
  <c r="AN895" i="2"/>
  <c r="AN896" i="2"/>
  <c r="AN897" i="2"/>
  <c r="AN898" i="2"/>
  <c r="AN899" i="2"/>
  <c r="AN900" i="2"/>
  <c r="AN901" i="2"/>
  <c r="AN902" i="2"/>
  <c r="AN903" i="2"/>
  <c r="AN904" i="2"/>
  <c r="AN905" i="2"/>
  <c r="AN906" i="2"/>
  <c r="AN907" i="2"/>
  <c r="AN908" i="2"/>
  <c r="AN909" i="2"/>
  <c r="AN910" i="2"/>
  <c r="AN911" i="2"/>
  <c r="AN912" i="2"/>
  <c r="AN913" i="2"/>
  <c r="AN914" i="2"/>
  <c r="AN915" i="2"/>
  <c r="AN916" i="2"/>
  <c r="AN917" i="2"/>
  <c r="AN918" i="2"/>
  <c r="AN919" i="2"/>
  <c r="AN920" i="2"/>
  <c r="AN921" i="2"/>
  <c r="AN922" i="2"/>
  <c r="AN923" i="2"/>
  <c r="AN924" i="2"/>
  <c r="AN925" i="2"/>
  <c r="AN926" i="2"/>
  <c r="AN927" i="2"/>
  <c r="AN928" i="2"/>
  <c r="AN929" i="2"/>
  <c r="AN930" i="2"/>
  <c r="AN931" i="2"/>
  <c r="AN932" i="2"/>
  <c r="AN933" i="2"/>
  <c r="AN934" i="2"/>
  <c r="AN935" i="2"/>
  <c r="AN936" i="2"/>
  <c r="AN937" i="2"/>
  <c r="AN938" i="2"/>
  <c r="AN939" i="2"/>
  <c r="AN940" i="2"/>
  <c r="AN941" i="2"/>
  <c r="AN942" i="2"/>
  <c r="AN943" i="2"/>
  <c r="AN944" i="2"/>
  <c r="AN945" i="2"/>
  <c r="AN946" i="2"/>
  <c r="AN947" i="2"/>
  <c r="AN948" i="2"/>
  <c r="AN949" i="2"/>
  <c r="AN950" i="2"/>
  <c r="AN951" i="2"/>
  <c r="AN952" i="2"/>
  <c r="AN953" i="2"/>
  <c r="AN954" i="2"/>
  <c r="AN955" i="2"/>
  <c r="AN956" i="2"/>
  <c r="AN957" i="2"/>
  <c r="AN958" i="2"/>
  <c r="AN959" i="2"/>
  <c r="AN960" i="2"/>
  <c r="AN961" i="2"/>
  <c r="AN962" i="2"/>
  <c r="AN963" i="2"/>
  <c r="AN964" i="2"/>
  <c r="AN965" i="2"/>
  <c r="AN966" i="2"/>
  <c r="AN967" i="2"/>
  <c r="AN968" i="2"/>
  <c r="AN969" i="2"/>
  <c r="AN970" i="2"/>
  <c r="AN971" i="2"/>
  <c r="AN972" i="2"/>
  <c r="AN973" i="2"/>
  <c r="AN974" i="2"/>
  <c r="AN975" i="2"/>
  <c r="AN976" i="2"/>
  <c r="AN977" i="2"/>
  <c r="AN978" i="2"/>
  <c r="AN979" i="2"/>
  <c r="AN980" i="2"/>
  <c r="AN981" i="2"/>
  <c r="AN982" i="2"/>
  <c r="AN983" i="2"/>
  <c r="AN984" i="2"/>
  <c r="AN985" i="2"/>
  <c r="AN986" i="2"/>
  <c r="AN987" i="2"/>
  <c r="AN988" i="2"/>
  <c r="AN989" i="2"/>
  <c r="AN990" i="2"/>
  <c r="AN991" i="2"/>
  <c r="AN992" i="2"/>
  <c r="AN993" i="2"/>
  <c r="AN994" i="2"/>
  <c r="AN995" i="2"/>
  <c r="AN996" i="2"/>
  <c r="AN997" i="2"/>
  <c r="AN998" i="2"/>
  <c r="AN999" i="2"/>
  <c r="AN1000" i="2"/>
  <c r="AN1001" i="2"/>
  <c r="AN1002" i="2"/>
  <c r="AN1003" i="2"/>
  <c r="AN1004" i="2"/>
  <c r="AN1005" i="2"/>
  <c r="AN1006" i="2"/>
  <c r="AN1007" i="2"/>
  <c r="AN1008" i="2"/>
  <c r="AN1009" i="2"/>
  <c r="AN1010" i="2"/>
  <c r="AN1011" i="2"/>
  <c r="AN1012" i="2"/>
  <c r="AN1013" i="2"/>
  <c r="AN1014" i="2"/>
  <c r="AN1015" i="2"/>
  <c r="AN1016" i="2"/>
  <c r="AN1017" i="2"/>
  <c r="AN1018" i="2"/>
  <c r="AN1019" i="2"/>
  <c r="AN1020" i="2"/>
  <c r="AN1021" i="2"/>
  <c r="AN1022" i="2"/>
  <c r="AN1023" i="2"/>
  <c r="AN1024" i="2"/>
  <c r="AN1025" i="2"/>
  <c r="AN1026" i="2"/>
  <c r="AN1027" i="2"/>
  <c r="AN1028" i="2"/>
  <c r="AN1029" i="2"/>
  <c r="AN1030" i="2"/>
  <c r="AN1031" i="2"/>
  <c r="AN1032" i="2"/>
  <c r="AN1033" i="2"/>
  <c r="AN1034" i="2"/>
  <c r="AN1035" i="2"/>
  <c r="AN1036" i="2"/>
  <c r="AN1037" i="2"/>
  <c r="AN1038" i="2"/>
  <c r="AN1039" i="2"/>
  <c r="AN1040" i="2"/>
  <c r="AN1041" i="2"/>
  <c r="AN1042" i="2"/>
  <c r="AN1043" i="2"/>
  <c r="AN1044" i="2"/>
  <c r="AN1045" i="2"/>
  <c r="AN1046" i="2"/>
  <c r="AN1047" i="2"/>
  <c r="AN1048" i="2"/>
  <c r="AN1049" i="2"/>
  <c r="AN1050" i="2"/>
  <c r="AN1051" i="2"/>
  <c r="AN1052" i="2"/>
  <c r="AN1053" i="2"/>
  <c r="AN1054" i="2"/>
  <c r="AN1055" i="2"/>
  <c r="AN1056" i="2"/>
  <c r="AN1057" i="2"/>
  <c r="AN1058" i="2"/>
  <c r="AN1059" i="2"/>
  <c r="AN1060" i="2"/>
  <c r="AN1061" i="2"/>
  <c r="AN1062" i="2"/>
  <c r="AN1063" i="2"/>
  <c r="AN1064" i="2"/>
  <c r="AN1065" i="2"/>
  <c r="AN1066" i="2"/>
  <c r="AN1067" i="2"/>
  <c r="AN1068" i="2"/>
  <c r="AN1069" i="2"/>
  <c r="AN1070" i="2"/>
  <c r="AN1071" i="2"/>
  <c r="AN1072" i="2"/>
  <c r="AN1073" i="2"/>
  <c r="AN1074" i="2"/>
  <c r="AN1075" i="2"/>
  <c r="AN1076" i="2"/>
  <c r="AN1077" i="2"/>
  <c r="AN1078" i="2"/>
  <c r="AN1079" i="2"/>
  <c r="AN1080" i="2"/>
  <c r="AN1081" i="2"/>
  <c r="AN1082" i="2"/>
  <c r="AN1083" i="2"/>
  <c r="AN1084" i="2"/>
  <c r="AN1085" i="2"/>
  <c r="AN1086" i="2"/>
  <c r="AN1087" i="2"/>
  <c r="AN1088" i="2"/>
  <c r="AN1089" i="2"/>
  <c r="AN1090" i="2"/>
  <c r="AN1091" i="2"/>
  <c r="AN1092" i="2"/>
  <c r="AN1093" i="2"/>
  <c r="AN1094" i="2"/>
  <c r="AN1095" i="2"/>
  <c r="AN1096" i="2"/>
  <c r="AN1097" i="2"/>
  <c r="AN1098" i="2"/>
  <c r="AN1099" i="2"/>
  <c r="AN1100" i="2"/>
  <c r="AN1101" i="2"/>
  <c r="AN1102" i="2"/>
  <c r="AN1103" i="2"/>
  <c r="AN1104" i="2"/>
  <c r="AN1105" i="2"/>
  <c r="AN1106" i="2"/>
  <c r="AN1107" i="2"/>
  <c r="AN1108" i="2"/>
  <c r="AN1109" i="2"/>
  <c r="AN1110" i="2"/>
  <c r="AN1111" i="2"/>
  <c r="AN1112" i="2"/>
  <c r="AN1113" i="2"/>
  <c r="AN1114" i="2"/>
  <c r="AN1115" i="2"/>
  <c r="AN1116" i="2"/>
  <c r="AN1117" i="2"/>
  <c r="AN1118" i="2"/>
  <c r="AN1119" i="2"/>
  <c r="AN1120" i="2"/>
  <c r="AN1121" i="2"/>
  <c r="AN1122" i="2"/>
  <c r="AN1123" i="2"/>
  <c r="AN1124" i="2"/>
  <c r="AN1125" i="2"/>
  <c r="AN1126" i="2"/>
  <c r="AN1127" i="2"/>
  <c r="AN1128" i="2"/>
  <c r="AN1129" i="2"/>
  <c r="AN1130" i="2"/>
  <c r="AN1131" i="2"/>
  <c r="AN1132" i="2"/>
  <c r="AN1133" i="2"/>
  <c r="AN1134" i="2"/>
  <c r="AN1135" i="2"/>
  <c r="AN1136" i="2"/>
  <c r="AN1137" i="2"/>
  <c r="AN1138" i="2"/>
  <c r="AN1139" i="2"/>
  <c r="AN1140" i="2"/>
  <c r="AN1141" i="2"/>
  <c r="AN1142" i="2"/>
  <c r="AN1143" i="2"/>
  <c r="AN1144" i="2"/>
  <c r="AN1145" i="2"/>
  <c r="AN1146" i="2"/>
  <c r="AN1147" i="2"/>
  <c r="AN1148" i="2"/>
  <c r="AN1149" i="2"/>
  <c r="AN1150" i="2"/>
  <c r="AN1151" i="2"/>
  <c r="AN1152" i="2"/>
  <c r="AN1153" i="2"/>
  <c r="AN1154" i="2"/>
  <c r="AN1155" i="2"/>
  <c r="AN1156" i="2"/>
  <c r="AN1157" i="2"/>
  <c r="AN1158" i="2"/>
  <c r="AN1159" i="2"/>
  <c r="AN1160" i="2"/>
  <c r="AN1161" i="2"/>
  <c r="AN1162" i="2"/>
  <c r="AN1163" i="2"/>
  <c r="AN1164" i="2"/>
  <c r="AN1165" i="2"/>
  <c r="AN1166" i="2"/>
  <c r="AN1167" i="2"/>
  <c r="AN1168" i="2"/>
  <c r="AN1169" i="2"/>
  <c r="AN1170" i="2"/>
  <c r="AN1171" i="2"/>
  <c r="AN1172" i="2"/>
  <c r="AN1173" i="2"/>
  <c r="AN1174" i="2"/>
  <c r="AN1175" i="2"/>
  <c r="AN1176" i="2"/>
  <c r="AN1177" i="2"/>
  <c r="AN1178" i="2"/>
  <c r="AN1179" i="2"/>
  <c r="AN1180" i="2"/>
  <c r="AN1181" i="2"/>
  <c r="AN1182" i="2"/>
  <c r="AN1183" i="2"/>
  <c r="AN1184" i="2"/>
  <c r="AN1185" i="2"/>
  <c r="AN1186" i="2"/>
  <c r="AN1187" i="2"/>
  <c r="AN1188" i="2"/>
  <c r="AN1189" i="2"/>
  <c r="AN1190" i="2"/>
  <c r="AN1191" i="2"/>
  <c r="AN1192" i="2"/>
  <c r="AN1193" i="2"/>
  <c r="AN1194" i="2"/>
  <c r="AN1195" i="2"/>
  <c r="AN1196" i="2"/>
  <c r="AN1197" i="2"/>
  <c r="AN1198" i="2"/>
  <c r="AN1199" i="2"/>
  <c r="AN1200" i="2"/>
  <c r="AN1201" i="2"/>
  <c r="AN1202" i="2"/>
  <c r="AN1203" i="2"/>
  <c r="AN1204" i="2"/>
  <c r="AN1205" i="2"/>
  <c r="AN1206" i="2"/>
  <c r="AN1207" i="2"/>
  <c r="AN1208" i="2"/>
  <c r="AN1209" i="2"/>
  <c r="AN1210" i="2"/>
  <c r="AN1211" i="2"/>
  <c r="AN1212" i="2"/>
  <c r="AN1213" i="2"/>
  <c r="AN1214" i="2"/>
  <c r="AN1215" i="2"/>
  <c r="AN1216" i="2"/>
  <c r="AN1217" i="2"/>
  <c r="AN1218" i="2"/>
  <c r="AN1219" i="2"/>
  <c r="AN1220" i="2"/>
  <c r="AN1221" i="2"/>
  <c r="AN1222" i="2"/>
  <c r="AN1223" i="2"/>
  <c r="AN1224" i="2"/>
  <c r="AN1225" i="2"/>
  <c r="AN1226" i="2"/>
  <c r="AN1227" i="2"/>
  <c r="AN1228" i="2"/>
  <c r="AN1229" i="2"/>
  <c r="AN1230" i="2"/>
  <c r="AN1231" i="2"/>
  <c r="AN1232" i="2"/>
  <c r="AN1233" i="2"/>
  <c r="AN1234" i="2"/>
  <c r="AN1235" i="2"/>
  <c r="AN1236" i="2"/>
  <c r="AN1237" i="2"/>
  <c r="AN1238" i="2"/>
  <c r="AN1239" i="2"/>
  <c r="AN1240" i="2"/>
  <c r="AN1241" i="2"/>
  <c r="AN1242" i="2"/>
  <c r="AN1243" i="2"/>
  <c r="AN1244" i="2"/>
  <c r="AN1245" i="2"/>
  <c r="AN1246" i="2"/>
  <c r="AN1247" i="2"/>
  <c r="AN1248" i="2"/>
  <c r="AN1249" i="2"/>
  <c r="AN1250" i="2"/>
  <c r="AN1251" i="2"/>
  <c r="AN1252" i="2"/>
  <c r="AN1253" i="2"/>
  <c r="AN1254" i="2"/>
  <c r="AN1255" i="2"/>
  <c r="AN1256" i="2"/>
  <c r="AN1257" i="2"/>
  <c r="AN1258" i="2"/>
  <c r="AN1259" i="2"/>
  <c r="AN1260" i="2"/>
  <c r="AN1261" i="2"/>
  <c r="AN1262" i="2"/>
  <c r="AN1263" i="2"/>
  <c r="AN1264" i="2"/>
  <c r="AN1265" i="2"/>
  <c r="AN1266" i="2"/>
  <c r="AN1267" i="2"/>
  <c r="AN1268" i="2"/>
  <c r="AN1269" i="2"/>
  <c r="AN1270" i="2"/>
  <c r="AN1271" i="2"/>
  <c r="AN1272" i="2"/>
  <c r="AN1273" i="2"/>
  <c r="AN1274" i="2"/>
  <c r="AN1275" i="2"/>
  <c r="AN1276" i="2"/>
  <c r="AN1277" i="2"/>
  <c r="AN1278" i="2"/>
  <c r="AN1279" i="2"/>
  <c r="AN1280" i="2"/>
  <c r="AN1281" i="2"/>
  <c r="AN1282" i="2"/>
  <c r="AN1283" i="2"/>
  <c r="AN1284" i="2"/>
  <c r="AN1285" i="2"/>
  <c r="AN1286" i="2"/>
  <c r="AN1287" i="2"/>
  <c r="AN1288" i="2"/>
  <c r="AN1289" i="2"/>
  <c r="AN1290" i="2"/>
  <c r="AN1291" i="2"/>
  <c r="AN1292" i="2"/>
  <c r="AN1293" i="2"/>
  <c r="AN1294" i="2"/>
  <c r="AN1295" i="2"/>
  <c r="AN1296" i="2"/>
  <c r="AN1297" i="2"/>
  <c r="AN1298" i="2"/>
  <c r="AN1299" i="2"/>
  <c r="AN1300" i="2"/>
  <c r="AN1301" i="2"/>
  <c r="AN1302" i="2"/>
  <c r="AN1303" i="2"/>
  <c r="AN1304" i="2"/>
  <c r="AN1305" i="2"/>
  <c r="AN1306" i="2"/>
  <c r="AN1307" i="2"/>
  <c r="AN1308" i="2"/>
  <c r="AN1309" i="2"/>
  <c r="AN1310" i="2"/>
  <c r="AN1311" i="2"/>
  <c r="AN1312" i="2"/>
  <c r="AN1313" i="2"/>
  <c r="AN1314" i="2"/>
  <c r="AN1315" i="2"/>
  <c r="AN1316" i="2"/>
  <c r="AN1317" i="2"/>
  <c r="AN1318" i="2"/>
  <c r="AN1319" i="2"/>
  <c r="AN1320" i="2"/>
  <c r="AN1321" i="2"/>
  <c r="AN1322" i="2"/>
  <c r="AN1323" i="2"/>
  <c r="AN1324" i="2"/>
  <c r="AN1325" i="2"/>
  <c r="AN1326" i="2"/>
  <c r="AN1327" i="2"/>
  <c r="AN1328" i="2"/>
  <c r="AN1329" i="2"/>
  <c r="AN1330" i="2"/>
  <c r="AN1331" i="2"/>
  <c r="AN1332" i="2"/>
  <c r="AN1333" i="2"/>
  <c r="AN1334" i="2"/>
  <c r="AN1335" i="2"/>
  <c r="AN1336" i="2"/>
  <c r="AN1337" i="2"/>
  <c r="AN1338" i="2"/>
  <c r="AN1339" i="2"/>
  <c r="AN1340" i="2"/>
  <c r="AN1341" i="2"/>
  <c r="AN1342" i="2"/>
  <c r="AN1343" i="2"/>
  <c r="AN1344" i="2"/>
  <c r="AN1345" i="2"/>
  <c r="AN1346" i="2"/>
  <c r="AN1347" i="2"/>
  <c r="AN1348" i="2"/>
  <c r="AN1349" i="2"/>
  <c r="AN1350" i="2"/>
  <c r="AN1351" i="2"/>
  <c r="AN1352" i="2"/>
  <c r="AN1353" i="2"/>
  <c r="AN1354" i="2"/>
  <c r="AN1355" i="2"/>
  <c r="AN1356" i="2"/>
  <c r="AN1357" i="2"/>
  <c r="AN1358" i="2"/>
  <c r="AN1359" i="2"/>
  <c r="AN1360" i="2"/>
  <c r="AN1361" i="2"/>
  <c r="AN1362" i="2"/>
  <c r="AN1363" i="2"/>
  <c r="AN1364" i="2"/>
  <c r="AN1365" i="2"/>
  <c r="AN1366" i="2"/>
  <c r="AN1367" i="2"/>
  <c r="AN1368" i="2"/>
  <c r="AN1369" i="2"/>
  <c r="AN1370" i="2"/>
  <c r="AN1371" i="2"/>
  <c r="AN1372" i="2"/>
  <c r="AN1373" i="2"/>
  <c r="AN1374" i="2"/>
  <c r="AN1375" i="2"/>
  <c r="AN1376" i="2"/>
  <c r="AN1377" i="2"/>
  <c r="AN1378" i="2"/>
  <c r="AN1379" i="2"/>
  <c r="AN1380" i="2"/>
  <c r="AN1381" i="2"/>
  <c r="AN1382" i="2"/>
  <c r="AN1383" i="2"/>
  <c r="AN1384" i="2"/>
  <c r="AN1385" i="2"/>
  <c r="AN1386" i="2"/>
  <c r="AN1387" i="2"/>
  <c r="AN1388" i="2"/>
  <c r="AN1389" i="2"/>
  <c r="AN1390" i="2"/>
  <c r="AN1391" i="2"/>
  <c r="AN1392" i="2"/>
  <c r="AN1393" i="2"/>
  <c r="AN1394" i="2"/>
  <c r="AN1395" i="2"/>
  <c r="AN1396" i="2"/>
  <c r="AN1397" i="2"/>
  <c r="AN1398" i="2"/>
  <c r="AN1399" i="2"/>
  <c r="AN1400" i="2"/>
  <c r="AN1401" i="2"/>
  <c r="AN1402" i="2"/>
  <c r="AN1403" i="2"/>
  <c r="AN1404" i="2"/>
  <c r="AN1405" i="2"/>
  <c r="AN1406" i="2"/>
  <c r="AN1407" i="2"/>
  <c r="AN1408" i="2"/>
  <c r="AN1409" i="2"/>
  <c r="AN1410" i="2"/>
  <c r="AN1411" i="2"/>
  <c r="AN1412" i="2"/>
  <c r="AN1413" i="2"/>
  <c r="AN1414" i="2"/>
  <c r="AN1415" i="2"/>
  <c r="AN1416" i="2"/>
  <c r="AN1417" i="2"/>
  <c r="AN1418" i="2"/>
  <c r="AN1419" i="2"/>
  <c r="AN1420" i="2"/>
  <c r="AN1421" i="2"/>
  <c r="AN1422" i="2"/>
  <c r="AN1423" i="2"/>
  <c r="AN1424" i="2"/>
  <c r="AN1425" i="2"/>
  <c r="AN1426" i="2"/>
  <c r="AN1427" i="2"/>
  <c r="AN1428" i="2"/>
  <c r="AN1429" i="2"/>
  <c r="AN1430" i="2"/>
  <c r="AN1431" i="2"/>
  <c r="AN1432" i="2"/>
  <c r="AN1433" i="2"/>
  <c r="AN1434" i="2"/>
  <c r="AN1435" i="2"/>
  <c r="AN1436" i="2"/>
  <c r="AN1437" i="2"/>
  <c r="AN1438" i="2"/>
  <c r="AN1439" i="2"/>
  <c r="AN1440" i="2"/>
  <c r="AN1441" i="2"/>
  <c r="AN1442" i="2"/>
  <c r="AN1443" i="2"/>
  <c r="AN1444" i="2"/>
  <c r="AN1445" i="2"/>
  <c r="AN1446" i="2"/>
  <c r="AN1447" i="2"/>
  <c r="AN1448" i="2"/>
  <c r="AN1449" i="2"/>
  <c r="AN1450" i="2"/>
  <c r="AN1451" i="2"/>
  <c r="AN1452" i="2"/>
  <c r="AN1453" i="2"/>
  <c r="AN1454" i="2"/>
  <c r="AN1455" i="2"/>
  <c r="AN1456" i="2"/>
  <c r="AN1457" i="2"/>
  <c r="AN1458" i="2"/>
  <c r="AN1459" i="2"/>
  <c r="AN1460" i="2"/>
  <c r="AN1461" i="2"/>
  <c r="AN1462" i="2"/>
  <c r="AN1463" i="2"/>
  <c r="AN1464" i="2"/>
  <c r="AN1465" i="2"/>
  <c r="AN1466" i="2"/>
  <c r="AN1467" i="2"/>
  <c r="AN1468" i="2"/>
  <c r="AN1469" i="2"/>
  <c r="AN1470" i="2"/>
  <c r="AN1471" i="2"/>
  <c r="AM2" i="2"/>
  <c r="AM3" i="2"/>
  <c r="AM4" i="2"/>
  <c r="AM5" i="2"/>
  <c r="AM6" i="2"/>
  <c r="AM7" i="2"/>
  <c r="AM8" i="2"/>
  <c r="AM9" i="2"/>
  <c r="AM10" i="2"/>
  <c r="AM11" i="2"/>
  <c r="AM12" i="2"/>
  <c r="AM13" i="2"/>
  <c r="AM14" i="2"/>
  <c r="AM15" i="2"/>
  <c r="AM16" i="2"/>
  <c r="AM17" i="2"/>
  <c r="AM18" i="2"/>
  <c r="AM19" i="2"/>
  <c r="AM20" i="2"/>
  <c r="AM21" i="2"/>
  <c r="AM22" i="2"/>
  <c r="AM23" i="2"/>
  <c r="AM24" i="2"/>
  <c r="AM25" i="2"/>
  <c r="AM26" i="2"/>
  <c r="AM27" i="2"/>
  <c r="AM28" i="2"/>
  <c r="AM29" i="2"/>
  <c r="AM30" i="2"/>
  <c r="AM31" i="2"/>
  <c r="AM32" i="2"/>
  <c r="AM33" i="2"/>
  <c r="AM34" i="2"/>
  <c r="AM35" i="2"/>
  <c r="AM36" i="2"/>
  <c r="AM37" i="2"/>
  <c r="AM38" i="2"/>
  <c r="AM39" i="2"/>
  <c r="AM40" i="2"/>
  <c r="AM41" i="2"/>
  <c r="AM42" i="2"/>
  <c r="AM43" i="2"/>
  <c r="AM44" i="2"/>
  <c r="AM45" i="2"/>
  <c r="AM46" i="2"/>
  <c r="AM47" i="2"/>
  <c r="AM48" i="2"/>
  <c r="AM49" i="2"/>
  <c r="AM50" i="2"/>
  <c r="AM51" i="2"/>
  <c r="AM52" i="2"/>
  <c r="AM53" i="2"/>
  <c r="AM54" i="2"/>
  <c r="AM55" i="2"/>
  <c r="AM56" i="2"/>
  <c r="AM57" i="2"/>
  <c r="AM58" i="2"/>
  <c r="AM59" i="2"/>
  <c r="AM60" i="2"/>
  <c r="AM61" i="2"/>
  <c r="AM62" i="2"/>
  <c r="AM63" i="2"/>
  <c r="AM64" i="2"/>
  <c r="AM65" i="2"/>
  <c r="AM66" i="2"/>
  <c r="AM67" i="2"/>
  <c r="AM68" i="2"/>
  <c r="AM69" i="2"/>
  <c r="AM70" i="2"/>
  <c r="AM71" i="2"/>
  <c r="AM72" i="2"/>
  <c r="AM73" i="2"/>
  <c r="AM74" i="2"/>
  <c r="AM75" i="2"/>
  <c r="AM76" i="2"/>
  <c r="AM77" i="2"/>
  <c r="AM78" i="2"/>
  <c r="AM79" i="2"/>
  <c r="AM80" i="2"/>
  <c r="AM81" i="2"/>
  <c r="AM82" i="2"/>
  <c r="AM83" i="2"/>
  <c r="AM84" i="2"/>
  <c r="AM85" i="2"/>
  <c r="AM86" i="2"/>
  <c r="AM87" i="2"/>
  <c r="AM88" i="2"/>
  <c r="AM89" i="2"/>
  <c r="AM90" i="2"/>
  <c r="AM91" i="2"/>
  <c r="AM92" i="2"/>
  <c r="AM93" i="2"/>
  <c r="AM94" i="2"/>
  <c r="AM95" i="2"/>
  <c r="AM96" i="2"/>
  <c r="AM97" i="2"/>
  <c r="AM98" i="2"/>
  <c r="AM99" i="2"/>
  <c r="AM100" i="2"/>
  <c r="AM101" i="2"/>
  <c r="AM102" i="2"/>
  <c r="AM103" i="2"/>
  <c r="AM104" i="2"/>
  <c r="AM105" i="2"/>
  <c r="AM106" i="2"/>
  <c r="AM107" i="2"/>
  <c r="AM108" i="2"/>
  <c r="AM109" i="2"/>
  <c r="AM110" i="2"/>
  <c r="AM111" i="2"/>
  <c r="AM112" i="2"/>
  <c r="AM113" i="2"/>
  <c r="AM114" i="2"/>
  <c r="AM115" i="2"/>
  <c r="AM116" i="2"/>
  <c r="AM117" i="2"/>
  <c r="AM118" i="2"/>
  <c r="AM119" i="2"/>
  <c r="AM120" i="2"/>
  <c r="AM121" i="2"/>
  <c r="AM122" i="2"/>
  <c r="AM123" i="2"/>
  <c r="AM124" i="2"/>
  <c r="AM125" i="2"/>
  <c r="AM126" i="2"/>
  <c r="AM127" i="2"/>
  <c r="AM128" i="2"/>
  <c r="AM129" i="2"/>
  <c r="AM130" i="2"/>
  <c r="AM131" i="2"/>
  <c r="AM132" i="2"/>
  <c r="AM133" i="2"/>
  <c r="AM134" i="2"/>
  <c r="AM135" i="2"/>
  <c r="AM136" i="2"/>
  <c r="AM137" i="2"/>
  <c r="AM138" i="2"/>
  <c r="AM139" i="2"/>
  <c r="AM140" i="2"/>
  <c r="AM141" i="2"/>
  <c r="AM142" i="2"/>
  <c r="AM143" i="2"/>
  <c r="AM144" i="2"/>
  <c r="AM145" i="2"/>
  <c r="AM146" i="2"/>
  <c r="AM147" i="2"/>
  <c r="AM148" i="2"/>
  <c r="AM149" i="2"/>
  <c r="AM150" i="2"/>
  <c r="AM151" i="2"/>
  <c r="AM152" i="2"/>
  <c r="AM153" i="2"/>
  <c r="AM154" i="2"/>
  <c r="AM155" i="2"/>
  <c r="AM156" i="2"/>
  <c r="AM157" i="2"/>
  <c r="AM158" i="2"/>
  <c r="AM159" i="2"/>
  <c r="AM160" i="2"/>
  <c r="AM161" i="2"/>
  <c r="AM162" i="2"/>
  <c r="AM163" i="2"/>
  <c r="AM164" i="2"/>
  <c r="AM165" i="2"/>
  <c r="AM166" i="2"/>
  <c r="AM167" i="2"/>
  <c r="AM168" i="2"/>
  <c r="AM169" i="2"/>
  <c r="AM170" i="2"/>
  <c r="AM171" i="2"/>
  <c r="AM172" i="2"/>
  <c r="AM173" i="2"/>
  <c r="AM174" i="2"/>
  <c r="AM175" i="2"/>
  <c r="AM176" i="2"/>
  <c r="AM177" i="2"/>
  <c r="AM178" i="2"/>
  <c r="AM179" i="2"/>
  <c r="AM180" i="2"/>
  <c r="AM181" i="2"/>
  <c r="AM182" i="2"/>
  <c r="AM183" i="2"/>
  <c r="AM184" i="2"/>
  <c r="AM185" i="2"/>
  <c r="AM186" i="2"/>
  <c r="AM187" i="2"/>
  <c r="AM188" i="2"/>
  <c r="AM189" i="2"/>
  <c r="AM190" i="2"/>
  <c r="AM191" i="2"/>
  <c r="AM192" i="2"/>
  <c r="AM193" i="2"/>
  <c r="AM194" i="2"/>
  <c r="AM195" i="2"/>
  <c r="AM196" i="2"/>
  <c r="AM197" i="2"/>
  <c r="AM198" i="2"/>
  <c r="AM199" i="2"/>
  <c r="AM200" i="2"/>
  <c r="AM201" i="2"/>
  <c r="AM202" i="2"/>
  <c r="AM203" i="2"/>
  <c r="AM204" i="2"/>
  <c r="AM205" i="2"/>
  <c r="AM206" i="2"/>
  <c r="AM207" i="2"/>
  <c r="AM208" i="2"/>
  <c r="AM209" i="2"/>
  <c r="AM210" i="2"/>
  <c r="AM211" i="2"/>
  <c r="AM212" i="2"/>
  <c r="AM213" i="2"/>
  <c r="AM214" i="2"/>
  <c r="AM215" i="2"/>
  <c r="AM216" i="2"/>
  <c r="AM217" i="2"/>
  <c r="AM218" i="2"/>
  <c r="AM219" i="2"/>
  <c r="AM220" i="2"/>
  <c r="AM221" i="2"/>
  <c r="AM222" i="2"/>
  <c r="AM223" i="2"/>
  <c r="AM224" i="2"/>
  <c r="AM225" i="2"/>
  <c r="AM226" i="2"/>
  <c r="AM227" i="2"/>
  <c r="AM228" i="2"/>
  <c r="AM229" i="2"/>
  <c r="AM230" i="2"/>
  <c r="AM231" i="2"/>
  <c r="AM232" i="2"/>
  <c r="AM233" i="2"/>
  <c r="AM234" i="2"/>
  <c r="AM235" i="2"/>
  <c r="AM236" i="2"/>
  <c r="AM237" i="2"/>
  <c r="AM238" i="2"/>
  <c r="AM239" i="2"/>
  <c r="AM240" i="2"/>
  <c r="AM241" i="2"/>
  <c r="AM242" i="2"/>
  <c r="AM243" i="2"/>
  <c r="AM244" i="2"/>
  <c r="AM245" i="2"/>
  <c r="AM246" i="2"/>
  <c r="AM247" i="2"/>
  <c r="AM248" i="2"/>
  <c r="AM249" i="2"/>
  <c r="AM250" i="2"/>
  <c r="AM251" i="2"/>
  <c r="AM252" i="2"/>
  <c r="AM253" i="2"/>
  <c r="AM254" i="2"/>
  <c r="AM255" i="2"/>
  <c r="AM256" i="2"/>
  <c r="AM257" i="2"/>
  <c r="AM258" i="2"/>
  <c r="AM259" i="2"/>
  <c r="AM260" i="2"/>
  <c r="AM261" i="2"/>
  <c r="AM262" i="2"/>
  <c r="AM263" i="2"/>
  <c r="AM264" i="2"/>
  <c r="AM265" i="2"/>
  <c r="AM266" i="2"/>
  <c r="AM267" i="2"/>
  <c r="AM268" i="2"/>
  <c r="AM269" i="2"/>
  <c r="AM270" i="2"/>
  <c r="AM271" i="2"/>
  <c r="AM272" i="2"/>
  <c r="AM273" i="2"/>
  <c r="AM274" i="2"/>
  <c r="AM275" i="2"/>
  <c r="AM276" i="2"/>
  <c r="AM277" i="2"/>
  <c r="AM278" i="2"/>
  <c r="AM279" i="2"/>
  <c r="AM280" i="2"/>
  <c r="AM281" i="2"/>
  <c r="AM282" i="2"/>
  <c r="AM283" i="2"/>
  <c r="AM284" i="2"/>
  <c r="AM285" i="2"/>
  <c r="AM286" i="2"/>
  <c r="AM287" i="2"/>
  <c r="AM288" i="2"/>
  <c r="AM289" i="2"/>
  <c r="AM290" i="2"/>
  <c r="AM291" i="2"/>
  <c r="AM292" i="2"/>
  <c r="AM293" i="2"/>
  <c r="AM294" i="2"/>
  <c r="AM295" i="2"/>
  <c r="AM296" i="2"/>
  <c r="AM297" i="2"/>
  <c r="AM298" i="2"/>
  <c r="AM299" i="2"/>
  <c r="AM300" i="2"/>
  <c r="AM301" i="2"/>
  <c r="AM302" i="2"/>
  <c r="AM303" i="2"/>
  <c r="AM304" i="2"/>
  <c r="AM305" i="2"/>
  <c r="AM306" i="2"/>
  <c r="AM307" i="2"/>
  <c r="AM308" i="2"/>
  <c r="AM309" i="2"/>
  <c r="AM310" i="2"/>
  <c r="AM311" i="2"/>
  <c r="AM312" i="2"/>
  <c r="AM313" i="2"/>
  <c r="AM314" i="2"/>
  <c r="AM315" i="2"/>
  <c r="AM316" i="2"/>
  <c r="AM317" i="2"/>
  <c r="AM318" i="2"/>
  <c r="AM319" i="2"/>
  <c r="AM320" i="2"/>
  <c r="AM321" i="2"/>
  <c r="AM322" i="2"/>
  <c r="AM323" i="2"/>
  <c r="AM324" i="2"/>
  <c r="AM325" i="2"/>
  <c r="AM326" i="2"/>
  <c r="AM327" i="2"/>
  <c r="AM328" i="2"/>
  <c r="AM329" i="2"/>
  <c r="AM330" i="2"/>
  <c r="AM331" i="2"/>
  <c r="AM332" i="2"/>
  <c r="AM333" i="2"/>
  <c r="AM334" i="2"/>
  <c r="AM335" i="2"/>
  <c r="AM336" i="2"/>
  <c r="AM337" i="2"/>
  <c r="AM338" i="2"/>
  <c r="AM339" i="2"/>
  <c r="AM340" i="2"/>
  <c r="AM341" i="2"/>
  <c r="AM342" i="2"/>
  <c r="AM343" i="2"/>
  <c r="AM344" i="2"/>
  <c r="AM345" i="2"/>
  <c r="AM346" i="2"/>
  <c r="AM347" i="2"/>
  <c r="AM348" i="2"/>
  <c r="AM349" i="2"/>
  <c r="AM350" i="2"/>
  <c r="AM351" i="2"/>
  <c r="AM352" i="2"/>
  <c r="AM353" i="2"/>
  <c r="AM354" i="2"/>
  <c r="AM355" i="2"/>
  <c r="AM356" i="2"/>
  <c r="AM357" i="2"/>
  <c r="AM358" i="2"/>
  <c r="AM359" i="2"/>
  <c r="AM360" i="2"/>
  <c r="AM361" i="2"/>
  <c r="AM362" i="2"/>
  <c r="AM363" i="2"/>
  <c r="AM364" i="2"/>
  <c r="AM365" i="2"/>
  <c r="AM366" i="2"/>
  <c r="AM367" i="2"/>
  <c r="AM368" i="2"/>
  <c r="AM369" i="2"/>
  <c r="AM370" i="2"/>
  <c r="AM371" i="2"/>
  <c r="AM372" i="2"/>
  <c r="AM373" i="2"/>
  <c r="AM374" i="2"/>
  <c r="AM375" i="2"/>
  <c r="AM376" i="2"/>
  <c r="AM377" i="2"/>
  <c r="AM378" i="2"/>
  <c r="AM379" i="2"/>
  <c r="AM380" i="2"/>
  <c r="AM381" i="2"/>
  <c r="AM382" i="2"/>
  <c r="AM383" i="2"/>
  <c r="AM384" i="2"/>
  <c r="AM385" i="2"/>
  <c r="AM386" i="2"/>
  <c r="AM387" i="2"/>
  <c r="AM388" i="2"/>
  <c r="AM389" i="2"/>
  <c r="AM390" i="2"/>
  <c r="AM391" i="2"/>
  <c r="AM392" i="2"/>
  <c r="AM393" i="2"/>
  <c r="AM394" i="2"/>
  <c r="AM395" i="2"/>
  <c r="AM396" i="2"/>
  <c r="AM397" i="2"/>
  <c r="AM398" i="2"/>
  <c r="AM399" i="2"/>
  <c r="AM400" i="2"/>
  <c r="AM401" i="2"/>
  <c r="AM402" i="2"/>
  <c r="AM403" i="2"/>
  <c r="AM404" i="2"/>
  <c r="AM405" i="2"/>
  <c r="AM406" i="2"/>
  <c r="AM407" i="2"/>
  <c r="AM408" i="2"/>
  <c r="AM409" i="2"/>
  <c r="AM410" i="2"/>
  <c r="AM411" i="2"/>
  <c r="AM412" i="2"/>
  <c r="AM413" i="2"/>
  <c r="AM414" i="2"/>
  <c r="AM415" i="2"/>
  <c r="AM416" i="2"/>
  <c r="AM417" i="2"/>
  <c r="AM418" i="2"/>
  <c r="AM419" i="2"/>
  <c r="AM420" i="2"/>
  <c r="AM421" i="2"/>
  <c r="AM422" i="2"/>
  <c r="AM423" i="2"/>
  <c r="AM424" i="2"/>
  <c r="AM425" i="2"/>
  <c r="AM426" i="2"/>
  <c r="AM427" i="2"/>
  <c r="AM428" i="2"/>
  <c r="AM429" i="2"/>
  <c r="AM430" i="2"/>
  <c r="AM431" i="2"/>
  <c r="AM432" i="2"/>
  <c r="AM433" i="2"/>
  <c r="AM434" i="2"/>
  <c r="AM435" i="2"/>
  <c r="AM436" i="2"/>
  <c r="AM437" i="2"/>
  <c r="AM438" i="2"/>
  <c r="AM439" i="2"/>
  <c r="AM440" i="2"/>
  <c r="AM441" i="2"/>
  <c r="AM442" i="2"/>
  <c r="AM443" i="2"/>
  <c r="AM444" i="2"/>
  <c r="AM445" i="2"/>
  <c r="AM446" i="2"/>
  <c r="AM447" i="2"/>
  <c r="AM448" i="2"/>
  <c r="AM449" i="2"/>
  <c r="AM450" i="2"/>
  <c r="AM451" i="2"/>
  <c r="AM452" i="2"/>
  <c r="AM453" i="2"/>
  <c r="AM454" i="2"/>
  <c r="AM455" i="2"/>
  <c r="AM456" i="2"/>
  <c r="AM457" i="2"/>
  <c r="AM458" i="2"/>
  <c r="AM459" i="2"/>
  <c r="AM460" i="2"/>
  <c r="AM461" i="2"/>
  <c r="AM462" i="2"/>
  <c r="AM463" i="2"/>
  <c r="AM464" i="2"/>
  <c r="AM465" i="2"/>
  <c r="AM466" i="2"/>
  <c r="AM467" i="2"/>
  <c r="AM468" i="2"/>
  <c r="AM469" i="2"/>
  <c r="AM470" i="2"/>
  <c r="AM471" i="2"/>
  <c r="AM472" i="2"/>
  <c r="AM473" i="2"/>
  <c r="AM474" i="2"/>
  <c r="AM475" i="2"/>
  <c r="AM476" i="2"/>
  <c r="AM477" i="2"/>
  <c r="AM478" i="2"/>
  <c r="AM479" i="2"/>
  <c r="AM480" i="2"/>
  <c r="AM481" i="2"/>
  <c r="AM482" i="2"/>
  <c r="AM483" i="2"/>
  <c r="AM484" i="2"/>
  <c r="AM485" i="2"/>
  <c r="AM486" i="2"/>
  <c r="AM487" i="2"/>
  <c r="AM488" i="2"/>
  <c r="AM489" i="2"/>
  <c r="AM490" i="2"/>
  <c r="AM491" i="2"/>
  <c r="AM492" i="2"/>
  <c r="AM493" i="2"/>
  <c r="AM494" i="2"/>
  <c r="AM495" i="2"/>
  <c r="AM496" i="2"/>
  <c r="AM497" i="2"/>
  <c r="AM498" i="2"/>
  <c r="AM499" i="2"/>
  <c r="AM500" i="2"/>
  <c r="AM501" i="2"/>
  <c r="AM502" i="2"/>
  <c r="AM503" i="2"/>
  <c r="AM504" i="2"/>
  <c r="AM505" i="2"/>
  <c r="AM506" i="2"/>
  <c r="AM507" i="2"/>
  <c r="AM508" i="2"/>
  <c r="AM509" i="2"/>
  <c r="AM510" i="2"/>
  <c r="AM511" i="2"/>
  <c r="AM512" i="2"/>
  <c r="AM513" i="2"/>
  <c r="AM514" i="2"/>
  <c r="AM515" i="2"/>
  <c r="AM516" i="2"/>
  <c r="AM517" i="2"/>
  <c r="AM518" i="2"/>
  <c r="AM519" i="2"/>
  <c r="AM520" i="2"/>
  <c r="AM521" i="2"/>
  <c r="AM522" i="2"/>
  <c r="AM523" i="2"/>
  <c r="AM524" i="2"/>
  <c r="AM525" i="2"/>
  <c r="AM526" i="2"/>
  <c r="AM527" i="2"/>
  <c r="AM528" i="2"/>
  <c r="AM529" i="2"/>
  <c r="AM530" i="2"/>
  <c r="AM531" i="2"/>
  <c r="AM532" i="2"/>
  <c r="AM533" i="2"/>
  <c r="AM534" i="2"/>
  <c r="AM535" i="2"/>
  <c r="AM536" i="2"/>
  <c r="AM537" i="2"/>
  <c r="AM538" i="2"/>
  <c r="AM539" i="2"/>
  <c r="AM540" i="2"/>
  <c r="AM541" i="2"/>
  <c r="AM542" i="2"/>
  <c r="AM543" i="2"/>
  <c r="AM544" i="2"/>
  <c r="AM545" i="2"/>
  <c r="AM546" i="2"/>
  <c r="AM547" i="2"/>
  <c r="AM548" i="2"/>
  <c r="AM549" i="2"/>
  <c r="AM550" i="2"/>
  <c r="AM551" i="2"/>
  <c r="AM552" i="2"/>
  <c r="AM553" i="2"/>
  <c r="AM554" i="2"/>
  <c r="AM555" i="2"/>
  <c r="AM556" i="2"/>
  <c r="AM557" i="2"/>
  <c r="AM558" i="2"/>
  <c r="AM559" i="2"/>
  <c r="AM560" i="2"/>
  <c r="AM561" i="2"/>
  <c r="AM562" i="2"/>
  <c r="AM563" i="2"/>
  <c r="AM564" i="2"/>
  <c r="AM565" i="2"/>
  <c r="AM566" i="2"/>
  <c r="AM567" i="2"/>
  <c r="AM568" i="2"/>
  <c r="AM569" i="2"/>
  <c r="AM570" i="2"/>
  <c r="AM571" i="2"/>
  <c r="AM572" i="2"/>
  <c r="AM573" i="2"/>
  <c r="AM574" i="2"/>
  <c r="AM575" i="2"/>
  <c r="AM576" i="2"/>
  <c r="AM577" i="2"/>
  <c r="AM578" i="2"/>
  <c r="AM579" i="2"/>
  <c r="AM580" i="2"/>
  <c r="AM581" i="2"/>
  <c r="AM582" i="2"/>
  <c r="AM583" i="2"/>
  <c r="AM584" i="2"/>
  <c r="AM585" i="2"/>
  <c r="AM586" i="2"/>
  <c r="AM587" i="2"/>
  <c r="AM588" i="2"/>
  <c r="AM589" i="2"/>
  <c r="AM590" i="2"/>
  <c r="AM591" i="2"/>
  <c r="AM592" i="2"/>
  <c r="AM593" i="2"/>
  <c r="AM594" i="2"/>
  <c r="AM595" i="2"/>
  <c r="AM596" i="2"/>
  <c r="AM597" i="2"/>
  <c r="AM598" i="2"/>
  <c r="AM599" i="2"/>
  <c r="AM600" i="2"/>
  <c r="AM601" i="2"/>
  <c r="AM602" i="2"/>
  <c r="AM603" i="2"/>
  <c r="AM604" i="2"/>
  <c r="AM605" i="2"/>
  <c r="AM606" i="2"/>
  <c r="AM607" i="2"/>
  <c r="AM608" i="2"/>
  <c r="AM609" i="2"/>
  <c r="AM610" i="2"/>
  <c r="AM611" i="2"/>
  <c r="AM612" i="2"/>
  <c r="AM613" i="2"/>
  <c r="AM614" i="2"/>
  <c r="AM615" i="2"/>
  <c r="AM616" i="2"/>
  <c r="AM617" i="2"/>
  <c r="AM618" i="2"/>
  <c r="AM619" i="2"/>
  <c r="AM620" i="2"/>
  <c r="AM621" i="2"/>
  <c r="AM622" i="2"/>
  <c r="AM623" i="2"/>
  <c r="AM624" i="2"/>
  <c r="AM625" i="2"/>
  <c r="AM626" i="2"/>
  <c r="AM627" i="2"/>
  <c r="AM628" i="2"/>
  <c r="AM629" i="2"/>
  <c r="AM630" i="2"/>
  <c r="AM631" i="2"/>
  <c r="AM632" i="2"/>
  <c r="AM633" i="2"/>
  <c r="AM634" i="2"/>
  <c r="AM635" i="2"/>
  <c r="AM636" i="2"/>
  <c r="AM637" i="2"/>
  <c r="AM638" i="2"/>
  <c r="AM639" i="2"/>
  <c r="AM640" i="2"/>
  <c r="AM641" i="2"/>
  <c r="AM642" i="2"/>
  <c r="AM643" i="2"/>
  <c r="AM644" i="2"/>
  <c r="AM645" i="2"/>
  <c r="AM646" i="2"/>
  <c r="AM647" i="2"/>
  <c r="AM648" i="2"/>
  <c r="AM649" i="2"/>
  <c r="AM650" i="2"/>
  <c r="AM651" i="2"/>
  <c r="AM652" i="2"/>
  <c r="AM653" i="2"/>
  <c r="AM654" i="2"/>
  <c r="AM655" i="2"/>
  <c r="AM656" i="2"/>
  <c r="AM657" i="2"/>
  <c r="AM658" i="2"/>
  <c r="AM659" i="2"/>
  <c r="AM660" i="2"/>
  <c r="AM661" i="2"/>
  <c r="AM662" i="2"/>
  <c r="AM663" i="2"/>
  <c r="AM664" i="2"/>
  <c r="AM665" i="2"/>
  <c r="AM666" i="2"/>
  <c r="AM667" i="2"/>
  <c r="AM668" i="2"/>
  <c r="AM669" i="2"/>
  <c r="AM670" i="2"/>
  <c r="AM671" i="2"/>
  <c r="AM672" i="2"/>
  <c r="AM673" i="2"/>
  <c r="AM674" i="2"/>
  <c r="AM675" i="2"/>
  <c r="AM676" i="2"/>
  <c r="AM677" i="2"/>
  <c r="AM678" i="2"/>
  <c r="AM679" i="2"/>
  <c r="AM680" i="2"/>
  <c r="AM681" i="2"/>
  <c r="AM682" i="2"/>
  <c r="AM683" i="2"/>
  <c r="AM684" i="2"/>
  <c r="AM685" i="2"/>
  <c r="AM686" i="2"/>
  <c r="AM687" i="2"/>
  <c r="AM688" i="2"/>
  <c r="AM689" i="2"/>
  <c r="AM690" i="2"/>
  <c r="AM691" i="2"/>
  <c r="AM692" i="2"/>
  <c r="AM693" i="2"/>
  <c r="AM694" i="2"/>
  <c r="AM695" i="2"/>
  <c r="AM696" i="2"/>
  <c r="AM697" i="2"/>
  <c r="AM698" i="2"/>
  <c r="AM699" i="2"/>
  <c r="AM700" i="2"/>
  <c r="AM701" i="2"/>
  <c r="AM702" i="2"/>
  <c r="AM703" i="2"/>
  <c r="AM704" i="2"/>
  <c r="AM705" i="2"/>
  <c r="AM706" i="2"/>
  <c r="AM707" i="2"/>
  <c r="AM708" i="2"/>
  <c r="AM709" i="2"/>
  <c r="AM710" i="2"/>
  <c r="AM711" i="2"/>
  <c r="AM712" i="2"/>
  <c r="AM713" i="2"/>
  <c r="AM714" i="2"/>
  <c r="AM715" i="2"/>
  <c r="AM716" i="2"/>
  <c r="AM717" i="2"/>
  <c r="AM718" i="2"/>
  <c r="AM719" i="2"/>
  <c r="AM720" i="2"/>
  <c r="AM721" i="2"/>
  <c r="AM722" i="2"/>
  <c r="AM723" i="2"/>
  <c r="AM724" i="2"/>
  <c r="AM725" i="2"/>
  <c r="AM726" i="2"/>
  <c r="AM727" i="2"/>
  <c r="AM728" i="2"/>
  <c r="AM729" i="2"/>
  <c r="AM730" i="2"/>
  <c r="AM731" i="2"/>
  <c r="AM732" i="2"/>
  <c r="AM733" i="2"/>
  <c r="AM734" i="2"/>
  <c r="AM735" i="2"/>
  <c r="AM736" i="2"/>
  <c r="AM737" i="2"/>
  <c r="AM738" i="2"/>
  <c r="AM739" i="2"/>
  <c r="AM740" i="2"/>
  <c r="AM741" i="2"/>
  <c r="AM742" i="2"/>
  <c r="AM743" i="2"/>
  <c r="AM744" i="2"/>
  <c r="AM745" i="2"/>
  <c r="AM746" i="2"/>
  <c r="AM747" i="2"/>
  <c r="AM748" i="2"/>
  <c r="AM749" i="2"/>
  <c r="AM750" i="2"/>
  <c r="AM751" i="2"/>
  <c r="AM752" i="2"/>
  <c r="AM753" i="2"/>
  <c r="AM754" i="2"/>
  <c r="AM755" i="2"/>
  <c r="AM756" i="2"/>
  <c r="AM757" i="2"/>
  <c r="AM758" i="2"/>
  <c r="AM759" i="2"/>
  <c r="AM760" i="2"/>
  <c r="AM761" i="2"/>
  <c r="AM762" i="2"/>
  <c r="AM763" i="2"/>
  <c r="AM764" i="2"/>
  <c r="AM765" i="2"/>
  <c r="AM766" i="2"/>
  <c r="AM767" i="2"/>
  <c r="AM768" i="2"/>
  <c r="AM769" i="2"/>
  <c r="AM770" i="2"/>
  <c r="AM771" i="2"/>
  <c r="AM772" i="2"/>
  <c r="AM773" i="2"/>
  <c r="AM774" i="2"/>
  <c r="AM775" i="2"/>
  <c r="AM776" i="2"/>
  <c r="AM777" i="2"/>
  <c r="AM778" i="2"/>
  <c r="AM779" i="2"/>
  <c r="AM780" i="2"/>
  <c r="AM781" i="2"/>
  <c r="AM782" i="2"/>
  <c r="AM783" i="2"/>
  <c r="AM784" i="2"/>
  <c r="AM785" i="2"/>
  <c r="AM786" i="2"/>
  <c r="AM787" i="2"/>
  <c r="AM788" i="2"/>
  <c r="AM789" i="2"/>
  <c r="AM790" i="2"/>
  <c r="AM791" i="2"/>
  <c r="AM792" i="2"/>
  <c r="AM793" i="2"/>
  <c r="AM794" i="2"/>
  <c r="AM795" i="2"/>
  <c r="AM796" i="2"/>
  <c r="AM797" i="2"/>
  <c r="AM798" i="2"/>
  <c r="AM799" i="2"/>
  <c r="AM800" i="2"/>
  <c r="AM801" i="2"/>
  <c r="AM802" i="2"/>
  <c r="AM803" i="2"/>
  <c r="AM804" i="2"/>
  <c r="AM805" i="2"/>
  <c r="AM806" i="2"/>
  <c r="AM807" i="2"/>
  <c r="AM808" i="2"/>
  <c r="AM809" i="2"/>
  <c r="AM810" i="2"/>
  <c r="AM811" i="2"/>
  <c r="AM812" i="2"/>
  <c r="AM813" i="2"/>
  <c r="AM814" i="2"/>
  <c r="AM815" i="2"/>
  <c r="AM816" i="2"/>
  <c r="AM817" i="2"/>
  <c r="AM818" i="2"/>
  <c r="AM819" i="2"/>
  <c r="AM820" i="2"/>
  <c r="AM821" i="2"/>
  <c r="AM822" i="2"/>
  <c r="AM823" i="2"/>
  <c r="AM824" i="2"/>
  <c r="AM825" i="2"/>
  <c r="AM826" i="2"/>
  <c r="AM827" i="2"/>
  <c r="AM828" i="2"/>
  <c r="AM829" i="2"/>
  <c r="AM830" i="2"/>
  <c r="AM831" i="2"/>
  <c r="AM832" i="2"/>
  <c r="AM833" i="2"/>
  <c r="AM834" i="2"/>
  <c r="AM835" i="2"/>
  <c r="AM836" i="2"/>
  <c r="AM837" i="2"/>
  <c r="AM838" i="2"/>
  <c r="AM839" i="2"/>
  <c r="AM840" i="2"/>
  <c r="AM841" i="2"/>
  <c r="AM842" i="2"/>
  <c r="AM843" i="2"/>
  <c r="AM844" i="2"/>
  <c r="AM845" i="2"/>
  <c r="AM846" i="2"/>
  <c r="AM847" i="2"/>
  <c r="AM848" i="2"/>
  <c r="AM849" i="2"/>
  <c r="AM850" i="2"/>
  <c r="AM851" i="2"/>
  <c r="AM852" i="2"/>
  <c r="AM853" i="2"/>
  <c r="AM854" i="2"/>
  <c r="AM855" i="2"/>
  <c r="AM856" i="2"/>
  <c r="AM857" i="2"/>
  <c r="AM858" i="2"/>
  <c r="AM859" i="2"/>
  <c r="AM860" i="2"/>
  <c r="AM861" i="2"/>
  <c r="AM862" i="2"/>
  <c r="AM863" i="2"/>
  <c r="AM864" i="2"/>
  <c r="AM865" i="2"/>
  <c r="AM866" i="2"/>
  <c r="AM867" i="2"/>
  <c r="AM868" i="2"/>
  <c r="AM869" i="2"/>
  <c r="AM870" i="2"/>
  <c r="AM871" i="2"/>
  <c r="AM872" i="2"/>
  <c r="AM873" i="2"/>
  <c r="AM874" i="2"/>
  <c r="AM875" i="2"/>
  <c r="AM876" i="2"/>
  <c r="AM877" i="2"/>
  <c r="AM878" i="2"/>
  <c r="AM879" i="2"/>
  <c r="AM880" i="2"/>
  <c r="AM881" i="2"/>
  <c r="AM882" i="2"/>
  <c r="AM883" i="2"/>
  <c r="AM884" i="2"/>
  <c r="AM885" i="2"/>
  <c r="AM886" i="2"/>
  <c r="AM887" i="2"/>
  <c r="AM888" i="2"/>
  <c r="AM889" i="2"/>
  <c r="AM890" i="2"/>
  <c r="AM891" i="2"/>
  <c r="AM892" i="2"/>
  <c r="AM893" i="2"/>
  <c r="AM894" i="2"/>
  <c r="AM895" i="2"/>
  <c r="AM896" i="2"/>
  <c r="AM897" i="2"/>
  <c r="AM898" i="2"/>
  <c r="AM899" i="2"/>
  <c r="AM900" i="2"/>
  <c r="AM901" i="2"/>
  <c r="AM902" i="2"/>
  <c r="AM903" i="2"/>
  <c r="AM904" i="2"/>
  <c r="AM905" i="2"/>
  <c r="AM906" i="2"/>
  <c r="AM907" i="2"/>
  <c r="AM908" i="2"/>
  <c r="AM909" i="2"/>
  <c r="AM910" i="2"/>
  <c r="AM911" i="2"/>
  <c r="AM912" i="2"/>
  <c r="AM913" i="2"/>
  <c r="AM914" i="2"/>
  <c r="AM915" i="2"/>
  <c r="AM916" i="2"/>
  <c r="AM917" i="2"/>
  <c r="AM918" i="2"/>
  <c r="AM919" i="2"/>
  <c r="AM920" i="2"/>
  <c r="AM921" i="2"/>
  <c r="AM922" i="2"/>
  <c r="AM923" i="2"/>
  <c r="AM924" i="2"/>
  <c r="AM925" i="2"/>
  <c r="AM926" i="2"/>
  <c r="AM927" i="2"/>
  <c r="AM928" i="2"/>
  <c r="AM929" i="2"/>
  <c r="AM930" i="2"/>
  <c r="AM931" i="2"/>
  <c r="AM932" i="2"/>
  <c r="AM933" i="2"/>
  <c r="AM934" i="2"/>
  <c r="AM935" i="2"/>
  <c r="AM936" i="2"/>
  <c r="AM937" i="2"/>
  <c r="AM938" i="2"/>
  <c r="AM939" i="2"/>
  <c r="AM940" i="2"/>
  <c r="AM941" i="2"/>
  <c r="AM942" i="2"/>
  <c r="AM943" i="2"/>
  <c r="AM944" i="2"/>
  <c r="AM945" i="2"/>
  <c r="AM946" i="2"/>
  <c r="AM947" i="2"/>
  <c r="AM948" i="2"/>
  <c r="AM949" i="2"/>
  <c r="AM950" i="2"/>
  <c r="AM951" i="2"/>
  <c r="AM952" i="2"/>
  <c r="AM953" i="2"/>
  <c r="AM954" i="2"/>
  <c r="AM955" i="2"/>
  <c r="AM956" i="2"/>
  <c r="AM957" i="2"/>
  <c r="AM958" i="2"/>
  <c r="AM959" i="2"/>
  <c r="AM960" i="2"/>
  <c r="AM961" i="2"/>
  <c r="AM962" i="2"/>
  <c r="AM963" i="2"/>
  <c r="AM964" i="2"/>
  <c r="AM965" i="2"/>
  <c r="AM966" i="2"/>
  <c r="AM967" i="2"/>
  <c r="AM968" i="2"/>
  <c r="AM969" i="2"/>
  <c r="AM970" i="2"/>
  <c r="AM971" i="2"/>
  <c r="AM972" i="2"/>
  <c r="AM973" i="2"/>
  <c r="AM974" i="2"/>
  <c r="AM975" i="2"/>
  <c r="AM976" i="2"/>
  <c r="AM977" i="2"/>
  <c r="AM978" i="2"/>
  <c r="AM979" i="2"/>
  <c r="AM980" i="2"/>
  <c r="AM981" i="2"/>
  <c r="AM982" i="2"/>
  <c r="AM983" i="2"/>
  <c r="AM984" i="2"/>
  <c r="AM985" i="2"/>
  <c r="AM986" i="2"/>
  <c r="AM987" i="2"/>
  <c r="AM988" i="2"/>
  <c r="AM989" i="2"/>
  <c r="AM990" i="2"/>
  <c r="AM991" i="2"/>
  <c r="AM992" i="2"/>
  <c r="AM993" i="2"/>
  <c r="AM994" i="2"/>
  <c r="AM995" i="2"/>
  <c r="AM996" i="2"/>
  <c r="AM997" i="2"/>
  <c r="AM998" i="2"/>
  <c r="AM999" i="2"/>
  <c r="AM1000" i="2"/>
  <c r="AM1001" i="2"/>
  <c r="AM1002" i="2"/>
  <c r="AM1003" i="2"/>
  <c r="AM1004" i="2"/>
  <c r="AM1005" i="2"/>
  <c r="AM1006" i="2"/>
  <c r="AM1007" i="2"/>
  <c r="AM1008" i="2"/>
  <c r="AM1009" i="2"/>
  <c r="AM1010" i="2"/>
  <c r="AM1011" i="2"/>
  <c r="AM1012" i="2"/>
  <c r="AM1013" i="2"/>
  <c r="AM1014" i="2"/>
  <c r="AM1015" i="2"/>
  <c r="AM1016" i="2"/>
  <c r="AM1017" i="2"/>
  <c r="AM1018" i="2"/>
  <c r="AM1019" i="2"/>
  <c r="AM1020" i="2"/>
  <c r="AM1021" i="2"/>
  <c r="AM1022" i="2"/>
  <c r="AM1023" i="2"/>
  <c r="AM1024" i="2"/>
  <c r="AM1025" i="2"/>
  <c r="AM1026" i="2"/>
  <c r="AM1027" i="2"/>
  <c r="AM1028" i="2"/>
  <c r="AM1029" i="2"/>
  <c r="AM1030" i="2"/>
  <c r="AM1031" i="2"/>
  <c r="AM1032" i="2"/>
  <c r="AM1033" i="2"/>
  <c r="AM1034" i="2"/>
  <c r="AM1035" i="2"/>
  <c r="AM1036" i="2"/>
  <c r="AM1037" i="2"/>
  <c r="AM1038" i="2"/>
  <c r="AM1039" i="2"/>
  <c r="AM1040" i="2"/>
  <c r="AM1041" i="2"/>
  <c r="AM1042" i="2"/>
  <c r="AM1043" i="2"/>
  <c r="AM1044" i="2"/>
  <c r="AM1045" i="2"/>
  <c r="AM1046" i="2"/>
  <c r="AM1047" i="2"/>
  <c r="AM1048" i="2"/>
  <c r="AM1049" i="2"/>
  <c r="AM1050" i="2"/>
  <c r="AM1051" i="2"/>
  <c r="AM1052" i="2"/>
  <c r="AM1053" i="2"/>
  <c r="AM1054" i="2"/>
  <c r="AM1055" i="2"/>
  <c r="AM1056" i="2"/>
  <c r="AM1057" i="2"/>
  <c r="AM1058" i="2"/>
  <c r="AM1059" i="2"/>
  <c r="AM1060" i="2"/>
  <c r="AM1061" i="2"/>
  <c r="AM1062" i="2"/>
  <c r="AM1063" i="2"/>
  <c r="AM1064" i="2"/>
  <c r="AM1065" i="2"/>
  <c r="AM1066" i="2"/>
  <c r="AM1067" i="2"/>
  <c r="AM1068" i="2"/>
  <c r="AM1069" i="2"/>
  <c r="AM1070" i="2"/>
  <c r="AM1071" i="2"/>
  <c r="AM1072" i="2"/>
  <c r="AM1073" i="2"/>
  <c r="AM1074" i="2"/>
  <c r="AM1075" i="2"/>
  <c r="AM1076" i="2"/>
  <c r="AM1077" i="2"/>
  <c r="AM1078" i="2"/>
  <c r="AM1079" i="2"/>
  <c r="AM1080" i="2"/>
  <c r="AM1081" i="2"/>
  <c r="AM1082" i="2"/>
  <c r="AM1083" i="2"/>
  <c r="AM1084" i="2"/>
  <c r="AM1085" i="2"/>
  <c r="AM1086" i="2"/>
  <c r="AM1087" i="2"/>
  <c r="AM1088" i="2"/>
  <c r="AM1089" i="2"/>
  <c r="AM1090" i="2"/>
  <c r="AM1091" i="2"/>
  <c r="AM1092" i="2"/>
  <c r="AM1093" i="2"/>
  <c r="AM1094" i="2"/>
  <c r="AM1095" i="2"/>
  <c r="AM1096" i="2"/>
  <c r="AM1097" i="2"/>
  <c r="AM1098" i="2"/>
  <c r="AM1099" i="2"/>
  <c r="AM1100" i="2"/>
  <c r="AM1101" i="2"/>
  <c r="AM1102" i="2"/>
  <c r="AM1103" i="2"/>
  <c r="AM1104" i="2"/>
  <c r="AM1105" i="2"/>
  <c r="AM1106" i="2"/>
  <c r="AM1107" i="2"/>
  <c r="AM1108" i="2"/>
  <c r="AM1109" i="2"/>
  <c r="AM1110" i="2"/>
  <c r="AM1111" i="2"/>
  <c r="AM1112" i="2"/>
  <c r="AM1113" i="2"/>
  <c r="AM1114" i="2"/>
  <c r="AM1115" i="2"/>
  <c r="AM1116" i="2"/>
  <c r="AM1117" i="2"/>
  <c r="AM1118" i="2"/>
  <c r="AM1119" i="2"/>
  <c r="AM1120" i="2"/>
  <c r="AM1121" i="2"/>
  <c r="AM1122" i="2"/>
  <c r="AM1123" i="2"/>
  <c r="AM1124" i="2"/>
  <c r="AM1125" i="2"/>
  <c r="AM1126" i="2"/>
  <c r="AM1127" i="2"/>
  <c r="AM1128" i="2"/>
  <c r="AM1129" i="2"/>
  <c r="AM1130" i="2"/>
  <c r="AM1131" i="2"/>
  <c r="AM1132" i="2"/>
  <c r="AM1133" i="2"/>
  <c r="AM1134" i="2"/>
  <c r="AM1135" i="2"/>
  <c r="AM1136" i="2"/>
  <c r="AM1137" i="2"/>
  <c r="AM1138" i="2"/>
  <c r="AM1139" i="2"/>
  <c r="AM1140" i="2"/>
  <c r="AM1141" i="2"/>
  <c r="AM1142" i="2"/>
  <c r="AM1143" i="2"/>
  <c r="AM1144" i="2"/>
  <c r="AM1145" i="2"/>
  <c r="AM1146" i="2"/>
  <c r="AM1147" i="2"/>
  <c r="AM1148" i="2"/>
  <c r="AM1149" i="2"/>
  <c r="AM1150" i="2"/>
  <c r="AM1151" i="2"/>
  <c r="AM1152" i="2"/>
  <c r="AM1153" i="2"/>
  <c r="AM1154" i="2"/>
  <c r="AM1155" i="2"/>
  <c r="AM1156" i="2"/>
  <c r="AM1157" i="2"/>
  <c r="AM1158" i="2"/>
  <c r="AM1159" i="2"/>
  <c r="AM1160" i="2"/>
  <c r="AM1161" i="2"/>
  <c r="AM1162" i="2"/>
  <c r="AM1163" i="2"/>
  <c r="AM1164" i="2"/>
  <c r="AM1165" i="2"/>
  <c r="AM1166" i="2"/>
  <c r="AM1167" i="2"/>
  <c r="AM1168" i="2"/>
  <c r="AM1169" i="2"/>
  <c r="AM1170" i="2"/>
  <c r="AM1171" i="2"/>
  <c r="AM1172" i="2"/>
  <c r="AM1173" i="2"/>
  <c r="AM1174" i="2"/>
  <c r="AM1175" i="2"/>
  <c r="AM1176" i="2"/>
  <c r="AM1177" i="2"/>
  <c r="AM1178" i="2"/>
  <c r="AM1179" i="2"/>
  <c r="AM1180" i="2"/>
  <c r="AM1181" i="2"/>
  <c r="AM1182" i="2"/>
  <c r="AM1183" i="2"/>
  <c r="AM1184" i="2"/>
  <c r="AM1185" i="2"/>
  <c r="AM1186" i="2"/>
  <c r="AM1187" i="2"/>
  <c r="AM1188" i="2"/>
  <c r="AM1189" i="2"/>
  <c r="AM1190" i="2"/>
  <c r="AM1191" i="2"/>
  <c r="AM1192" i="2"/>
  <c r="AM1193" i="2"/>
  <c r="AM1194" i="2"/>
  <c r="AM1195" i="2"/>
  <c r="AM1196" i="2"/>
  <c r="AM1197" i="2"/>
  <c r="AM1198" i="2"/>
  <c r="AM1199" i="2"/>
  <c r="AM1200" i="2"/>
  <c r="AM1201" i="2"/>
  <c r="AM1202" i="2"/>
  <c r="AM1203" i="2"/>
  <c r="AM1204" i="2"/>
  <c r="AM1205" i="2"/>
  <c r="AM1206" i="2"/>
  <c r="AM1207" i="2"/>
  <c r="AM1208" i="2"/>
  <c r="AM1209" i="2"/>
  <c r="AM1210" i="2"/>
  <c r="AM1211" i="2"/>
  <c r="AM1212" i="2"/>
  <c r="AM1213" i="2"/>
  <c r="AM1214" i="2"/>
  <c r="AM1215" i="2"/>
  <c r="AM1216" i="2"/>
  <c r="AM1217" i="2"/>
  <c r="AM1218" i="2"/>
  <c r="AM1219" i="2"/>
  <c r="AM1220" i="2"/>
  <c r="AM1221" i="2"/>
  <c r="AM1222" i="2"/>
  <c r="AM1223" i="2"/>
  <c r="AM1224" i="2"/>
  <c r="AM1225" i="2"/>
  <c r="AM1226" i="2"/>
  <c r="AM1227" i="2"/>
  <c r="AM1228" i="2"/>
  <c r="AM1229" i="2"/>
  <c r="AM1230" i="2"/>
  <c r="AM1231" i="2"/>
  <c r="AM1232" i="2"/>
  <c r="AM1233" i="2"/>
  <c r="AM1234" i="2"/>
  <c r="AM1235" i="2"/>
  <c r="AM1236" i="2"/>
  <c r="AM1237" i="2"/>
  <c r="AM1238" i="2"/>
  <c r="AM1239" i="2"/>
  <c r="AM1240" i="2"/>
  <c r="AM1241" i="2"/>
  <c r="AM1242" i="2"/>
  <c r="AM1243" i="2"/>
  <c r="AM1244" i="2"/>
  <c r="AM1245" i="2"/>
  <c r="AM1246" i="2"/>
  <c r="AM1247" i="2"/>
  <c r="AM1248" i="2"/>
  <c r="AM1249" i="2"/>
  <c r="AM1250" i="2"/>
  <c r="AM1251" i="2"/>
  <c r="AM1252" i="2"/>
  <c r="AM1253" i="2"/>
  <c r="AM1254" i="2"/>
  <c r="AM1255" i="2"/>
  <c r="AM1256" i="2"/>
  <c r="AM1257" i="2"/>
  <c r="AM1258" i="2"/>
  <c r="AM1259" i="2"/>
  <c r="AM1260" i="2"/>
  <c r="AM1261" i="2"/>
  <c r="AM1262" i="2"/>
  <c r="AM1263" i="2"/>
  <c r="AM1264" i="2"/>
  <c r="AM1265" i="2"/>
  <c r="AM1266" i="2"/>
  <c r="AM1267" i="2"/>
  <c r="AM1268" i="2"/>
  <c r="AM1269" i="2"/>
  <c r="AM1270" i="2"/>
  <c r="AM1271" i="2"/>
  <c r="AM1272" i="2"/>
  <c r="AM1273" i="2"/>
  <c r="AM1274" i="2"/>
  <c r="AM1275" i="2"/>
  <c r="AM1276" i="2"/>
  <c r="AM1277" i="2"/>
  <c r="AM1278" i="2"/>
  <c r="AM1279" i="2"/>
  <c r="AM1280" i="2"/>
  <c r="AM1281" i="2"/>
  <c r="AM1282" i="2"/>
  <c r="AM1283" i="2"/>
  <c r="AM1284" i="2"/>
  <c r="AM1285" i="2"/>
  <c r="AM1286" i="2"/>
  <c r="AM1287" i="2"/>
  <c r="AM1288" i="2"/>
  <c r="AM1289" i="2"/>
  <c r="AM1290" i="2"/>
  <c r="AM1291" i="2"/>
  <c r="AM1292" i="2"/>
  <c r="AM1293" i="2"/>
  <c r="AM1294" i="2"/>
  <c r="AM1295" i="2"/>
  <c r="AM1296" i="2"/>
  <c r="AM1297" i="2"/>
  <c r="AM1298" i="2"/>
  <c r="AM1299" i="2"/>
  <c r="AM1300" i="2"/>
  <c r="AM1301" i="2"/>
  <c r="AM1302" i="2"/>
  <c r="AM1303" i="2"/>
  <c r="AM1304" i="2"/>
  <c r="AM1305" i="2"/>
  <c r="AM1306" i="2"/>
  <c r="AM1307" i="2"/>
  <c r="AM1308" i="2"/>
  <c r="AM1309" i="2"/>
  <c r="AM1310" i="2"/>
  <c r="AM1311" i="2"/>
  <c r="AM1312" i="2"/>
  <c r="AM1313" i="2"/>
  <c r="AM1314" i="2"/>
  <c r="AM1315" i="2"/>
  <c r="AM1316" i="2"/>
  <c r="AM1317" i="2"/>
  <c r="AM1318" i="2"/>
  <c r="AM1319" i="2"/>
  <c r="AM1320" i="2"/>
  <c r="AM1321" i="2"/>
  <c r="AM1322" i="2"/>
  <c r="AM1323" i="2"/>
  <c r="AM1324" i="2"/>
  <c r="AM1325" i="2"/>
  <c r="AM1326" i="2"/>
  <c r="AM1327" i="2"/>
  <c r="AM1328" i="2"/>
  <c r="AM1329" i="2"/>
  <c r="AM1330" i="2"/>
  <c r="AM1331" i="2"/>
  <c r="AM1332" i="2"/>
  <c r="AM1333" i="2"/>
  <c r="AM1334" i="2"/>
  <c r="AM1335" i="2"/>
  <c r="AM1336" i="2"/>
  <c r="AM1337" i="2"/>
  <c r="AM1338" i="2"/>
  <c r="AM1339" i="2"/>
  <c r="AM1340" i="2"/>
  <c r="AM1341" i="2"/>
  <c r="AM1342" i="2"/>
  <c r="AM1343" i="2"/>
  <c r="AM1344" i="2"/>
  <c r="AM1345" i="2"/>
  <c r="AM1346" i="2"/>
  <c r="AM1347" i="2"/>
  <c r="AM1348" i="2"/>
  <c r="AM1349" i="2"/>
  <c r="AM1350" i="2"/>
  <c r="AM1351" i="2"/>
  <c r="AM1352" i="2"/>
  <c r="AM1353" i="2"/>
  <c r="AM1354" i="2"/>
  <c r="AM1355" i="2"/>
  <c r="AM1356" i="2"/>
  <c r="AM1357" i="2"/>
  <c r="AM1358" i="2"/>
  <c r="AM1359" i="2"/>
  <c r="AM1360" i="2"/>
  <c r="AM1361" i="2"/>
  <c r="AM1362" i="2"/>
  <c r="AM1363" i="2"/>
  <c r="AM1364" i="2"/>
  <c r="AM1365" i="2"/>
  <c r="AM1366" i="2"/>
  <c r="AM1367" i="2"/>
  <c r="AM1368" i="2"/>
  <c r="AM1369" i="2"/>
  <c r="AM1370" i="2"/>
  <c r="AM1371" i="2"/>
  <c r="AM1372" i="2"/>
  <c r="AM1373" i="2"/>
  <c r="AM1374" i="2"/>
  <c r="AM1375" i="2"/>
  <c r="AM1376" i="2"/>
  <c r="AM1377" i="2"/>
  <c r="AM1378" i="2"/>
  <c r="AM1379" i="2"/>
  <c r="AM1380" i="2"/>
  <c r="AM1381" i="2"/>
  <c r="AM1382" i="2"/>
  <c r="AM1383" i="2"/>
  <c r="AM1384" i="2"/>
  <c r="AM1385" i="2"/>
  <c r="AM1386" i="2"/>
  <c r="AM1387" i="2"/>
  <c r="AM1388" i="2"/>
  <c r="AM1389" i="2"/>
  <c r="AM1390" i="2"/>
  <c r="AM1391" i="2"/>
  <c r="AM1392" i="2"/>
  <c r="AM1393" i="2"/>
  <c r="AM1394" i="2"/>
  <c r="AM1395" i="2"/>
  <c r="AM1396" i="2"/>
  <c r="AM1397" i="2"/>
  <c r="AM1398" i="2"/>
  <c r="AM1399" i="2"/>
  <c r="AM1400" i="2"/>
  <c r="AM1401" i="2"/>
  <c r="AM1402" i="2"/>
  <c r="AM1403" i="2"/>
  <c r="AM1404" i="2"/>
  <c r="AM1405" i="2"/>
  <c r="AM1406" i="2"/>
  <c r="AM1407" i="2"/>
  <c r="AM1408" i="2"/>
  <c r="AM1409" i="2"/>
  <c r="AM1410" i="2"/>
  <c r="AM1411" i="2"/>
  <c r="AM1412" i="2"/>
  <c r="AM1413" i="2"/>
  <c r="AM1414" i="2"/>
  <c r="AM1415" i="2"/>
  <c r="AM1416" i="2"/>
  <c r="AM1417" i="2"/>
  <c r="AM1418" i="2"/>
  <c r="AM1419" i="2"/>
  <c r="AM1420" i="2"/>
  <c r="AM1421" i="2"/>
  <c r="AM1422" i="2"/>
  <c r="AM1423" i="2"/>
  <c r="AM1424" i="2"/>
  <c r="AM1425" i="2"/>
  <c r="AM1426" i="2"/>
  <c r="AM1427" i="2"/>
  <c r="AM1428" i="2"/>
  <c r="AM1429" i="2"/>
  <c r="AM1430" i="2"/>
  <c r="AM1431" i="2"/>
  <c r="AM1432" i="2"/>
  <c r="AM1433" i="2"/>
  <c r="AM1434" i="2"/>
  <c r="AM1435" i="2"/>
  <c r="AM1436" i="2"/>
  <c r="AM1437" i="2"/>
  <c r="AM1438" i="2"/>
  <c r="AM1439" i="2"/>
  <c r="AM1440" i="2"/>
  <c r="AM1441" i="2"/>
  <c r="AM1442" i="2"/>
  <c r="AM1443" i="2"/>
  <c r="AM1444" i="2"/>
  <c r="AM1445" i="2"/>
  <c r="AM1446" i="2"/>
  <c r="AM1447" i="2"/>
  <c r="AM1448" i="2"/>
  <c r="AM1449" i="2"/>
  <c r="AM1450" i="2"/>
  <c r="AM1451" i="2"/>
  <c r="AM1452" i="2"/>
  <c r="AM1453" i="2"/>
  <c r="AM1454" i="2"/>
  <c r="AM1455" i="2"/>
  <c r="AM1456" i="2"/>
  <c r="AM1457" i="2"/>
  <c r="AM1458" i="2"/>
  <c r="AM1459" i="2"/>
  <c r="AM1460" i="2"/>
  <c r="AM1461" i="2"/>
  <c r="AM1462" i="2"/>
  <c r="AM1463" i="2"/>
  <c r="AM1464" i="2"/>
  <c r="AM1465" i="2"/>
  <c r="AM1466" i="2"/>
  <c r="AM1467" i="2"/>
  <c r="AM1468" i="2"/>
  <c r="AM1469" i="2"/>
  <c r="AM1470" i="2"/>
  <c r="AM1471" i="2"/>
  <c r="AL2" i="2"/>
  <c r="AL3" i="2"/>
  <c r="AL4" i="2"/>
  <c r="AL5" i="2"/>
  <c r="AL6" i="2"/>
  <c r="AL7" i="2"/>
  <c r="AL8" i="2"/>
  <c r="AL9" i="2"/>
  <c r="AL10" i="2"/>
  <c r="AL11" i="2"/>
  <c r="AL12" i="2"/>
  <c r="AL13" i="2"/>
  <c r="AL14" i="2"/>
  <c r="AL15" i="2"/>
  <c r="AL16" i="2"/>
  <c r="AL17" i="2"/>
  <c r="AL18" i="2"/>
  <c r="AL19" i="2"/>
  <c r="AL20" i="2"/>
  <c r="AL21" i="2"/>
  <c r="AL22" i="2"/>
  <c r="AL23" i="2"/>
  <c r="AL24" i="2"/>
  <c r="AL25" i="2"/>
  <c r="AL26" i="2"/>
  <c r="AL27" i="2"/>
  <c r="AL28" i="2"/>
  <c r="AL29" i="2"/>
  <c r="AL30" i="2"/>
  <c r="AL31" i="2"/>
  <c r="AL32" i="2"/>
  <c r="AL33" i="2"/>
  <c r="AL34" i="2"/>
  <c r="AL35" i="2"/>
  <c r="AL36" i="2"/>
  <c r="AL37" i="2"/>
  <c r="AL38" i="2"/>
  <c r="AL39" i="2"/>
  <c r="AL40" i="2"/>
  <c r="AL41" i="2"/>
  <c r="AL42" i="2"/>
  <c r="AL43" i="2"/>
  <c r="AL44" i="2"/>
  <c r="AL45" i="2"/>
  <c r="AL46" i="2"/>
  <c r="AL47" i="2"/>
  <c r="AL48" i="2"/>
  <c r="AL49" i="2"/>
  <c r="AL50" i="2"/>
  <c r="AL51" i="2"/>
  <c r="AL52" i="2"/>
  <c r="AL53" i="2"/>
  <c r="AL54" i="2"/>
  <c r="AL55" i="2"/>
  <c r="AL56" i="2"/>
  <c r="AL57" i="2"/>
  <c r="AL58" i="2"/>
  <c r="AL59" i="2"/>
  <c r="AL60" i="2"/>
  <c r="AL61" i="2"/>
  <c r="AL62" i="2"/>
  <c r="AL63" i="2"/>
  <c r="AL64" i="2"/>
  <c r="AL65" i="2"/>
  <c r="AL66" i="2"/>
  <c r="AL67" i="2"/>
  <c r="AL68" i="2"/>
  <c r="AL69" i="2"/>
  <c r="AL70" i="2"/>
  <c r="AL71" i="2"/>
  <c r="AL72" i="2"/>
  <c r="AL73" i="2"/>
  <c r="AL74" i="2"/>
  <c r="AL75" i="2"/>
  <c r="AL76" i="2"/>
  <c r="AL77" i="2"/>
  <c r="AL78" i="2"/>
  <c r="AL79" i="2"/>
  <c r="AL80" i="2"/>
  <c r="AL81" i="2"/>
  <c r="AL82" i="2"/>
  <c r="AL83" i="2"/>
  <c r="AL84" i="2"/>
  <c r="AL85" i="2"/>
  <c r="AL86" i="2"/>
  <c r="AL87" i="2"/>
  <c r="AL88" i="2"/>
  <c r="AL89" i="2"/>
  <c r="AL90" i="2"/>
  <c r="AL91" i="2"/>
  <c r="AL92" i="2"/>
  <c r="AL93" i="2"/>
  <c r="AL94" i="2"/>
  <c r="AL95" i="2"/>
  <c r="AL96" i="2"/>
  <c r="AL97" i="2"/>
  <c r="AL98" i="2"/>
  <c r="AL99" i="2"/>
  <c r="AL100" i="2"/>
  <c r="AL101" i="2"/>
  <c r="AL102" i="2"/>
  <c r="AL103" i="2"/>
  <c r="AL104" i="2"/>
  <c r="AL105" i="2"/>
  <c r="AL106" i="2"/>
  <c r="AL107" i="2"/>
  <c r="AL108" i="2"/>
  <c r="AL109" i="2"/>
  <c r="AL110" i="2"/>
  <c r="AL111" i="2"/>
  <c r="AL112" i="2"/>
  <c r="AL113" i="2"/>
  <c r="AL114" i="2"/>
  <c r="AL115" i="2"/>
  <c r="AL116" i="2"/>
  <c r="AL117" i="2"/>
  <c r="AL118" i="2"/>
  <c r="AL119" i="2"/>
  <c r="AL120" i="2"/>
  <c r="AL121" i="2"/>
  <c r="AL122" i="2"/>
  <c r="AL123" i="2"/>
  <c r="AL124" i="2"/>
  <c r="AL125" i="2"/>
  <c r="AL126" i="2"/>
  <c r="AL127" i="2"/>
  <c r="AL128" i="2"/>
  <c r="AL129" i="2"/>
  <c r="AL130" i="2"/>
  <c r="AL131" i="2"/>
  <c r="AL132" i="2"/>
  <c r="AL133" i="2"/>
  <c r="AL134" i="2"/>
  <c r="AL135" i="2"/>
  <c r="AL136" i="2"/>
  <c r="AL137" i="2"/>
  <c r="AL138" i="2"/>
  <c r="AL139" i="2"/>
  <c r="AL140" i="2"/>
  <c r="AL141" i="2"/>
  <c r="AL142" i="2"/>
  <c r="AL143" i="2"/>
  <c r="AL144" i="2"/>
  <c r="AL145" i="2"/>
  <c r="AL146" i="2"/>
  <c r="AL147" i="2"/>
  <c r="AL148" i="2"/>
  <c r="AL149" i="2"/>
  <c r="AL150" i="2"/>
  <c r="AL151" i="2"/>
  <c r="AL152" i="2"/>
  <c r="AL153" i="2"/>
  <c r="AL154" i="2"/>
  <c r="AL155" i="2"/>
  <c r="AL156" i="2"/>
  <c r="AL157" i="2"/>
  <c r="AL158" i="2"/>
  <c r="AL159" i="2"/>
  <c r="AL160" i="2"/>
  <c r="AL161" i="2"/>
  <c r="AL162" i="2"/>
  <c r="AL163" i="2"/>
  <c r="AL164" i="2"/>
  <c r="AL165" i="2"/>
  <c r="AL166" i="2"/>
  <c r="AL167" i="2"/>
  <c r="AL168" i="2"/>
  <c r="AL169" i="2"/>
  <c r="AL170" i="2"/>
  <c r="AL171" i="2"/>
  <c r="AL172" i="2"/>
  <c r="AL173" i="2"/>
  <c r="AL174" i="2"/>
  <c r="AL175" i="2"/>
  <c r="AL176" i="2"/>
  <c r="AL177" i="2"/>
  <c r="AL178" i="2"/>
  <c r="AL179" i="2"/>
  <c r="AL180" i="2"/>
  <c r="AL181" i="2"/>
  <c r="AL182" i="2"/>
  <c r="AL183" i="2"/>
  <c r="AL184" i="2"/>
  <c r="AL185" i="2"/>
  <c r="AL186" i="2"/>
  <c r="AL187" i="2"/>
  <c r="AL188" i="2"/>
  <c r="AL189" i="2"/>
  <c r="AL190" i="2"/>
  <c r="AL191" i="2"/>
  <c r="AL192" i="2"/>
  <c r="AL193" i="2"/>
  <c r="AL194" i="2"/>
  <c r="AL195" i="2"/>
  <c r="AL196" i="2"/>
  <c r="AL197" i="2"/>
  <c r="AL198" i="2"/>
  <c r="AL199" i="2"/>
  <c r="AL200" i="2"/>
  <c r="AL201" i="2"/>
  <c r="AL202" i="2"/>
  <c r="AL203" i="2"/>
  <c r="AL204" i="2"/>
  <c r="AL205" i="2"/>
  <c r="AL206" i="2"/>
  <c r="AL207" i="2"/>
  <c r="AL208" i="2"/>
  <c r="AL209" i="2"/>
  <c r="AL210" i="2"/>
  <c r="AL211" i="2"/>
  <c r="AL212" i="2"/>
  <c r="AL213" i="2"/>
  <c r="AL214" i="2"/>
  <c r="AL215" i="2"/>
  <c r="AL216" i="2"/>
  <c r="AL217" i="2"/>
  <c r="AL218" i="2"/>
  <c r="AL219" i="2"/>
  <c r="AL220" i="2"/>
  <c r="AL221" i="2"/>
  <c r="AL222" i="2"/>
  <c r="AL223" i="2"/>
  <c r="AL224" i="2"/>
  <c r="AL225" i="2"/>
  <c r="AL226" i="2"/>
  <c r="AL227" i="2"/>
  <c r="AL228" i="2"/>
  <c r="AL229" i="2"/>
  <c r="AL230" i="2"/>
  <c r="AL231" i="2"/>
  <c r="AL232" i="2"/>
  <c r="AL233" i="2"/>
  <c r="AL234" i="2"/>
  <c r="AL235" i="2"/>
  <c r="AL236" i="2"/>
  <c r="AL237" i="2"/>
  <c r="AL238" i="2"/>
  <c r="AL239" i="2"/>
  <c r="AL240" i="2"/>
  <c r="AL241" i="2"/>
  <c r="AL242" i="2"/>
  <c r="AL243" i="2"/>
  <c r="AL244" i="2"/>
  <c r="AL245" i="2"/>
  <c r="AL246" i="2"/>
  <c r="AL247" i="2"/>
  <c r="AL248" i="2"/>
  <c r="AL249" i="2"/>
  <c r="AL250" i="2"/>
  <c r="AL251" i="2"/>
  <c r="AL252" i="2"/>
  <c r="AL253" i="2"/>
  <c r="AL254" i="2"/>
  <c r="AL255" i="2"/>
  <c r="AL256" i="2"/>
  <c r="AL257" i="2"/>
  <c r="AL258" i="2"/>
  <c r="AL259" i="2"/>
  <c r="AL260" i="2"/>
  <c r="AL261" i="2"/>
  <c r="AL262" i="2"/>
  <c r="AL263" i="2"/>
  <c r="AL264" i="2"/>
  <c r="AL265" i="2"/>
  <c r="AL266" i="2"/>
  <c r="AL267" i="2"/>
  <c r="AL268" i="2"/>
  <c r="AL269" i="2"/>
  <c r="AL270" i="2"/>
  <c r="AL271" i="2"/>
  <c r="AL272" i="2"/>
  <c r="AL273" i="2"/>
  <c r="AL274" i="2"/>
  <c r="AL275" i="2"/>
  <c r="AL276" i="2"/>
  <c r="AL277" i="2"/>
  <c r="AL278" i="2"/>
  <c r="AL279" i="2"/>
  <c r="AL280" i="2"/>
  <c r="AL281" i="2"/>
  <c r="AL282" i="2"/>
  <c r="AL283" i="2"/>
  <c r="AL284" i="2"/>
  <c r="AL285" i="2"/>
  <c r="AL286" i="2"/>
  <c r="AL287" i="2"/>
  <c r="AL288" i="2"/>
  <c r="AL289" i="2"/>
  <c r="AL290" i="2"/>
  <c r="AL291" i="2"/>
  <c r="AL292" i="2"/>
  <c r="AL293" i="2"/>
  <c r="AL294" i="2"/>
  <c r="AL295" i="2"/>
  <c r="AL296" i="2"/>
  <c r="AL297" i="2"/>
  <c r="AL298" i="2"/>
  <c r="AL299" i="2"/>
  <c r="AL300" i="2"/>
  <c r="AL301" i="2"/>
  <c r="AL302" i="2"/>
  <c r="AL303" i="2"/>
  <c r="AL304" i="2"/>
  <c r="AL305" i="2"/>
  <c r="AL306" i="2"/>
  <c r="AL307" i="2"/>
  <c r="AL308" i="2"/>
  <c r="AL309" i="2"/>
  <c r="AL310" i="2"/>
  <c r="AL311" i="2"/>
  <c r="AL312" i="2"/>
  <c r="AL313" i="2"/>
  <c r="AL314" i="2"/>
  <c r="AL315" i="2"/>
  <c r="AL316" i="2"/>
  <c r="AL317" i="2"/>
  <c r="AL318" i="2"/>
  <c r="AL319" i="2"/>
  <c r="AL320" i="2"/>
  <c r="AL321" i="2"/>
  <c r="AL322" i="2"/>
  <c r="AL323" i="2"/>
  <c r="AL324" i="2"/>
  <c r="AL325" i="2"/>
  <c r="AL326" i="2"/>
  <c r="AL327" i="2"/>
  <c r="AL328" i="2"/>
  <c r="AL329" i="2"/>
  <c r="AL330" i="2"/>
  <c r="AL331" i="2"/>
  <c r="AL332" i="2"/>
  <c r="AL333" i="2"/>
  <c r="AL334" i="2"/>
  <c r="AL335" i="2"/>
  <c r="AL336" i="2"/>
  <c r="AL337" i="2"/>
  <c r="AL338" i="2"/>
  <c r="AL339" i="2"/>
  <c r="AL340" i="2"/>
  <c r="AL341" i="2"/>
  <c r="AL342" i="2"/>
  <c r="AL343" i="2"/>
  <c r="AL344" i="2"/>
  <c r="AL345" i="2"/>
  <c r="AL346" i="2"/>
  <c r="AL347" i="2"/>
  <c r="AL348" i="2"/>
  <c r="AL349" i="2"/>
  <c r="AL350" i="2"/>
  <c r="AL351" i="2"/>
  <c r="AL352" i="2"/>
  <c r="AL353" i="2"/>
  <c r="AL354" i="2"/>
  <c r="AL355" i="2"/>
  <c r="AL356" i="2"/>
  <c r="AL357" i="2"/>
  <c r="AL358" i="2"/>
  <c r="AL359" i="2"/>
  <c r="AL360" i="2"/>
  <c r="AL361" i="2"/>
  <c r="AL362" i="2"/>
  <c r="AL363" i="2"/>
  <c r="AL364" i="2"/>
  <c r="AL365" i="2"/>
  <c r="AL366" i="2"/>
  <c r="AL367" i="2"/>
  <c r="AL368" i="2"/>
  <c r="AL369" i="2"/>
  <c r="AL370" i="2"/>
  <c r="AL371" i="2"/>
  <c r="AL372" i="2"/>
  <c r="AL373" i="2"/>
  <c r="AL374" i="2"/>
  <c r="AL375" i="2"/>
  <c r="AL376" i="2"/>
  <c r="AL377" i="2"/>
  <c r="AL378" i="2"/>
  <c r="AL379" i="2"/>
  <c r="AL380" i="2"/>
  <c r="AL381" i="2"/>
  <c r="AL382" i="2"/>
  <c r="AL383" i="2"/>
  <c r="AL384" i="2"/>
  <c r="AL385" i="2"/>
  <c r="AL386" i="2"/>
  <c r="AL387" i="2"/>
  <c r="AL388" i="2"/>
  <c r="AL389" i="2"/>
  <c r="AL390" i="2"/>
  <c r="AL391" i="2"/>
  <c r="AL392" i="2"/>
  <c r="AL393" i="2"/>
  <c r="AL394" i="2"/>
  <c r="AL395" i="2"/>
  <c r="AL396" i="2"/>
  <c r="AL397" i="2"/>
  <c r="AL398" i="2"/>
  <c r="AL399" i="2"/>
  <c r="AL400" i="2"/>
  <c r="AL401" i="2"/>
  <c r="AL402" i="2"/>
  <c r="AL403" i="2"/>
  <c r="AL404" i="2"/>
  <c r="AL405" i="2"/>
  <c r="AL406" i="2"/>
  <c r="AL407" i="2"/>
  <c r="AL408" i="2"/>
  <c r="AL409" i="2"/>
  <c r="AL410" i="2"/>
  <c r="AL411" i="2"/>
  <c r="AL412" i="2"/>
  <c r="AL413" i="2"/>
  <c r="AL414" i="2"/>
  <c r="AL415" i="2"/>
  <c r="AL416" i="2"/>
  <c r="AL417" i="2"/>
  <c r="AL418" i="2"/>
  <c r="AL419" i="2"/>
  <c r="AL420" i="2"/>
  <c r="AL421" i="2"/>
  <c r="AL422" i="2"/>
  <c r="AL423" i="2"/>
  <c r="AL424" i="2"/>
  <c r="AL425" i="2"/>
  <c r="AL426" i="2"/>
  <c r="AL427" i="2"/>
  <c r="AL428" i="2"/>
  <c r="AL429" i="2"/>
  <c r="AL430" i="2"/>
  <c r="AL431" i="2"/>
  <c r="AL432" i="2"/>
  <c r="AL433" i="2"/>
  <c r="AL434" i="2"/>
  <c r="AL435" i="2"/>
  <c r="AL436" i="2"/>
  <c r="AL437" i="2"/>
  <c r="AL438" i="2"/>
  <c r="AL439" i="2"/>
  <c r="AL440" i="2"/>
  <c r="AL441" i="2"/>
  <c r="AL442" i="2"/>
  <c r="AL443" i="2"/>
  <c r="AL444" i="2"/>
  <c r="AL445" i="2"/>
  <c r="AL446" i="2"/>
  <c r="AL447" i="2"/>
  <c r="AL448" i="2"/>
  <c r="AL449" i="2"/>
  <c r="AL450" i="2"/>
  <c r="AL451" i="2"/>
  <c r="AL452" i="2"/>
  <c r="AL453" i="2"/>
  <c r="AL454" i="2"/>
  <c r="AL455" i="2"/>
  <c r="AL456" i="2"/>
  <c r="AL457" i="2"/>
  <c r="AL458" i="2"/>
  <c r="AL459" i="2"/>
  <c r="AL460" i="2"/>
  <c r="AL461" i="2"/>
  <c r="AL462" i="2"/>
  <c r="AL463" i="2"/>
  <c r="AL464" i="2"/>
  <c r="AL465" i="2"/>
  <c r="AL466" i="2"/>
  <c r="AL467" i="2"/>
  <c r="AL468" i="2"/>
  <c r="AL469" i="2"/>
  <c r="AL470" i="2"/>
  <c r="AL471" i="2"/>
  <c r="AL472" i="2"/>
  <c r="AL473" i="2"/>
  <c r="AL474" i="2"/>
  <c r="AL475" i="2"/>
  <c r="AL476" i="2"/>
  <c r="AL477" i="2"/>
  <c r="AL478" i="2"/>
  <c r="AL479" i="2"/>
  <c r="AL480" i="2"/>
  <c r="AL481" i="2"/>
  <c r="AL482" i="2"/>
  <c r="AL483" i="2"/>
  <c r="AL484" i="2"/>
  <c r="AL485" i="2"/>
  <c r="AL486" i="2"/>
  <c r="AL487" i="2"/>
  <c r="AL488" i="2"/>
  <c r="AL489" i="2"/>
  <c r="AL490" i="2"/>
  <c r="AL491" i="2"/>
  <c r="AL492" i="2"/>
  <c r="AL493" i="2"/>
  <c r="AL494" i="2"/>
  <c r="AL495" i="2"/>
  <c r="AL496" i="2"/>
  <c r="AL497" i="2"/>
  <c r="AL498" i="2"/>
  <c r="AL499" i="2"/>
  <c r="AL500" i="2"/>
  <c r="AL501" i="2"/>
  <c r="AL502" i="2"/>
  <c r="AL503" i="2"/>
  <c r="AL504" i="2"/>
  <c r="AL505" i="2"/>
  <c r="AL506" i="2"/>
  <c r="AL507" i="2"/>
  <c r="AL508" i="2"/>
  <c r="AL509" i="2"/>
  <c r="AL510" i="2"/>
  <c r="AL511" i="2"/>
  <c r="AL512" i="2"/>
  <c r="AL513" i="2"/>
  <c r="AL514" i="2"/>
  <c r="AL515" i="2"/>
  <c r="AL516" i="2"/>
  <c r="AL517" i="2"/>
  <c r="AL518" i="2"/>
  <c r="AL519" i="2"/>
  <c r="AL520" i="2"/>
  <c r="AL521" i="2"/>
  <c r="AL522" i="2"/>
  <c r="AL523" i="2"/>
  <c r="AL524" i="2"/>
  <c r="AL525" i="2"/>
  <c r="AL526" i="2"/>
  <c r="AL527" i="2"/>
  <c r="AL528" i="2"/>
  <c r="AL529" i="2"/>
  <c r="AL530" i="2"/>
  <c r="AL531" i="2"/>
  <c r="AL532" i="2"/>
  <c r="AL533" i="2"/>
  <c r="AL534" i="2"/>
  <c r="AL535" i="2"/>
  <c r="AL536" i="2"/>
  <c r="AL537" i="2"/>
  <c r="AL538" i="2"/>
  <c r="AL539" i="2"/>
  <c r="AL540" i="2"/>
  <c r="AL541" i="2"/>
  <c r="AL542" i="2"/>
  <c r="AL543" i="2"/>
  <c r="AL544" i="2"/>
  <c r="AL545" i="2"/>
  <c r="AL546" i="2"/>
  <c r="AL547" i="2"/>
  <c r="AL548" i="2"/>
  <c r="AL549" i="2"/>
  <c r="AL550" i="2"/>
  <c r="AL551" i="2"/>
  <c r="AL552" i="2"/>
  <c r="AL553" i="2"/>
  <c r="AL554" i="2"/>
  <c r="AL555" i="2"/>
  <c r="AL556" i="2"/>
  <c r="AL557" i="2"/>
  <c r="AL558" i="2"/>
  <c r="AL559" i="2"/>
  <c r="AL560" i="2"/>
  <c r="AL561" i="2"/>
  <c r="AL562" i="2"/>
  <c r="AL563" i="2"/>
  <c r="AL564" i="2"/>
  <c r="AL565" i="2"/>
  <c r="AL566" i="2"/>
  <c r="AL567" i="2"/>
  <c r="AL568" i="2"/>
  <c r="AL569" i="2"/>
  <c r="AL570" i="2"/>
  <c r="AL571" i="2"/>
  <c r="AL572" i="2"/>
  <c r="AL573" i="2"/>
  <c r="AL574" i="2"/>
  <c r="AL575" i="2"/>
  <c r="AL576" i="2"/>
  <c r="AL577" i="2"/>
  <c r="AL578" i="2"/>
  <c r="AL579" i="2"/>
  <c r="AL580" i="2"/>
  <c r="AL581" i="2"/>
  <c r="AL582" i="2"/>
  <c r="AL583" i="2"/>
  <c r="AL584" i="2"/>
  <c r="AL585" i="2"/>
  <c r="AL586" i="2"/>
  <c r="AL587" i="2"/>
  <c r="AL588" i="2"/>
  <c r="AL589" i="2"/>
  <c r="AL590" i="2"/>
  <c r="AL591" i="2"/>
  <c r="AL592" i="2"/>
  <c r="AL593" i="2"/>
  <c r="AL594" i="2"/>
  <c r="AL595" i="2"/>
  <c r="AL596" i="2"/>
  <c r="AL597" i="2"/>
  <c r="AL598" i="2"/>
  <c r="AL599" i="2"/>
  <c r="AL600" i="2"/>
  <c r="AL601" i="2"/>
  <c r="AL602" i="2"/>
  <c r="AL603" i="2"/>
  <c r="AL604" i="2"/>
  <c r="AL605" i="2"/>
  <c r="AL606" i="2"/>
  <c r="AL607" i="2"/>
  <c r="AL608" i="2"/>
  <c r="AL609" i="2"/>
  <c r="AL610" i="2"/>
  <c r="AL611" i="2"/>
  <c r="AL612" i="2"/>
  <c r="AL613" i="2"/>
  <c r="AL614" i="2"/>
  <c r="AL615" i="2"/>
  <c r="AL616" i="2"/>
  <c r="AL617" i="2"/>
  <c r="AL618" i="2"/>
  <c r="AL619" i="2"/>
  <c r="AL620" i="2"/>
  <c r="AL621" i="2"/>
  <c r="AL622" i="2"/>
  <c r="AL623" i="2"/>
  <c r="AL624" i="2"/>
  <c r="AL625" i="2"/>
  <c r="AL626" i="2"/>
  <c r="AL627" i="2"/>
  <c r="AL628" i="2"/>
  <c r="AL629" i="2"/>
  <c r="AL630" i="2"/>
  <c r="AL631" i="2"/>
  <c r="AL632" i="2"/>
  <c r="AL633" i="2"/>
  <c r="AL634" i="2"/>
  <c r="AL635" i="2"/>
  <c r="AL636" i="2"/>
  <c r="AL637" i="2"/>
  <c r="AL638" i="2"/>
  <c r="AL639" i="2"/>
  <c r="AL640" i="2"/>
  <c r="AL641" i="2"/>
  <c r="AL642" i="2"/>
  <c r="AL643" i="2"/>
  <c r="AL644" i="2"/>
  <c r="AL645" i="2"/>
  <c r="AL646" i="2"/>
  <c r="AL647" i="2"/>
  <c r="AL648" i="2"/>
  <c r="AL649" i="2"/>
  <c r="AL650" i="2"/>
  <c r="AL651" i="2"/>
  <c r="AL652" i="2"/>
  <c r="AL653" i="2"/>
  <c r="AL654" i="2"/>
  <c r="AL655" i="2"/>
  <c r="AL656" i="2"/>
  <c r="AL657" i="2"/>
  <c r="AL658" i="2"/>
  <c r="AL659" i="2"/>
  <c r="AL660" i="2"/>
  <c r="AL661" i="2"/>
  <c r="AL662" i="2"/>
  <c r="AL663" i="2"/>
  <c r="AL664" i="2"/>
  <c r="AL665" i="2"/>
  <c r="AL666" i="2"/>
  <c r="AL667" i="2"/>
  <c r="AL668" i="2"/>
  <c r="AL669" i="2"/>
  <c r="AL670" i="2"/>
  <c r="AL671" i="2"/>
  <c r="AL672" i="2"/>
  <c r="AL673" i="2"/>
  <c r="AL674" i="2"/>
  <c r="AL675" i="2"/>
  <c r="AL676" i="2"/>
  <c r="AL677" i="2"/>
  <c r="AL678" i="2"/>
  <c r="AL679" i="2"/>
  <c r="AL680" i="2"/>
  <c r="AL681" i="2"/>
  <c r="AL682" i="2"/>
  <c r="AL683" i="2"/>
  <c r="AL684" i="2"/>
  <c r="AL685" i="2"/>
  <c r="AL686" i="2"/>
  <c r="AL687" i="2"/>
  <c r="AL688" i="2"/>
  <c r="AL689" i="2"/>
  <c r="AL690" i="2"/>
  <c r="AL691" i="2"/>
  <c r="AL692" i="2"/>
  <c r="AL693" i="2"/>
  <c r="AL694" i="2"/>
  <c r="AL695" i="2"/>
  <c r="AL696" i="2"/>
  <c r="AL697" i="2"/>
  <c r="AL698" i="2"/>
  <c r="AL699" i="2"/>
  <c r="AL700" i="2"/>
  <c r="AL701" i="2"/>
  <c r="AL702" i="2"/>
  <c r="AL703" i="2"/>
  <c r="AL704" i="2"/>
  <c r="AL705" i="2"/>
  <c r="AL706" i="2"/>
  <c r="AL707" i="2"/>
  <c r="AL708" i="2"/>
  <c r="AL709" i="2"/>
  <c r="AL710" i="2"/>
  <c r="AL711" i="2"/>
  <c r="AL712" i="2"/>
  <c r="AL713" i="2"/>
  <c r="AL714" i="2"/>
  <c r="AL715" i="2"/>
  <c r="AL716" i="2"/>
  <c r="AL717" i="2"/>
  <c r="AL718" i="2"/>
  <c r="AL719" i="2"/>
  <c r="AL720" i="2"/>
  <c r="AL721" i="2"/>
  <c r="AL722" i="2"/>
  <c r="AL723" i="2"/>
  <c r="AL724" i="2"/>
  <c r="AL725" i="2"/>
  <c r="AL726" i="2"/>
  <c r="AL727" i="2"/>
  <c r="AL728" i="2"/>
  <c r="AL729" i="2"/>
  <c r="AL730" i="2"/>
  <c r="AL731" i="2"/>
  <c r="AL732" i="2"/>
  <c r="AL733" i="2"/>
  <c r="AL734" i="2"/>
  <c r="AL735" i="2"/>
  <c r="AL736" i="2"/>
  <c r="AL737" i="2"/>
  <c r="AL738" i="2"/>
  <c r="AL739" i="2"/>
  <c r="AL740" i="2"/>
  <c r="AL741" i="2"/>
  <c r="AL742" i="2"/>
  <c r="AL743" i="2"/>
  <c r="AL744" i="2"/>
  <c r="AL745" i="2"/>
  <c r="AL746" i="2"/>
  <c r="AL747" i="2"/>
  <c r="AL748" i="2"/>
  <c r="AL749" i="2"/>
  <c r="AL750" i="2"/>
  <c r="AL751" i="2"/>
  <c r="AL752" i="2"/>
  <c r="AL753" i="2"/>
  <c r="AL754" i="2"/>
  <c r="AL755" i="2"/>
  <c r="AL756" i="2"/>
  <c r="AL757" i="2"/>
  <c r="AL758" i="2"/>
  <c r="AL759" i="2"/>
  <c r="AL760" i="2"/>
  <c r="AL761" i="2"/>
  <c r="AL762" i="2"/>
  <c r="AL763" i="2"/>
  <c r="AL764" i="2"/>
  <c r="AL765" i="2"/>
  <c r="AL766" i="2"/>
  <c r="AL767" i="2"/>
  <c r="AL768" i="2"/>
  <c r="AL769" i="2"/>
  <c r="AL770" i="2"/>
  <c r="AL771" i="2"/>
  <c r="AL772" i="2"/>
  <c r="AL773" i="2"/>
  <c r="AL774" i="2"/>
  <c r="AL775" i="2"/>
  <c r="AL776" i="2"/>
  <c r="AL777" i="2"/>
  <c r="AL778" i="2"/>
  <c r="AL779" i="2"/>
  <c r="AL780" i="2"/>
  <c r="AL781" i="2"/>
  <c r="AL782" i="2"/>
  <c r="AL783" i="2"/>
  <c r="AL784" i="2"/>
  <c r="AL785" i="2"/>
  <c r="AL786" i="2"/>
  <c r="AL787" i="2"/>
  <c r="AL788" i="2"/>
  <c r="AL789" i="2"/>
  <c r="AL790" i="2"/>
  <c r="AL791" i="2"/>
  <c r="AL792" i="2"/>
  <c r="AL793" i="2"/>
  <c r="AL794" i="2"/>
  <c r="AL795" i="2"/>
  <c r="AL796" i="2"/>
  <c r="AL797" i="2"/>
  <c r="AL798" i="2"/>
  <c r="AL799" i="2"/>
  <c r="AL800" i="2"/>
  <c r="AL801" i="2"/>
  <c r="AL802" i="2"/>
  <c r="AL803" i="2"/>
  <c r="AL804" i="2"/>
  <c r="AL805" i="2"/>
  <c r="AL806" i="2"/>
  <c r="AL807" i="2"/>
  <c r="AL808" i="2"/>
  <c r="AL809" i="2"/>
  <c r="AL810" i="2"/>
  <c r="AL811" i="2"/>
  <c r="AL812" i="2"/>
  <c r="AL813" i="2"/>
  <c r="AL814" i="2"/>
  <c r="AL815" i="2"/>
  <c r="AL816" i="2"/>
  <c r="AL817" i="2"/>
  <c r="AL818" i="2"/>
  <c r="AL819" i="2"/>
  <c r="AL820" i="2"/>
  <c r="AL821" i="2"/>
  <c r="AL822" i="2"/>
  <c r="AL823" i="2"/>
  <c r="AL824" i="2"/>
  <c r="AL825" i="2"/>
  <c r="AL826" i="2"/>
  <c r="AL827" i="2"/>
  <c r="AL828" i="2"/>
  <c r="AL829" i="2"/>
  <c r="AL830" i="2"/>
  <c r="AL831" i="2"/>
  <c r="AL832" i="2"/>
  <c r="AL833" i="2"/>
  <c r="AL834" i="2"/>
  <c r="AL835" i="2"/>
  <c r="AL836" i="2"/>
  <c r="AL837" i="2"/>
  <c r="AL838" i="2"/>
  <c r="AL839" i="2"/>
  <c r="AL840" i="2"/>
  <c r="AL841" i="2"/>
  <c r="AL842" i="2"/>
  <c r="AL843" i="2"/>
  <c r="AL844" i="2"/>
  <c r="AL845" i="2"/>
  <c r="AL846" i="2"/>
  <c r="AL847" i="2"/>
  <c r="AL848" i="2"/>
  <c r="AL849" i="2"/>
  <c r="AL850" i="2"/>
  <c r="AL851" i="2"/>
  <c r="AL852" i="2"/>
  <c r="AL853" i="2"/>
  <c r="AL854" i="2"/>
  <c r="AL855" i="2"/>
  <c r="AL856" i="2"/>
  <c r="AL857" i="2"/>
  <c r="AL858" i="2"/>
  <c r="AL859" i="2"/>
  <c r="AL860" i="2"/>
  <c r="AL861" i="2"/>
  <c r="AL862" i="2"/>
  <c r="AL863" i="2"/>
  <c r="AL864" i="2"/>
  <c r="AL865" i="2"/>
  <c r="AL866" i="2"/>
  <c r="AL867" i="2"/>
  <c r="AL868" i="2"/>
  <c r="AL869" i="2"/>
  <c r="AL870" i="2"/>
  <c r="AL871" i="2"/>
  <c r="AL872" i="2"/>
  <c r="AL873" i="2"/>
  <c r="AL874" i="2"/>
  <c r="AL875" i="2"/>
  <c r="AL876" i="2"/>
  <c r="AL877" i="2"/>
  <c r="AL878" i="2"/>
  <c r="AL879" i="2"/>
  <c r="AL880" i="2"/>
  <c r="AL881" i="2"/>
  <c r="AL882" i="2"/>
  <c r="AL883" i="2"/>
  <c r="AL884" i="2"/>
  <c r="AL885" i="2"/>
  <c r="AL886" i="2"/>
  <c r="AL887" i="2"/>
  <c r="AL888" i="2"/>
  <c r="AL889" i="2"/>
  <c r="AL890" i="2"/>
  <c r="AL891" i="2"/>
  <c r="AL892" i="2"/>
  <c r="AL893" i="2"/>
  <c r="AL894" i="2"/>
  <c r="AL895" i="2"/>
  <c r="AL896" i="2"/>
  <c r="AL897" i="2"/>
  <c r="AL898" i="2"/>
  <c r="AL899" i="2"/>
  <c r="AL900" i="2"/>
  <c r="AL901" i="2"/>
  <c r="AL902" i="2"/>
  <c r="AL903" i="2"/>
  <c r="AL904" i="2"/>
  <c r="AL905" i="2"/>
  <c r="AL906" i="2"/>
  <c r="AL907" i="2"/>
  <c r="AL908" i="2"/>
  <c r="AL909" i="2"/>
  <c r="AL910" i="2"/>
  <c r="AL911" i="2"/>
  <c r="AL912" i="2"/>
  <c r="AL913" i="2"/>
  <c r="AL914" i="2"/>
  <c r="AL915" i="2"/>
  <c r="AL916" i="2"/>
  <c r="AL917" i="2"/>
  <c r="AL918" i="2"/>
  <c r="AL919" i="2"/>
  <c r="AL920" i="2"/>
  <c r="AL921" i="2"/>
  <c r="AL922" i="2"/>
  <c r="AL923" i="2"/>
  <c r="AL924" i="2"/>
  <c r="AL925" i="2"/>
  <c r="AL926" i="2"/>
  <c r="AL927" i="2"/>
  <c r="AL928" i="2"/>
  <c r="AL929" i="2"/>
  <c r="AL930" i="2"/>
  <c r="AL931" i="2"/>
  <c r="AL932" i="2"/>
  <c r="AL933" i="2"/>
  <c r="AL934" i="2"/>
  <c r="AL935" i="2"/>
  <c r="AL936" i="2"/>
  <c r="AL937" i="2"/>
  <c r="AL938" i="2"/>
  <c r="AL939" i="2"/>
  <c r="AL940" i="2"/>
  <c r="AL941" i="2"/>
  <c r="AL942" i="2"/>
  <c r="AL943" i="2"/>
  <c r="AL944" i="2"/>
  <c r="AL945" i="2"/>
  <c r="AL946" i="2"/>
  <c r="AL947" i="2"/>
  <c r="AL948" i="2"/>
  <c r="AL949" i="2"/>
  <c r="AL950" i="2"/>
  <c r="AL951" i="2"/>
  <c r="AL952" i="2"/>
  <c r="AL953" i="2"/>
  <c r="AL954" i="2"/>
  <c r="AL955" i="2"/>
  <c r="AL956" i="2"/>
  <c r="AL957" i="2"/>
  <c r="AL958" i="2"/>
  <c r="AL959" i="2"/>
  <c r="AL960" i="2"/>
  <c r="AL961" i="2"/>
  <c r="AL962" i="2"/>
  <c r="AL963" i="2"/>
  <c r="AL964" i="2"/>
  <c r="AL965" i="2"/>
  <c r="AL966" i="2"/>
  <c r="AL967" i="2"/>
  <c r="AL968" i="2"/>
  <c r="AL969" i="2"/>
  <c r="AL970" i="2"/>
  <c r="AL971" i="2"/>
  <c r="AL972" i="2"/>
  <c r="AL973" i="2"/>
  <c r="AL974" i="2"/>
  <c r="AL975" i="2"/>
  <c r="AL976" i="2"/>
  <c r="AL977" i="2"/>
  <c r="AL978" i="2"/>
  <c r="AL979" i="2"/>
  <c r="AL980" i="2"/>
  <c r="AL981" i="2"/>
  <c r="AL982" i="2"/>
  <c r="AL983" i="2"/>
  <c r="AL984" i="2"/>
  <c r="AL985" i="2"/>
  <c r="AL986" i="2"/>
  <c r="AL987" i="2"/>
  <c r="AL988" i="2"/>
  <c r="AL989" i="2"/>
  <c r="AL990" i="2"/>
  <c r="AL991" i="2"/>
  <c r="AL992" i="2"/>
  <c r="AL993" i="2"/>
  <c r="AL994" i="2"/>
  <c r="AL995" i="2"/>
  <c r="AL996" i="2"/>
  <c r="AL997" i="2"/>
  <c r="AL998" i="2"/>
  <c r="AL999" i="2"/>
  <c r="AL1000" i="2"/>
  <c r="AL1001" i="2"/>
  <c r="AL1002" i="2"/>
  <c r="AL1003" i="2"/>
  <c r="AL1004" i="2"/>
  <c r="AL1005" i="2"/>
  <c r="AL1006" i="2"/>
  <c r="AL1007" i="2"/>
  <c r="AL1008" i="2"/>
  <c r="AL1009" i="2"/>
  <c r="AL1010" i="2"/>
  <c r="AL1011" i="2"/>
  <c r="AL1012" i="2"/>
  <c r="AL1013" i="2"/>
  <c r="AL1014" i="2"/>
  <c r="AL1015" i="2"/>
  <c r="AL1016" i="2"/>
  <c r="AL1017" i="2"/>
  <c r="AL1018" i="2"/>
  <c r="AL1019" i="2"/>
  <c r="AL1020" i="2"/>
  <c r="AL1021" i="2"/>
  <c r="AL1022" i="2"/>
  <c r="AL1023" i="2"/>
  <c r="AL1024" i="2"/>
  <c r="AL1025" i="2"/>
  <c r="AL1026" i="2"/>
  <c r="AL1027" i="2"/>
  <c r="AL1028" i="2"/>
  <c r="AL1029" i="2"/>
  <c r="AL1030" i="2"/>
  <c r="AL1031" i="2"/>
  <c r="AL1032" i="2"/>
  <c r="AL1033" i="2"/>
  <c r="AL1034" i="2"/>
  <c r="AL1035" i="2"/>
  <c r="AL1036" i="2"/>
  <c r="AL1037" i="2"/>
  <c r="AL1038" i="2"/>
  <c r="AL1039" i="2"/>
  <c r="AL1040" i="2"/>
  <c r="AL1041" i="2"/>
  <c r="AL1042" i="2"/>
  <c r="AL1043" i="2"/>
  <c r="AL1044" i="2"/>
  <c r="AL1045" i="2"/>
  <c r="AL1046" i="2"/>
  <c r="AL1047" i="2"/>
  <c r="AL1048" i="2"/>
  <c r="AL1049" i="2"/>
  <c r="AL1050" i="2"/>
  <c r="AL1051" i="2"/>
  <c r="AL1052" i="2"/>
  <c r="AL1053" i="2"/>
  <c r="AL1054" i="2"/>
  <c r="AL1055" i="2"/>
  <c r="AL1056" i="2"/>
  <c r="AL1057" i="2"/>
  <c r="AL1058" i="2"/>
  <c r="AL1059" i="2"/>
  <c r="AL1060" i="2"/>
  <c r="AL1061" i="2"/>
  <c r="AL1062" i="2"/>
  <c r="AL1063" i="2"/>
  <c r="AL1064" i="2"/>
  <c r="AL1065" i="2"/>
  <c r="AL1066" i="2"/>
  <c r="AL1067" i="2"/>
  <c r="AL1068" i="2"/>
  <c r="AL1069" i="2"/>
  <c r="AL1070" i="2"/>
  <c r="AL1071" i="2"/>
  <c r="AL1072" i="2"/>
  <c r="AL1073" i="2"/>
  <c r="AL1074" i="2"/>
  <c r="AL1075" i="2"/>
  <c r="AL1076" i="2"/>
  <c r="AL1077" i="2"/>
  <c r="AL1078" i="2"/>
  <c r="AL1079" i="2"/>
  <c r="AL1080" i="2"/>
  <c r="AL1081" i="2"/>
  <c r="AL1082" i="2"/>
  <c r="AL1083" i="2"/>
  <c r="AL1084" i="2"/>
  <c r="AL1085" i="2"/>
  <c r="AL1086" i="2"/>
  <c r="AL1087" i="2"/>
  <c r="AL1088" i="2"/>
  <c r="AL1089" i="2"/>
  <c r="AL1090" i="2"/>
  <c r="AL1091" i="2"/>
  <c r="AL1092" i="2"/>
  <c r="AL1093" i="2"/>
  <c r="AL1094" i="2"/>
  <c r="AL1095" i="2"/>
  <c r="AL1096" i="2"/>
  <c r="AL1097" i="2"/>
  <c r="AL1098" i="2"/>
  <c r="AL1099" i="2"/>
  <c r="AL1100" i="2"/>
  <c r="AL1101" i="2"/>
  <c r="AL1102" i="2"/>
  <c r="AL1103" i="2"/>
  <c r="AL1104" i="2"/>
  <c r="AL1105" i="2"/>
  <c r="AL1106" i="2"/>
  <c r="AL1107" i="2"/>
  <c r="AL1108" i="2"/>
  <c r="AL1109" i="2"/>
  <c r="AL1110" i="2"/>
  <c r="AL1111" i="2"/>
  <c r="AL1112" i="2"/>
  <c r="AL1113" i="2"/>
  <c r="AL1114" i="2"/>
  <c r="AL1115" i="2"/>
  <c r="AL1116" i="2"/>
  <c r="AL1117" i="2"/>
  <c r="AL1118" i="2"/>
  <c r="AL1119" i="2"/>
  <c r="AL1120" i="2"/>
  <c r="AL1121" i="2"/>
  <c r="AL1122" i="2"/>
  <c r="AL1123" i="2"/>
  <c r="AL1124" i="2"/>
  <c r="AL1125" i="2"/>
  <c r="AL1126" i="2"/>
  <c r="AL1127" i="2"/>
  <c r="AL1128" i="2"/>
  <c r="AL1129" i="2"/>
  <c r="AL1130" i="2"/>
  <c r="AL1131" i="2"/>
  <c r="AL1132" i="2"/>
  <c r="AL1133" i="2"/>
  <c r="AL1134" i="2"/>
  <c r="AL1135" i="2"/>
  <c r="AL1136" i="2"/>
  <c r="AL1137" i="2"/>
  <c r="AL1138" i="2"/>
  <c r="AL1139" i="2"/>
  <c r="AL1140" i="2"/>
  <c r="AL1141" i="2"/>
  <c r="AL1142" i="2"/>
  <c r="AL1143" i="2"/>
  <c r="AL1144" i="2"/>
  <c r="AL1145" i="2"/>
  <c r="AL1146" i="2"/>
  <c r="AL1147" i="2"/>
  <c r="AL1148" i="2"/>
  <c r="AL1149" i="2"/>
  <c r="AL1150" i="2"/>
  <c r="AL1151" i="2"/>
  <c r="AL1152" i="2"/>
  <c r="AL1153" i="2"/>
  <c r="AL1154" i="2"/>
  <c r="AL1155" i="2"/>
  <c r="AL1156" i="2"/>
  <c r="AL1157" i="2"/>
  <c r="AL1158" i="2"/>
  <c r="AL1159" i="2"/>
  <c r="AL1160" i="2"/>
  <c r="AL1161" i="2"/>
  <c r="AL1162" i="2"/>
  <c r="AL1163" i="2"/>
  <c r="AL1164" i="2"/>
  <c r="AL1165" i="2"/>
  <c r="AL1166" i="2"/>
  <c r="AL1167" i="2"/>
  <c r="AL1168" i="2"/>
  <c r="AL1169" i="2"/>
  <c r="AL1170" i="2"/>
  <c r="AL1171" i="2"/>
  <c r="AL1172" i="2"/>
  <c r="AL1173" i="2"/>
  <c r="AL1174" i="2"/>
  <c r="AL1175" i="2"/>
  <c r="AL1176" i="2"/>
  <c r="AL1177" i="2"/>
  <c r="AL1178" i="2"/>
  <c r="AL1179" i="2"/>
  <c r="AL1180" i="2"/>
  <c r="AL1181" i="2"/>
  <c r="AL1182" i="2"/>
  <c r="AL1183" i="2"/>
  <c r="AL1184" i="2"/>
  <c r="AL1185" i="2"/>
  <c r="AL1186" i="2"/>
  <c r="AL1187" i="2"/>
  <c r="AL1188" i="2"/>
  <c r="AL1189" i="2"/>
  <c r="AL1190" i="2"/>
  <c r="AL1191" i="2"/>
  <c r="AL1192" i="2"/>
  <c r="AL1193" i="2"/>
  <c r="AL1194" i="2"/>
  <c r="AL1195" i="2"/>
  <c r="AL1196" i="2"/>
  <c r="AL1197" i="2"/>
  <c r="AL1198" i="2"/>
  <c r="AL1199" i="2"/>
  <c r="AL1200" i="2"/>
  <c r="AL1201" i="2"/>
  <c r="AL1202" i="2"/>
  <c r="AL1203" i="2"/>
  <c r="AL1204" i="2"/>
  <c r="AL1205" i="2"/>
  <c r="AL1206" i="2"/>
  <c r="AL1207" i="2"/>
  <c r="AL1208" i="2"/>
  <c r="AL1209" i="2"/>
  <c r="AL1210" i="2"/>
  <c r="AL1211" i="2"/>
  <c r="AL1212" i="2"/>
  <c r="AL1213" i="2"/>
  <c r="AL1214" i="2"/>
  <c r="AL1215" i="2"/>
  <c r="AL1216" i="2"/>
  <c r="AL1217" i="2"/>
  <c r="AL1218" i="2"/>
  <c r="AL1219" i="2"/>
  <c r="AL1220" i="2"/>
  <c r="AL1221" i="2"/>
  <c r="AL1222" i="2"/>
  <c r="AL1223" i="2"/>
  <c r="AL1224" i="2"/>
  <c r="AL1225" i="2"/>
  <c r="AL1226" i="2"/>
  <c r="AL1227" i="2"/>
  <c r="AL1228" i="2"/>
  <c r="AL1229" i="2"/>
  <c r="AL1230" i="2"/>
  <c r="AL1231" i="2"/>
  <c r="AL1232" i="2"/>
  <c r="AL1233" i="2"/>
  <c r="AL1234" i="2"/>
  <c r="AL1235" i="2"/>
  <c r="AL1236" i="2"/>
  <c r="AL1237" i="2"/>
  <c r="AL1238" i="2"/>
  <c r="AL1239" i="2"/>
  <c r="AL1240" i="2"/>
  <c r="AL1241" i="2"/>
  <c r="AL1242" i="2"/>
  <c r="AL1243" i="2"/>
  <c r="AL1244" i="2"/>
  <c r="AL1245" i="2"/>
  <c r="AL1246" i="2"/>
  <c r="AL1247" i="2"/>
  <c r="AL1248" i="2"/>
  <c r="AL1249" i="2"/>
  <c r="AL1250" i="2"/>
  <c r="AL1251" i="2"/>
  <c r="AL1252" i="2"/>
  <c r="AL1253" i="2"/>
  <c r="AL1254" i="2"/>
  <c r="AL1255" i="2"/>
  <c r="AL1256" i="2"/>
  <c r="AL1257" i="2"/>
  <c r="AL1258" i="2"/>
  <c r="AL1259" i="2"/>
  <c r="AL1260" i="2"/>
  <c r="AL1261" i="2"/>
  <c r="AL1262" i="2"/>
  <c r="AL1263" i="2"/>
  <c r="AL1264" i="2"/>
  <c r="AL1265" i="2"/>
  <c r="AL1266" i="2"/>
  <c r="AL1267" i="2"/>
  <c r="AL1268" i="2"/>
  <c r="AL1269" i="2"/>
  <c r="AL1270" i="2"/>
  <c r="AL1271" i="2"/>
  <c r="AL1272" i="2"/>
  <c r="AL1273" i="2"/>
  <c r="AL1274" i="2"/>
  <c r="AL1275" i="2"/>
  <c r="AL1276" i="2"/>
  <c r="AL1277" i="2"/>
  <c r="AL1278" i="2"/>
  <c r="AL1279" i="2"/>
  <c r="AL1280" i="2"/>
  <c r="AL1281" i="2"/>
  <c r="AL1282" i="2"/>
  <c r="AL1283" i="2"/>
  <c r="AL1284" i="2"/>
  <c r="AL1285" i="2"/>
  <c r="AL1286" i="2"/>
  <c r="AL1287" i="2"/>
  <c r="AL1288" i="2"/>
  <c r="AL1289" i="2"/>
  <c r="AL1290" i="2"/>
  <c r="AL1291" i="2"/>
  <c r="AL1292" i="2"/>
  <c r="AL1293" i="2"/>
  <c r="AL1294" i="2"/>
  <c r="AL1295" i="2"/>
  <c r="AL1296" i="2"/>
  <c r="AL1297" i="2"/>
  <c r="AL1298" i="2"/>
  <c r="AL1299" i="2"/>
  <c r="AL1300" i="2"/>
  <c r="AL1301" i="2"/>
  <c r="AL1302" i="2"/>
  <c r="AL1303" i="2"/>
  <c r="AL1304" i="2"/>
  <c r="AL1305" i="2"/>
  <c r="AL1306" i="2"/>
  <c r="AL1307" i="2"/>
  <c r="AL1308" i="2"/>
  <c r="AL1309" i="2"/>
  <c r="AL1310" i="2"/>
  <c r="AL1311" i="2"/>
  <c r="AL1312" i="2"/>
  <c r="AL1313" i="2"/>
  <c r="AL1314" i="2"/>
  <c r="AL1315" i="2"/>
  <c r="AL1316" i="2"/>
  <c r="AL1317" i="2"/>
  <c r="AL1318" i="2"/>
  <c r="AL1319" i="2"/>
  <c r="AL1320" i="2"/>
  <c r="AL1321" i="2"/>
  <c r="AL1322" i="2"/>
  <c r="AL1323" i="2"/>
  <c r="AL1324" i="2"/>
  <c r="AL1325" i="2"/>
  <c r="AL1326" i="2"/>
  <c r="AL1327" i="2"/>
  <c r="AL1328" i="2"/>
  <c r="AL1329" i="2"/>
  <c r="AL1330" i="2"/>
  <c r="AL1331" i="2"/>
  <c r="AL1332" i="2"/>
  <c r="AL1333" i="2"/>
  <c r="AL1334" i="2"/>
  <c r="AL1335" i="2"/>
  <c r="AL1336" i="2"/>
  <c r="AL1337" i="2"/>
  <c r="AL1338" i="2"/>
  <c r="AL1339" i="2"/>
  <c r="AL1340" i="2"/>
  <c r="AL1341" i="2"/>
  <c r="AL1342" i="2"/>
  <c r="AL1343" i="2"/>
  <c r="AL1344" i="2"/>
  <c r="AL1345" i="2"/>
  <c r="AL1346" i="2"/>
  <c r="AL1347" i="2"/>
  <c r="AL1348" i="2"/>
  <c r="AL1349" i="2"/>
  <c r="AL1350" i="2"/>
  <c r="AL1351" i="2"/>
  <c r="AL1352" i="2"/>
  <c r="AL1353" i="2"/>
  <c r="AL1354" i="2"/>
  <c r="AL1355" i="2"/>
  <c r="AL1356" i="2"/>
  <c r="AL1357" i="2"/>
  <c r="AL1358" i="2"/>
  <c r="AL1359" i="2"/>
  <c r="AL1360" i="2"/>
  <c r="AL1361" i="2"/>
  <c r="AL1362" i="2"/>
  <c r="AL1363" i="2"/>
  <c r="AL1364" i="2"/>
  <c r="AL1365" i="2"/>
  <c r="AL1366" i="2"/>
  <c r="AL1367" i="2"/>
  <c r="AL1368" i="2"/>
  <c r="AL1369" i="2"/>
  <c r="AL1370" i="2"/>
  <c r="AL1371" i="2"/>
  <c r="AL1372" i="2"/>
  <c r="AL1373" i="2"/>
  <c r="AL1374" i="2"/>
  <c r="AL1375" i="2"/>
  <c r="AL1376" i="2"/>
  <c r="AL1377" i="2"/>
  <c r="AL1378" i="2"/>
  <c r="AL1379" i="2"/>
  <c r="AL1380" i="2"/>
  <c r="AL1381" i="2"/>
  <c r="AL1382" i="2"/>
  <c r="AL1383" i="2"/>
  <c r="AL1384" i="2"/>
  <c r="AL1385" i="2"/>
  <c r="AL1386" i="2"/>
  <c r="AL1387" i="2"/>
  <c r="AL1388" i="2"/>
  <c r="AL1389" i="2"/>
  <c r="AL1390" i="2"/>
  <c r="AL1391" i="2"/>
  <c r="AL1392" i="2"/>
  <c r="AL1393" i="2"/>
  <c r="AL1394" i="2"/>
  <c r="AL1395" i="2"/>
  <c r="AL1396" i="2"/>
  <c r="AL1397" i="2"/>
  <c r="AL1398" i="2"/>
  <c r="AL1399" i="2"/>
  <c r="AL1400" i="2"/>
  <c r="AL1401" i="2"/>
  <c r="AL1402" i="2"/>
  <c r="AL1403" i="2"/>
  <c r="AL1404" i="2"/>
  <c r="AL1405" i="2"/>
  <c r="AL1406" i="2"/>
  <c r="AL1407" i="2"/>
  <c r="AL1408" i="2"/>
  <c r="AL1409" i="2"/>
  <c r="AL1410" i="2"/>
  <c r="AL1411" i="2"/>
  <c r="AL1412" i="2"/>
  <c r="AL1413" i="2"/>
  <c r="AL1414" i="2"/>
  <c r="AL1415" i="2"/>
  <c r="AL1416" i="2"/>
  <c r="AL1417" i="2"/>
  <c r="AL1418" i="2"/>
  <c r="AL1419" i="2"/>
  <c r="AL1420" i="2"/>
  <c r="AL1421" i="2"/>
  <c r="AL1422" i="2"/>
  <c r="AL1423" i="2"/>
  <c r="AL1424" i="2"/>
  <c r="AL1425" i="2"/>
  <c r="AL1426" i="2"/>
  <c r="AL1427" i="2"/>
  <c r="AL1428" i="2"/>
  <c r="AL1429" i="2"/>
  <c r="AL1430" i="2"/>
  <c r="AL1431" i="2"/>
  <c r="AL1432" i="2"/>
  <c r="AL1433" i="2"/>
  <c r="AL1434" i="2"/>
  <c r="AL1435" i="2"/>
  <c r="AL1436" i="2"/>
  <c r="AL1437" i="2"/>
  <c r="AL1438" i="2"/>
  <c r="AL1439" i="2"/>
  <c r="AL1440" i="2"/>
  <c r="AL1441" i="2"/>
  <c r="AL1442" i="2"/>
  <c r="AL1443" i="2"/>
  <c r="AL1444" i="2"/>
  <c r="AL1445" i="2"/>
  <c r="AL1446" i="2"/>
  <c r="AL1447" i="2"/>
  <c r="AL1448" i="2"/>
  <c r="AL1449" i="2"/>
  <c r="AL1450" i="2"/>
  <c r="AL1451" i="2"/>
  <c r="AL1452" i="2"/>
  <c r="AL1453" i="2"/>
  <c r="AL1454" i="2"/>
  <c r="AL1455" i="2"/>
  <c r="AL1456" i="2"/>
  <c r="AL1457" i="2"/>
  <c r="AL1458" i="2"/>
  <c r="AL1459" i="2"/>
  <c r="AL1460" i="2"/>
  <c r="AL1461" i="2"/>
  <c r="AL1462" i="2"/>
  <c r="AL1463" i="2"/>
  <c r="AL1464" i="2"/>
  <c r="AL1465" i="2"/>
  <c r="AL1466" i="2"/>
  <c r="AL1467" i="2"/>
  <c r="AL1468" i="2"/>
  <c r="AL1469" i="2"/>
  <c r="AL1470" i="2"/>
  <c r="AL1471" i="2"/>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K508" i="2"/>
  <c r="AK509" i="2"/>
  <c r="AK510" i="2"/>
  <c r="AK511" i="2"/>
  <c r="AK512" i="2"/>
  <c r="AK513" i="2"/>
  <c r="AK514" i="2"/>
  <c r="AK515" i="2"/>
  <c r="AK516" i="2"/>
  <c r="AK517" i="2"/>
  <c r="AK518" i="2"/>
  <c r="AK519" i="2"/>
  <c r="AK520" i="2"/>
  <c r="AK521" i="2"/>
  <c r="AK522" i="2"/>
  <c r="AK523" i="2"/>
  <c r="AK524" i="2"/>
  <c r="AK525" i="2"/>
  <c r="AK526" i="2"/>
  <c r="AK527" i="2"/>
  <c r="AK528" i="2"/>
  <c r="AK529" i="2"/>
  <c r="AK530" i="2"/>
  <c r="AK531" i="2"/>
  <c r="AK532" i="2"/>
  <c r="AK533" i="2"/>
  <c r="AK534" i="2"/>
  <c r="AK535" i="2"/>
  <c r="AK536" i="2"/>
  <c r="AK537" i="2"/>
  <c r="AK538" i="2"/>
  <c r="AK539" i="2"/>
  <c r="AK540" i="2"/>
  <c r="AK541" i="2"/>
  <c r="AK542" i="2"/>
  <c r="AK543" i="2"/>
  <c r="AK544" i="2"/>
  <c r="AK545" i="2"/>
  <c r="AK546" i="2"/>
  <c r="AK547" i="2"/>
  <c r="AK548" i="2"/>
  <c r="AK549" i="2"/>
  <c r="AK550" i="2"/>
  <c r="AK551" i="2"/>
  <c r="AK552" i="2"/>
  <c r="AK553" i="2"/>
  <c r="AK554" i="2"/>
  <c r="AK555" i="2"/>
  <c r="AK556" i="2"/>
  <c r="AK557" i="2"/>
  <c r="AK558" i="2"/>
  <c r="AK559" i="2"/>
  <c r="AK560" i="2"/>
  <c r="AK561" i="2"/>
  <c r="AK562" i="2"/>
  <c r="AK563" i="2"/>
  <c r="AK564" i="2"/>
  <c r="AK565" i="2"/>
  <c r="AK566" i="2"/>
  <c r="AK567" i="2"/>
  <c r="AK568" i="2"/>
  <c r="AK569" i="2"/>
  <c r="AK570" i="2"/>
  <c r="AK571" i="2"/>
  <c r="AK572" i="2"/>
  <c r="AK573" i="2"/>
  <c r="AK574" i="2"/>
  <c r="AK575" i="2"/>
  <c r="AK576" i="2"/>
  <c r="AK577" i="2"/>
  <c r="AK578" i="2"/>
  <c r="AK579" i="2"/>
  <c r="AK580" i="2"/>
  <c r="AK581" i="2"/>
  <c r="AK582" i="2"/>
  <c r="AK583" i="2"/>
  <c r="AK584" i="2"/>
  <c r="AK585" i="2"/>
  <c r="AK586" i="2"/>
  <c r="AK587" i="2"/>
  <c r="AK588" i="2"/>
  <c r="AK589" i="2"/>
  <c r="AK590" i="2"/>
  <c r="AK591" i="2"/>
  <c r="AK592" i="2"/>
  <c r="AK593" i="2"/>
  <c r="AK594" i="2"/>
  <c r="AK595" i="2"/>
  <c r="AK596" i="2"/>
  <c r="AK597" i="2"/>
  <c r="AK598" i="2"/>
  <c r="AK599" i="2"/>
  <c r="AK600" i="2"/>
  <c r="AK601" i="2"/>
  <c r="AK602" i="2"/>
  <c r="AK603" i="2"/>
  <c r="AK604" i="2"/>
  <c r="AK605" i="2"/>
  <c r="AK606" i="2"/>
  <c r="AK607" i="2"/>
  <c r="AK608" i="2"/>
  <c r="AK609" i="2"/>
  <c r="AK610" i="2"/>
  <c r="AK611" i="2"/>
  <c r="AK612" i="2"/>
  <c r="AK613" i="2"/>
  <c r="AK614" i="2"/>
  <c r="AK615" i="2"/>
  <c r="AK616" i="2"/>
  <c r="AK617" i="2"/>
  <c r="AK618" i="2"/>
  <c r="AK619" i="2"/>
  <c r="AK620" i="2"/>
  <c r="AK621" i="2"/>
  <c r="AK622" i="2"/>
  <c r="AK623" i="2"/>
  <c r="AK624" i="2"/>
  <c r="AK625" i="2"/>
  <c r="AK626" i="2"/>
  <c r="AK627" i="2"/>
  <c r="AK628" i="2"/>
  <c r="AK629" i="2"/>
  <c r="AK630" i="2"/>
  <c r="AK631" i="2"/>
  <c r="AK632" i="2"/>
  <c r="AK633" i="2"/>
  <c r="AK634" i="2"/>
  <c r="AK635" i="2"/>
  <c r="AK636" i="2"/>
  <c r="AK637" i="2"/>
  <c r="AK638" i="2"/>
  <c r="AK639" i="2"/>
  <c r="AK640" i="2"/>
  <c r="AK641" i="2"/>
  <c r="AK642" i="2"/>
  <c r="AK643" i="2"/>
  <c r="AK644" i="2"/>
  <c r="AK645" i="2"/>
  <c r="AK646" i="2"/>
  <c r="AK647" i="2"/>
  <c r="AK648" i="2"/>
  <c r="AK649" i="2"/>
  <c r="AK650" i="2"/>
  <c r="AK651" i="2"/>
  <c r="AK652" i="2"/>
  <c r="AK653" i="2"/>
  <c r="AK654" i="2"/>
  <c r="AK655" i="2"/>
  <c r="AK656" i="2"/>
  <c r="AK657" i="2"/>
  <c r="AK658" i="2"/>
  <c r="AK659" i="2"/>
  <c r="AK660" i="2"/>
  <c r="AK661" i="2"/>
  <c r="AK662" i="2"/>
  <c r="AK663" i="2"/>
  <c r="AK664" i="2"/>
  <c r="AK665" i="2"/>
  <c r="AK666" i="2"/>
  <c r="AK667" i="2"/>
  <c r="AK668" i="2"/>
  <c r="AK669" i="2"/>
  <c r="AK670" i="2"/>
  <c r="AK671" i="2"/>
  <c r="AK672" i="2"/>
  <c r="AK673" i="2"/>
  <c r="AK674" i="2"/>
  <c r="AK675" i="2"/>
  <c r="AK676" i="2"/>
  <c r="AK677" i="2"/>
  <c r="AK678" i="2"/>
  <c r="AK679" i="2"/>
  <c r="AK680" i="2"/>
  <c r="AK681" i="2"/>
  <c r="AK682" i="2"/>
  <c r="AK683" i="2"/>
  <c r="AK684" i="2"/>
  <c r="AK685" i="2"/>
  <c r="AK686" i="2"/>
  <c r="AK687" i="2"/>
  <c r="AK688" i="2"/>
  <c r="AK689" i="2"/>
  <c r="AK690" i="2"/>
  <c r="AK691" i="2"/>
  <c r="AK692" i="2"/>
  <c r="AK693" i="2"/>
  <c r="AK694" i="2"/>
  <c r="AK695" i="2"/>
  <c r="AK696" i="2"/>
  <c r="AK697" i="2"/>
  <c r="AK698" i="2"/>
  <c r="AK699" i="2"/>
  <c r="AK700" i="2"/>
  <c r="AK701" i="2"/>
  <c r="AK702" i="2"/>
  <c r="AK703" i="2"/>
  <c r="AK704" i="2"/>
  <c r="AK705" i="2"/>
  <c r="AK706" i="2"/>
  <c r="AK707" i="2"/>
  <c r="AK708" i="2"/>
  <c r="AK709" i="2"/>
  <c r="AK710" i="2"/>
  <c r="AK711" i="2"/>
  <c r="AK712" i="2"/>
  <c r="AK713" i="2"/>
  <c r="AK714" i="2"/>
  <c r="AK715" i="2"/>
  <c r="AK716" i="2"/>
  <c r="AK717" i="2"/>
  <c r="AK718" i="2"/>
  <c r="AK719" i="2"/>
  <c r="AK720" i="2"/>
  <c r="AK721" i="2"/>
  <c r="AK722" i="2"/>
  <c r="AK723" i="2"/>
  <c r="AK724" i="2"/>
  <c r="AK725" i="2"/>
  <c r="AK726" i="2"/>
  <c r="AK727" i="2"/>
  <c r="AK728" i="2"/>
  <c r="AK729" i="2"/>
  <c r="AK730" i="2"/>
  <c r="AK731" i="2"/>
  <c r="AK732" i="2"/>
  <c r="AK733" i="2"/>
  <c r="AK734" i="2"/>
  <c r="AK735" i="2"/>
  <c r="AK736" i="2"/>
  <c r="AK737" i="2"/>
  <c r="AK738" i="2"/>
  <c r="AK739" i="2"/>
  <c r="AK740" i="2"/>
  <c r="AK741" i="2"/>
  <c r="AK742" i="2"/>
  <c r="AK743" i="2"/>
  <c r="AK744" i="2"/>
  <c r="AK745" i="2"/>
  <c r="AK746" i="2"/>
  <c r="AK747" i="2"/>
  <c r="AK748" i="2"/>
  <c r="AK749" i="2"/>
  <c r="AK750" i="2"/>
  <c r="AK751" i="2"/>
  <c r="AK752" i="2"/>
  <c r="AK753" i="2"/>
  <c r="AK754" i="2"/>
  <c r="AK755" i="2"/>
  <c r="AK756" i="2"/>
  <c r="AK757" i="2"/>
  <c r="AK758" i="2"/>
  <c r="AK759" i="2"/>
  <c r="AK760" i="2"/>
  <c r="AK761" i="2"/>
  <c r="AK762" i="2"/>
  <c r="AK763" i="2"/>
  <c r="AK764" i="2"/>
  <c r="AK765" i="2"/>
  <c r="AK766" i="2"/>
  <c r="AK767" i="2"/>
  <c r="AK768" i="2"/>
  <c r="AK769" i="2"/>
  <c r="AK770" i="2"/>
  <c r="AK771" i="2"/>
  <c r="AK772" i="2"/>
  <c r="AK773" i="2"/>
  <c r="AK774" i="2"/>
  <c r="AK775" i="2"/>
  <c r="AK776" i="2"/>
  <c r="AK777" i="2"/>
  <c r="AK778" i="2"/>
  <c r="AK779" i="2"/>
  <c r="AK780" i="2"/>
  <c r="AK781" i="2"/>
  <c r="AK782" i="2"/>
  <c r="AK783" i="2"/>
  <c r="AK784" i="2"/>
  <c r="AK785" i="2"/>
  <c r="AK786" i="2"/>
  <c r="AK787" i="2"/>
  <c r="AK788" i="2"/>
  <c r="AK789" i="2"/>
  <c r="AK790" i="2"/>
  <c r="AK791" i="2"/>
  <c r="AK792" i="2"/>
  <c r="AK793" i="2"/>
  <c r="AK794" i="2"/>
  <c r="AK795" i="2"/>
  <c r="AK796" i="2"/>
  <c r="AK797" i="2"/>
  <c r="AK798" i="2"/>
  <c r="AK799" i="2"/>
  <c r="AK800" i="2"/>
  <c r="AK801" i="2"/>
  <c r="AK802" i="2"/>
  <c r="AK803" i="2"/>
  <c r="AK804" i="2"/>
  <c r="AK805" i="2"/>
  <c r="AK806" i="2"/>
  <c r="AK807" i="2"/>
  <c r="AK808" i="2"/>
  <c r="AK809" i="2"/>
  <c r="AK810" i="2"/>
  <c r="AK811" i="2"/>
  <c r="AK812" i="2"/>
  <c r="AK813" i="2"/>
  <c r="AK814" i="2"/>
  <c r="AK815" i="2"/>
  <c r="AK816" i="2"/>
  <c r="AK817" i="2"/>
  <c r="AK818" i="2"/>
  <c r="AK819" i="2"/>
  <c r="AK820" i="2"/>
  <c r="AK821" i="2"/>
  <c r="AK822" i="2"/>
  <c r="AK823" i="2"/>
  <c r="AK824" i="2"/>
  <c r="AK825" i="2"/>
  <c r="AK826" i="2"/>
  <c r="AK827" i="2"/>
  <c r="AK828" i="2"/>
  <c r="AK829" i="2"/>
  <c r="AK830" i="2"/>
  <c r="AK831" i="2"/>
  <c r="AK832" i="2"/>
  <c r="AK833" i="2"/>
  <c r="AK834" i="2"/>
  <c r="AK835" i="2"/>
  <c r="AK836" i="2"/>
  <c r="AK837" i="2"/>
  <c r="AK838" i="2"/>
  <c r="AK839" i="2"/>
  <c r="AK840" i="2"/>
  <c r="AK841" i="2"/>
  <c r="AK842" i="2"/>
  <c r="AK843" i="2"/>
  <c r="AK844" i="2"/>
  <c r="AK845" i="2"/>
  <c r="AK846" i="2"/>
  <c r="AK847" i="2"/>
  <c r="AK848" i="2"/>
  <c r="AK849" i="2"/>
  <c r="AK850" i="2"/>
  <c r="AK851" i="2"/>
  <c r="AK852" i="2"/>
  <c r="AK853" i="2"/>
  <c r="AK854" i="2"/>
  <c r="AK855" i="2"/>
  <c r="AK856" i="2"/>
  <c r="AK857" i="2"/>
  <c r="AK858" i="2"/>
  <c r="AK859" i="2"/>
  <c r="AK860" i="2"/>
  <c r="AK861" i="2"/>
  <c r="AK862" i="2"/>
  <c r="AK863" i="2"/>
  <c r="AK864" i="2"/>
  <c r="AK865" i="2"/>
  <c r="AK866" i="2"/>
  <c r="AK867" i="2"/>
  <c r="AK868" i="2"/>
  <c r="AK869" i="2"/>
  <c r="AK870" i="2"/>
  <c r="AK871" i="2"/>
  <c r="AK872" i="2"/>
  <c r="AK873" i="2"/>
  <c r="AK874" i="2"/>
  <c r="AK875" i="2"/>
  <c r="AK876" i="2"/>
  <c r="AK877" i="2"/>
  <c r="AK878" i="2"/>
  <c r="AK879" i="2"/>
  <c r="AK880" i="2"/>
  <c r="AK881" i="2"/>
  <c r="AK882" i="2"/>
  <c r="AK883" i="2"/>
  <c r="AK884" i="2"/>
  <c r="AK885" i="2"/>
  <c r="AK886" i="2"/>
  <c r="AK887" i="2"/>
  <c r="AK888" i="2"/>
  <c r="AK889" i="2"/>
  <c r="AK890" i="2"/>
  <c r="AK891" i="2"/>
  <c r="AK892" i="2"/>
  <c r="AK893" i="2"/>
  <c r="AK894" i="2"/>
  <c r="AK895" i="2"/>
  <c r="AK896" i="2"/>
  <c r="AK897" i="2"/>
  <c r="AK898" i="2"/>
  <c r="AK899" i="2"/>
  <c r="AK900" i="2"/>
  <c r="AK901" i="2"/>
  <c r="AK902" i="2"/>
  <c r="AK903" i="2"/>
  <c r="AK904" i="2"/>
  <c r="AK905" i="2"/>
  <c r="AK906" i="2"/>
  <c r="AK907" i="2"/>
  <c r="AK908" i="2"/>
  <c r="AK909" i="2"/>
  <c r="AK910" i="2"/>
  <c r="AK911" i="2"/>
  <c r="AK912" i="2"/>
  <c r="AK913" i="2"/>
  <c r="AK914" i="2"/>
  <c r="AK915" i="2"/>
  <c r="AK916" i="2"/>
  <c r="AK917" i="2"/>
  <c r="AK918" i="2"/>
  <c r="AK919" i="2"/>
  <c r="AK920" i="2"/>
  <c r="AK921" i="2"/>
  <c r="AK922" i="2"/>
  <c r="AK923" i="2"/>
  <c r="AK924" i="2"/>
  <c r="AK925" i="2"/>
  <c r="AK926" i="2"/>
  <c r="AK927" i="2"/>
  <c r="AK928" i="2"/>
  <c r="AK929" i="2"/>
  <c r="AK930" i="2"/>
  <c r="AK931" i="2"/>
  <c r="AK932" i="2"/>
  <c r="AK933" i="2"/>
  <c r="AK934" i="2"/>
  <c r="AK935" i="2"/>
  <c r="AK936" i="2"/>
  <c r="AK937" i="2"/>
  <c r="AK938" i="2"/>
  <c r="AK939" i="2"/>
  <c r="AK940" i="2"/>
  <c r="AK941" i="2"/>
  <c r="AK942" i="2"/>
  <c r="AK943" i="2"/>
  <c r="AK944" i="2"/>
  <c r="AK945" i="2"/>
  <c r="AK946" i="2"/>
  <c r="AK947" i="2"/>
  <c r="AK948" i="2"/>
  <c r="AK949" i="2"/>
  <c r="AK950" i="2"/>
  <c r="AK951" i="2"/>
  <c r="AK952" i="2"/>
  <c r="AK953" i="2"/>
  <c r="AK954" i="2"/>
  <c r="AK955" i="2"/>
  <c r="AK956" i="2"/>
  <c r="AK957" i="2"/>
  <c r="AK958" i="2"/>
  <c r="AK959" i="2"/>
  <c r="AK960" i="2"/>
  <c r="AK961" i="2"/>
  <c r="AK962" i="2"/>
  <c r="AK963" i="2"/>
  <c r="AK964" i="2"/>
  <c r="AK965" i="2"/>
  <c r="AK966" i="2"/>
  <c r="AK967" i="2"/>
  <c r="AK968" i="2"/>
  <c r="AK969" i="2"/>
  <c r="AK970" i="2"/>
  <c r="AK971" i="2"/>
  <c r="AK972" i="2"/>
  <c r="AK973" i="2"/>
  <c r="AK974" i="2"/>
  <c r="AK975" i="2"/>
  <c r="AK976" i="2"/>
  <c r="AK977" i="2"/>
  <c r="AK978" i="2"/>
  <c r="AK979" i="2"/>
  <c r="AK980" i="2"/>
  <c r="AK981" i="2"/>
  <c r="AK982" i="2"/>
  <c r="AK983" i="2"/>
  <c r="AK984" i="2"/>
  <c r="AK985" i="2"/>
  <c r="AK986" i="2"/>
  <c r="AK987" i="2"/>
  <c r="AK988" i="2"/>
  <c r="AK989" i="2"/>
  <c r="AK990" i="2"/>
  <c r="AK991" i="2"/>
  <c r="AK992" i="2"/>
  <c r="AK993" i="2"/>
  <c r="AK994" i="2"/>
  <c r="AK995" i="2"/>
  <c r="AK996" i="2"/>
  <c r="AK997" i="2"/>
  <c r="AK998" i="2"/>
  <c r="AK999" i="2"/>
  <c r="AK1000" i="2"/>
  <c r="AK1001" i="2"/>
  <c r="AK1002" i="2"/>
  <c r="AK1003" i="2"/>
  <c r="AK1004" i="2"/>
  <c r="AK1005" i="2"/>
  <c r="AK1006" i="2"/>
  <c r="AK1007" i="2"/>
  <c r="AK1008" i="2"/>
  <c r="AK1009" i="2"/>
  <c r="AK1010" i="2"/>
  <c r="AK1011" i="2"/>
  <c r="AK1012" i="2"/>
  <c r="AK1013" i="2"/>
  <c r="AK1014" i="2"/>
  <c r="AK1015" i="2"/>
  <c r="AK1016" i="2"/>
  <c r="AK1017" i="2"/>
  <c r="AK1018" i="2"/>
  <c r="AK1019" i="2"/>
  <c r="AK1020" i="2"/>
  <c r="AK1021" i="2"/>
  <c r="AK1022" i="2"/>
  <c r="AK1023" i="2"/>
  <c r="AK1024" i="2"/>
  <c r="AK1025" i="2"/>
  <c r="AK1026" i="2"/>
  <c r="AK1027" i="2"/>
  <c r="AK1028" i="2"/>
  <c r="AK1029" i="2"/>
  <c r="AK1030" i="2"/>
  <c r="AK1031" i="2"/>
  <c r="AK1032" i="2"/>
  <c r="AK1033" i="2"/>
  <c r="AK1034" i="2"/>
  <c r="AK1035" i="2"/>
  <c r="AK1036" i="2"/>
  <c r="AK1037" i="2"/>
  <c r="AK1038" i="2"/>
  <c r="AK1039" i="2"/>
  <c r="AK1040" i="2"/>
  <c r="AK1041" i="2"/>
  <c r="AK1042" i="2"/>
  <c r="AK1043" i="2"/>
  <c r="AK1044" i="2"/>
  <c r="AK1045" i="2"/>
  <c r="AK1046" i="2"/>
  <c r="AK1047" i="2"/>
  <c r="AK1048" i="2"/>
  <c r="AK1049" i="2"/>
  <c r="AK1050" i="2"/>
  <c r="AK1051" i="2"/>
  <c r="AK1052" i="2"/>
  <c r="AK1053" i="2"/>
  <c r="AK1054" i="2"/>
  <c r="AK1055" i="2"/>
  <c r="AK1056" i="2"/>
  <c r="AK1057" i="2"/>
  <c r="AK1058" i="2"/>
  <c r="AK1059" i="2"/>
  <c r="AK1060" i="2"/>
  <c r="AK1061" i="2"/>
  <c r="AK1062" i="2"/>
  <c r="AK1063" i="2"/>
  <c r="AK1064" i="2"/>
  <c r="AK1065" i="2"/>
  <c r="AK1066" i="2"/>
  <c r="AK1067" i="2"/>
  <c r="AK1068" i="2"/>
  <c r="AK1069" i="2"/>
  <c r="AK1070" i="2"/>
  <c r="AK1071" i="2"/>
  <c r="AK1072" i="2"/>
  <c r="AK1073" i="2"/>
  <c r="AK1074" i="2"/>
  <c r="AK1075" i="2"/>
  <c r="AK1076" i="2"/>
  <c r="AK1077" i="2"/>
  <c r="AK1078" i="2"/>
  <c r="AK1079" i="2"/>
  <c r="AK1080" i="2"/>
  <c r="AK1081" i="2"/>
  <c r="AK1082" i="2"/>
  <c r="AK1083" i="2"/>
  <c r="AK1084" i="2"/>
  <c r="AK1085" i="2"/>
  <c r="AK1086" i="2"/>
  <c r="AK1087" i="2"/>
  <c r="AK1088" i="2"/>
  <c r="AK1089" i="2"/>
  <c r="AK1090" i="2"/>
  <c r="AK1091" i="2"/>
  <c r="AK1092" i="2"/>
  <c r="AK1093" i="2"/>
  <c r="AK1094" i="2"/>
  <c r="AK1095" i="2"/>
  <c r="AK1096" i="2"/>
  <c r="AK1097" i="2"/>
  <c r="AK1098" i="2"/>
  <c r="AK1099" i="2"/>
  <c r="AK1100" i="2"/>
  <c r="AK1101" i="2"/>
  <c r="AK1102" i="2"/>
  <c r="AK1103" i="2"/>
  <c r="AK1104" i="2"/>
  <c r="AK1105" i="2"/>
  <c r="AK1106" i="2"/>
  <c r="AK1107" i="2"/>
  <c r="AK1108" i="2"/>
  <c r="AK1109" i="2"/>
  <c r="AK1110" i="2"/>
  <c r="AK1111" i="2"/>
  <c r="AK1112" i="2"/>
  <c r="AK1113" i="2"/>
  <c r="AK1114" i="2"/>
  <c r="AK1115" i="2"/>
  <c r="AK1116" i="2"/>
  <c r="AK1117" i="2"/>
  <c r="AK1118" i="2"/>
  <c r="AK1119" i="2"/>
  <c r="AK1120" i="2"/>
  <c r="AK1121" i="2"/>
  <c r="AK1122" i="2"/>
  <c r="AK1123" i="2"/>
  <c r="AK1124" i="2"/>
  <c r="AK1125" i="2"/>
  <c r="AK1126" i="2"/>
  <c r="AK1127" i="2"/>
  <c r="AK1128" i="2"/>
  <c r="AK1129" i="2"/>
  <c r="AK1130" i="2"/>
  <c r="AK1131" i="2"/>
  <c r="AK1132" i="2"/>
  <c r="AK1133" i="2"/>
  <c r="AK1134" i="2"/>
  <c r="AK1135" i="2"/>
  <c r="AK1136" i="2"/>
  <c r="AK1137" i="2"/>
  <c r="AK1138" i="2"/>
  <c r="AK1139" i="2"/>
  <c r="AK1140" i="2"/>
  <c r="AK1141" i="2"/>
  <c r="AK1142" i="2"/>
  <c r="AK1143" i="2"/>
  <c r="AK1144" i="2"/>
  <c r="AK1145" i="2"/>
  <c r="AK1146" i="2"/>
  <c r="AK1147" i="2"/>
  <c r="AK1148" i="2"/>
  <c r="AK1149" i="2"/>
  <c r="AK1150" i="2"/>
  <c r="AK1151" i="2"/>
  <c r="AK1152" i="2"/>
  <c r="AK1153" i="2"/>
  <c r="AK1154" i="2"/>
  <c r="AK1155" i="2"/>
  <c r="AK1156" i="2"/>
  <c r="AK1157" i="2"/>
  <c r="AK1158" i="2"/>
  <c r="AK1159" i="2"/>
  <c r="AK1160" i="2"/>
  <c r="AK1161" i="2"/>
  <c r="AK1162" i="2"/>
  <c r="AK1163" i="2"/>
  <c r="AK1164" i="2"/>
  <c r="AK1165" i="2"/>
  <c r="AK1166" i="2"/>
  <c r="AK1167" i="2"/>
  <c r="AK1168" i="2"/>
  <c r="AK1169" i="2"/>
  <c r="AK1170" i="2"/>
  <c r="AK1171" i="2"/>
  <c r="AK1172" i="2"/>
  <c r="AK1173" i="2"/>
  <c r="AK1174" i="2"/>
  <c r="AK1175" i="2"/>
  <c r="AK1176" i="2"/>
  <c r="AK1177" i="2"/>
  <c r="AK1178" i="2"/>
  <c r="AK1179" i="2"/>
  <c r="AK1180" i="2"/>
  <c r="AK1181" i="2"/>
  <c r="AK1182" i="2"/>
  <c r="AK1183" i="2"/>
  <c r="AK1184" i="2"/>
  <c r="AK1185" i="2"/>
  <c r="AK1186" i="2"/>
  <c r="AK1187" i="2"/>
  <c r="AK1188" i="2"/>
  <c r="AK1189" i="2"/>
  <c r="AK1190" i="2"/>
  <c r="AK1191" i="2"/>
  <c r="AK1192" i="2"/>
  <c r="AK1193" i="2"/>
  <c r="AK1194" i="2"/>
  <c r="AK1195" i="2"/>
  <c r="AK1196" i="2"/>
  <c r="AK1197" i="2"/>
  <c r="AK1198" i="2"/>
  <c r="AK1199" i="2"/>
  <c r="AK1200" i="2"/>
  <c r="AK1201" i="2"/>
  <c r="AK1202" i="2"/>
  <c r="AK1203" i="2"/>
  <c r="AK1204" i="2"/>
  <c r="AK1205" i="2"/>
  <c r="AK1206" i="2"/>
  <c r="AK1207" i="2"/>
  <c r="AK1208" i="2"/>
  <c r="AK1209" i="2"/>
  <c r="AK1210" i="2"/>
  <c r="AK1211" i="2"/>
  <c r="AK1212" i="2"/>
  <c r="AK1213" i="2"/>
  <c r="AK1214" i="2"/>
  <c r="AK1215" i="2"/>
  <c r="AK1216" i="2"/>
  <c r="AK1217" i="2"/>
  <c r="AK1218" i="2"/>
  <c r="AK1219" i="2"/>
  <c r="AK1220" i="2"/>
  <c r="AK1221" i="2"/>
  <c r="AK1222" i="2"/>
  <c r="AK1223" i="2"/>
  <c r="AK1224" i="2"/>
  <c r="AK1225" i="2"/>
  <c r="AK1226" i="2"/>
  <c r="AK1227" i="2"/>
  <c r="AK1228" i="2"/>
  <c r="AK1229" i="2"/>
  <c r="AK1230" i="2"/>
  <c r="AK1231" i="2"/>
  <c r="AK1232" i="2"/>
  <c r="AK1233" i="2"/>
  <c r="AK1234" i="2"/>
  <c r="AK1235" i="2"/>
  <c r="AK1236" i="2"/>
  <c r="AK1237" i="2"/>
  <c r="AK1238" i="2"/>
  <c r="AK1239" i="2"/>
  <c r="AK1240" i="2"/>
  <c r="AK1241" i="2"/>
  <c r="AK1242" i="2"/>
  <c r="AK1243" i="2"/>
  <c r="AK1244" i="2"/>
  <c r="AK1245" i="2"/>
  <c r="AK1246" i="2"/>
  <c r="AK1247" i="2"/>
  <c r="AK1248" i="2"/>
  <c r="AK1249" i="2"/>
  <c r="AK1250" i="2"/>
  <c r="AK1251" i="2"/>
  <c r="AK1252" i="2"/>
  <c r="AK1253" i="2"/>
  <c r="AK1254" i="2"/>
  <c r="AK1255" i="2"/>
  <c r="AK1256" i="2"/>
  <c r="AK1257" i="2"/>
  <c r="AK1258" i="2"/>
  <c r="AK1259" i="2"/>
  <c r="AK1260" i="2"/>
  <c r="AK1261" i="2"/>
  <c r="AK1262" i="2"/>
  <c r="AK1263" i="2"/>
  <c r="AK1264" i="2"/>
  <c r="AK1265" i="2"/>
  <c r="AK1266" i="2"/>
  <c r="AK1267" i="2"/>
  <c r="AK1268" i="2"/>
  <c r="AK1269" i="2"/>
  <c r="AK1270" i="2"/>
  <c r="AK1271" i="2"/>
  <c r="AK1272" i="2"/>
  <c r="AK1273" i="2"/>
  <c r="AK1274" i="2"/>
  <c r="AK1275" i="2"/>
  <c r="AK1276" i="2"/>
  <c r="AK1277" i="2"/>
  <c r="AK1278" i="2"/>
  <c r="AK1279" i="2"/>
  <c r="AK1280" i="2"/>
  <c r="AK1281" i="2"/>
  <c r="AK1282" i="2"/>
  <c r="AK1283" i="2"/>
  <c r="AK1284" i="2"/>
  <c r="AK1285" i="2"/>
  <c r="AK1286" i="2"/>
  <c r="AK1287" i="2"/>
  <c r="AK1288" i="2"/>
  <c r="AK1289" i="2"/>
  <c r="AK1290" i="2"/>
  <c r="AK1291" i="2"/>
  <c r="AK1292" i="2"/>
  <c r="AK1293" i="2"/>
  <c r="AK1294" i="2"/>
  <c r="AK1295" i="2"/>
  <c r="AK1296" i="2"/>
  <c r="AK1297" i="2"/>
  <c r="AK1298" i="2"/>
  <c r="AK1299" i="2"/>
  <c r="AK1300" i="2"/>
  <c r="AK1301" i="2"/>
  <c r="AK1302" i="2"/>
  <c r="AK1303" i="2"/>
  <c r="AK1304" i="2"/>
  <c r="AK1305" i="2"/>
  <c r="AK1306" i="2"/>
  <c r="AK1307" i="2"/>
  <c r="AK1308" i="2"/>
  <c r="AK1309" i="2"/>
  <c r="AK1310" i="2"/>
  <c r="AK1311" i="2"/>
  <c r="AK1312" i="2"/>
  <c r="AK1313" i="2"/>
  <c r="AK1314" i="2"/>
  <c r="AK1315" i="2"/>
  <c r="AK1316" i="2"/>
  <c r="AK1317" i="2"/>
  <c r="AK1318" i="2"/>
  <c r="AK1319" i="2"/>
  <c r="AK1320" i="2"/>
  <c r="AK1321" i="2"/>
  <c r="AK1322" i="2"/>
  <c r="AK1323" i="2"/>
  <c r="AK1324" i="2"/>
  <c r="AK1325" i="2"/>
  <c r="AK1326" i="2"/>
  <c r="AK1327" i="2"/>
  <c r="AK1328" i="2"/>
  <c r="AK1329" i="2"/>
  <c r="AK1330" i="2"/>
  <c r="AK1331" i="2"/>
  <c r="AK1332" i="2"/>
  <c r="AK1333" i="2"/>
  <c r="AK1334" i="2"/>
  <c r="AK1335" i="2"/>
  <c r="AK1336" i="2"/>
  <c r="AK1337" i="2"/>
  <c r="AK1338" i="2"/>
  <c r="AK1339" i="2"/>
  <c r="AK1340" i="2"/>
  <c r="AK1341" i="2"/>
  <c r="AK1342" i="2"/>
  <c r="AK1343" i="2"/>
  <c r="AK1344" i="2"/>
  <c r="AK1345" i="2"/>
  <c r="AK1346" i="2"/>
  <c r="AK1347" i="2"/>
  <c r="AK1348" i="2"/>
  <c r="AK1349" i="2"/>
  <c r="AK1350" i="2"/>
  <c r="AK1351" i="2"/>
  <c r="AK1352" i="2"/>
  <c r="AK1353" i="2"/>
  <c r="AK1354" i="2"/>
  <c r="AK1355" i="2"/>
  <c r="AK1356" i="2"/>
  <c r="AK1357" i="2"/>
  <c r="AK1358" i="2"/>
  <c r="AK1359" i="2"/>
  <c r="AK1360" i="2"/>
  <c r="AK1361" i="2"/>
  <c r="AK1362" i="2"/>
  <c r="AK1363" i="2"/>
  <c r="AK1364" i="2"/>
  <c r="AK1365" i="2"/>
  <c r="AK1366" i="2"/>
  <c r="AK1367" i="2"/>
  <c r="AK1368" i="2"/>
  <c r="AK1369" i="2"/>
  <c r="AK1370" i="2"/>
  <c r="AK1371" i="2"/>
  <c r="AK1372" i="2"/>
  <c r="AK1373" i="2"/>
  <c r="AK1374" i="2"/>
  <c r="AK1375" i="2"/>
  <c r="AK1376" i="2"/>
  <c r="AK1377" i="2"/>
  <c r="AK1378" i="2"/>
  <c r="AK1379" i="2"/>
  <c r="AK1380" i="2"/>
  <c r="AK1381" i="2"/>
  <c r="AK1382" i="2"/>
  <c r="AK1383" i="2"/>
  <c r="AK1384" i="2"/>
  <c r="AK1385" i="2"/>
  <c r="AK1386" i="2"/>
  <c r="AK1387" i="2"/>
  <c r="AK1388" i="2"/>
  <c r="AK1389" i="2"/>
  <c r="AK1390" i="2"/>
  <c r="AK1391" i="2"/>
  <c r="AK1392" i="2"/>
  <c r="AK1393" i="2"/>
  <c r="AK1394" i="2"/>
  <c r="AK1395" i="2"/>
  <c r="AK1396" i="2"/>
  <c r="AK1397" i="2"/>
  <c r="AK1398" i="2"/>
  <c r="AK1399" i="2"/>
  <c r="AK1400" i="2"/>
  <c r="AK1401" i="2"/>
  <c r="AK1402" i="2"/>
  <c r="AK1403" i="2"/>
  <c r="AK1404" i="2"/>
  <c r="AK1405" i="2"/>
  <c r="AK1406" i="2"/>
  <c r="AK1407" i="2"/>
  <c r="AK1408" i="2"/>
  <c r="AK1409" i="2"/>
  <c r="AK1410" i="2"/>
  <c r="AK1411" i="2"/>
  <c r="AK1412" i="2"/>
  <c r="AK1413" i="2"/>
  <c r="AK1414" i="2"/>
  <c r="AK1415" i="2"/>
  <c r="AK1416" i="2"/>
  <c r="AK1417" i="2"/>
  <c r="AK1418" i="2"/>
  <c r="AK1419" i="2"/>
  <c r="AK1420" i="2"/>
  <c r="AK1421" i="2"/>
  <c r="AK1422" i="2"/>
  <c r="AK1423" i="2"/>
  <c r="AK1424" i="2"/>
  <c r="AK1425" i="2"/>
  <c r="AK1426" i="2"/>
  <c r="AK1427" i="2"/>
  <c r="AK1428" i="2"/>
  <c r="AK1429" i="2"/>
  <c r="AK1430" i="2"/>
  <c r="AK1431" i="2"/>
  <c r="AK1432" i="2"/>
  <c r="AK1433" i="2"/>
  <c r="AK1434" i="2"/>
  <c r="AK1435" i="2"/>
  <c r="AK1436" i="2"/>
  <c r="AK1437" i="2"/>
  <c r="AK1438" i="2"/>
  <c r="AK1439" i="2"/>
  <c r="AK1440" i="2"/>
  <c r="AK1441" i="2"/>
  <c r="AK1442" i="2"/>
  <c r="AK1443" i="2"/>
  <c r="AK1444" i="2"/>
  <c r="AK1445" i="2"/>
  <c r="AK1446" i="2"/>
  <c r="AK1447" i="2"/>
  <c r="AK1448" i="2"/>
  <c r="AK1449" i="2"/>
  <c r="AK1450" i="2"/>
  <c r="AK1451" i="2"/>
  <c r="AK1452" i="2"/>
  <c r="AK1453" i="2"/>
  <c r="AK1454" i="2"/>
  <c r="AK1455" i="2"/>
  <c r="AK1456" i="2"/>
  <c r="AK1457" i="2"/>
  <c r="AK1458" i="2"/>
  <c r="AK1459" i="2"/>
  <c r="AK1460" i="2"/>
  <c r="AK1461" i="2"/>
  <c r="AK1462" i="2"/>
  <c r="AK1463" i="2"/>
  <c r="AK1464" i="2"/>
  <c r="AK1465" i="2"/>
  <c r="AK1466" i="2"/>
  <c r="AK1467" i="2"/>
  <c r="AK1468" i="2"/>
  <c r="AK1469" i="2"/>
  <c r="AK1470" i="2"/>
  <c r="AK1471" i="2"/>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3E37BF-A93E-440D-8BE4-1DF4B6A52EA3}"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<sst xmlns="http://schemas.openxmlformats.org/spreadsheetml/2006/main" count="13309" uniqueCount="84">
  <si>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</si>
  <si>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</si>
  <si>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</si>
  <si>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</si>
  <si>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</si>
  <si>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</si>
  <si>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</si>
  <si>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</si>
  <si>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</si>
  <si>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</si>
  <si>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</si>
  <si>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</si>
  <si>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</si>
  <si>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</si>
  <si>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</si>
  <si>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</si>
  <si>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</si>
  <si>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</si>
  <si>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</si>
  <si>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</si>
  <si>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</si>
  <si>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</si>
  <si>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</si>
  <si>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</si>
  <si>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</si>
  <si>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</si>
  <si>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</si>
  <si>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</si>
  <si>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</si>
  <si>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</si>
  <si>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</si>
  <si>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</si>
  <si>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</si>
  <si>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</si>
  <si>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</si>
  <si>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</si>
  <si>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</si>
  <si>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</si>
  <si>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</si>
  <si>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</si>
  <si>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</si>
  <si>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</si>
  <si>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</si>
  <si>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</si>
  <si>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</si>
  <si>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</si>
  <si>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</si>
  <si>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</si>
  <si>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</si>
  <si>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</si>
  <si>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</si>
  <si>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</si>
  <si>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</si>
  <si>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</si>
  <si>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</si>
  <si>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</si>
  <si>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</si>
  <si>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</si>
  <si>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</si>
  <si>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</si>
  <si>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</si>
  <si>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</si>
  <si>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Sample_ID</t>
  </si>
  <si>
    <t>Test_Category</t>
  </si>
  <si>
    <t>Laboratory_Section</t>
  </si>
  <si>
    <t>Test_Result</t>
  </si>
  <si>
    <t>Test_Duration_Days</t>
  </si>
  <si>
    <t>Lab_Status</t>
  </si>
  <si>
    <t>Total Samples</t>
  </si>
  <si>
    <t>Completed Tests</t>
  </si>
  <si>
    <t>Failed Tests</t>
  </si>
  <si>
    <t>Lab Efficiency %</t>
  </si>
  <si>
    <t>Average Test Duration</t>
  </si>
  <si>
    <t>Row Labels</t>
  </si>
  <si>
    <t>Grand Total</t>
  </si>
  <si>
    <t>Count of Sample_ID</t>
  </si>
  <si>
    <t>Completed</t>
  </si>
  <si>
    <t>Failed</t>
  </si>
  <si>
    <t>Approved</t>
  </si>
  <si>
    <t>LABORATORY OPERATIONS &amp; PERFORMANCE DASHBOARD</t>
  </si>
  <si>
    <t>Completed Rate</t>
  </si>
  <si>
    <t>Failed Rate</t>
  </si>
  <si>
    <t>Average Duration</t>
  </si>
  <si>
    <t>Approval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</si>
</sst>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K&quot;"/>
    <numFmt numFmtId="165" formatCode="0.0\ &quot;Days&quot;"/>
  </numFmts>
  <fonts count="3" x14ac:knownFonts="1">
    <font>
      <sz val="11"/>
      <color theme="1"/>
      <name val="Calibri"/>
      <family val="2"/>
      <scheme val="minor"/>
    </font>
    <font>
      <b/>
      <sz val="22"/>
      <color theme="1"/>
      <name val="Calibri"/>
      <family val="2"/>
      <scheme val="minor"/>
    </font>
    <font>
      <b/>
      <sz val="18"/>
      <color theme="1"/>
      <name val="Calibri"/>
      <family val="2"/>
      <scheme val="minor"/>
    </font>
  </fonts>
  <fills count="8">
    <fill>
      <patternFill patternType="none"/>
    </fill>
    <fill>
      <patternFill patternType="gray125"/>
    </fill>
    <fill>
      <patternFill patternType="solid">
        <fgColor theme="8" tint="0.39997558519241921"/>
        <bgColor indexed="64"/>
      </patternFill>
    </fill>
    <fill>
      <patternFill patternType="solid">
        <fgColor theme="9" tint="0.39997558519241921"/>
        <bgColor indexed="64"/>
      </patternFill>
    </fill>
    <fill>
      <patternFill patternType="solid">
        <fgColor theme="8"/>
        <bgColor indexed="64"/>
      </patternFill>
    </fill>
    <fill>
      <patternFill patternType="solid">
        <fgColor rgb="FFFF3300"/>
        <bgColor indexed="64"/>
      </patternFill>
    </fill>
    <fill>
      <patternFill patternType="solid">
        <fgColor theme="1" tint="0.499984740745262"/>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9" fontId="0" fillId="0" borderId="0" xfId="0" applyNumberFormat="1" applyAlignment="1">
      <alignment horizontal="center" vertical="center"/>
    </xf>
    <xf numFmtId="0" fontId="1" fillId="0" borderId="0" xfId="0" applyFont="1" applyAlignment="1">
      <alignment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9" fontId="2" fillId="6" borderId="0" xfId="0" applyNumberFormat="1" applyFont="1" applyFill="1" applyAlignment="1">
      <alignment horizontal="center" vertical="center"/>
    </xf>
    <xf numFmtId="9" fontId="2" fillId="5" borderId="0" xfId="0" applyNumberFormat="1" applyFont="1" applyFill="1" applyAlignment="1">
      <alignment horizontal="center" vertical="center"/>
    </xf>
    <xf numFmtId="164" fontId="2" fillId="3" borderId="0" xfId="0" applyNumberFormat="1" applyFont="1" applyFill="1" applyAlignment="1">
      <alignment horizontal="center" vertical="center"/>
    </xf>
    <xf numFmtId="9" fontId="2" fillId="4" borderId="0" xfId="0" applyNumberFormat="1" applyFont="1" applyFill="1" applyAlignment="1">
      <alignment horizontal="center" vertical="center"/>
    </xf>
    <xf numFmtId="9" fontId="0" fillId="0" borderId="0" xfId="0" applyNumberFormat="1"/>
    <xf numFmtId="0" fontId="1" fillId="2" borderId="0" xfId="0" applyFont="1" applyFill="1" applyAlignment="1">
      <alignment horizontal="center" vertical="center"/>
    </xf>
    <xf numFmtId="0" fontId="2" fillId="7" borderId="0" xfId="0" applyFont="1" applyFill="1" applyAlignment="1">
      <alignment horizontal="center" vertical="center"/>
    </xf>
    <xf numFmtId="165" fontId="2" fillId="7" borderId="0" xfId="0" applyNumberFormat="1" applyFont="1" applyFill="1" applyAlignment="1">
      <alignment horizontal="center" vertical="center"/>
    </xf>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[Precious_Amiekumo_Laboratory_Operations_Dashboard.xlsx]Pivot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Test Volume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Tables'!$C$9</c:f>
              <c:strCache>
                <c:ptCount val="1"/>
                <c:pt idx="0">
                  <c:v>Total</c:v>
                </c:pt>
              </c:strCache>
            </c:strRef>
          </c:tx>
          <c:spPr>
            <a:solidFill>
              <a:schemeClr val="accent1"/>
            </a:solidFill>
            <a:ln>
              <a:noFill/>
            </a:ln>
            <a:effectLst/>
          </c:spPr>
          <c:invertIfNegative val="0"/>
          <c:cat>
            <c:strRef>
              <c:f>'Pivot Tables'!$B$10:$B$19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Tables'!$C$10:$C$19</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430B-4609-B70C-08FD2D9C67CE}"/>
            </c:ext>
          </c:extLst>
        </c:ser>
        <c:dLbls>
          <c:showLegendKey val="0"/>
          <c:showVal val="0"/>
          <c:showCatName val="0"/>
          <c:showSerName val="0"/>
          <c:showPercent val="0"/>
          <c:showBubbleSize val="0"/>
        </c:dLbls>
        <c:gapWidth val="182"/>
        <c:axId val="374515432"/>
        <c:axId val="380083352"/>
      </c:barChart>
      <c:catAx>
        <c:axId val="374515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83352"/>
        <c:crosses val="autoZero"/>
        <c:auto val="1"/>
        <c:lblAlgn val="ctr"/>
        <c:lblOffset val="100"/>
        <c:noMultiLvlLbl val="0"/>
      </c:catAx>
      <c:valAx>
        <c:axId val="380083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515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[Precious_Amiekumo_Laboratory_Operations_Dashboard.xlsx]Pivot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Laboratory Test Outcome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FB-4A73-B922-4F481E007E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FB-4A73-B922-4F481E007E64}"/>
              </c:ext>
            </c:extLst>
          </c:dPt>
          <c:cat>
            <c:strRef>
              <c:f>'Pivot Tables'!$E$3:$E$5</c:f>
              <c:strCache>
                <c:ptCount val="2"/>
                <c:pt idx="0">
                  <c:v>Completed</c:v>
                </c:pt>
                <c:pt idx="1">
                  <c:v>Failed</c:v>
                </c:pt>
              </c:strCache>
            </c:strRef>
          </c:cat>
          <c:val>
            <c:numRef>
              <c:f>'Pivot Tables'!$F$3:$F$5</c:f>
              <c:numCache>
                <c:formatCode>General</c:formatCode>
                <c:ptCount val="2"/>
                <c:pt idx="0">
                  <c:v>1233</c:v>
                </c:pt>
                <c:pt idx="1">
                  <c:v>237</c:v>
                </c:pt>
              </c:numCache>
            </c:numRef>
          </c:val>
          <c:extLst>
            <c:ext xmlns:c16="http://schemas.microsoft.com/office/drawing/2014/chart" uri="{C3380CC4-5D6E-409C-BE32-E72D297353CC}">
              <c16:uniqueId val="{00000004-A6FB-4A73-B922-4F481E007E6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[Precious_Amiekumo_Laboratory_Operations_Dashboard.xlsx]Pivot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Workload Distribution Across Laboratory Sections</a:t>
            </a:r>
            <a:endParaRPr lang="en-US" sz="14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Tables'!$A$2:$A$5</c:f>
              <c:strCache>
                <c:ptCount val="3"/>
                <c:pt idx="0">
                  <c:v>Human Resources</c:v>
                </c:pt>
                <c:pt idx="1">
                  <c:v>Research &amp; Development</c:v>
                </c:pt>
                <c:pt idx="2">
                  <c:v>Sales</c:v>
                </c:pt>
              </c:strCache>
            </c:strRef>
          </c:cat>
          <c:val>
            <c:numRef>
              <c:f>'Pivot Tables'!$B$2:$B$5</c:f>
              <c:numCache>
                <c:formatCode>General</c:formatCode>
                <c:ptCount val="3"/>
                <c:pt idx="0">
                  <c:v>63</c:v>
                </c:pt>
                <c:pt idx="1">
                  <c:v>961</c:v>
                </c:pt>
                <c:pt idx="2">
                  <c:v>446</c:v>
                </c:pt>
              </c:numCache>
            </c:numRef>
          </c:val>
          <c:extLst>
            <c:ext xmlns:c16="http://schemas.microsoft.com/office/drawing/2014/chart" uri="{C3380CC4-5D6E-409C-BE32-E72D297353CC}">
              <c16:uniqueId val="{00000000-F53E-476A-A462-DAF6831842C7}"/>
            </c:ext>
          </c:extLst>
        </c:ser>
        <c:dLbls>
          <c:showLegendKey val="0"/>
          <c:showVal val="0"/>
          <c:showCatName val="0"/>
          <c:showSerName val="0"/>
          <c:showPercent val="0"/>
          <c:showBubbleSize val="0"/>
        </c:dLbls>
        <c:gapWidth val="219"/>
        <c:overlap val="-27"/>
        <c:axId val="378695944"/>
        <c:axId val="378693424"/>
      </c:barChart>
      <c:catAx>
        <c:axId val="378695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693424"/>
        <c:crosses val="autoZero"/>
        <c:auto val="1"/>
        <c:lblAlgn val="ctr"/>
        <c:lblOffset val="100"/>
        <c:noMultiLvlLbl val="0"/>
      </c:catAx>
      <c:valAx>
        <c:axId val="378693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695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[Precious_Amiekumo_Laboratory_Operations_Dashboard.xlsx]Pivot Tables!PivotTable4</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baseline="0"/>
              <a:t>Test Approval Rate</a:t>
            </a:r>
            <a:endParaRPr lang="en-US"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doughnutChart>
        <c:varyColors val="1"/>
        <c:ser>
          <c:idx val="0"/>
          <c:order val="0"/>
          <c:tx>
            <c:strRef>
              <c:f>'Pivot Tables'!$F$11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D8-4C3B-803F-C00A1CDC4CD2}"/>
              </c:ext>
            </c:extLst>
          </c:dPt>
          <c:cat>
            <c:strRef>
              <c:f>'Pivot Tables'!$E$12:$E$13</c:f>
              <c:strCache>
                <c:ptCount val="1"/>
                <c:pt idx="0">
                  <c:v>Approved</c:v>
                </c:pt>
              </c:strCache>
            </c:strRef>
          </c:cat>
          <c:val>
            <c:numRef>
              <c:f>'Pivot Tables'!$F$12:$F$13</c:f>
              <c:numCache>
                <c:formatCode>General</c:formatCode>
                <c:ptCount val="1"/>
                <c:pt idx="0">
                  <c:v>1470</c:v>
                </c:pt>
              </c:numCache>
            </c:numRef>
          </c:val>
          <c:extLst>
            <c:ext xmlns:c16="http://schemas.microsoft.com/office/drawing/2014/chart" uri="{C3380CC4-5D6E-409C-BE32-E72D297353CC}">
              <c16:uniqueId val="{00000002-9DD8-4C3B-803F-C00A1CDC4CD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[Precious_Amiekumo_Laboratory_Operations_Dashboard.xlsx]Pivot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Tests by Laboratory Section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Tables'!$A$2:$A$5</c:f>
              <c:strCache>
                <c:ptCount val="3"/>
                <c:pt idx="0">
                  <c:v>Human Resources</c:v>
                </c:pt>
                <c:pt idx="1">
                  <c:v>Research &amp; Development</c:v>
                </c:pt>
                <c:pt idx="2">
                  <c:v>Sales</c:v>
                </c:pt>
              </c:strCache>
            </c:strRef>
          </c:cat>
          <c:val>
            <c:numRef>
              <c:f>'Pivot Tables'!$B$2:$B$5</c:f>
              <c:numCache>
                <c:formatCode>General</c:formatCode>
                <c:ptCount val="3"/>
                <c:pt idx="0">
                  <c:v>63</c:v>
                </c:pt>
                <c:pt idx="1">
                  <c:v>961</c:v>
                </c:pt>
                <c:pt idx="2">
                  <c:v>446</c:v>
                </c:pt>
              </c:numCache>
            </c:numRef>
          </c:val>
          <c:extLst>
            <c:ext xmlns:c16="http://schemas.microsoft.com/office/drawing/2014/chart" uri="{C3380CC4-5D6E-409C-BE32-E72D297353CC}">
              <c16:uniqueId val="{00000000-751C-4802-97B4-BDCC75E62563}"/>
            </c:ext>
          </c:extLst>
        </c:ser>
        <c:dLbls>
          <c:showLegendKey val="0"/>
          <c:showVal val="0"/>
          <c:showCatName val="0"/>
          <c:showSerName val="0"/>
          <c:showPercent val="0"/>
          <c:showBubbleSize val="0"/>
        </c:dLbls>
        <c:gapWidth val="219"/>
        <c:overlap val="-27"/>
        <c:axId val="378695944"/>
        <c:axId val="378693424"/>
      </c:barChart>
      <c:catAx>
        <c:axId val="378695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693424"/>
        <c:crosses val="autoZero"/>
        <c:auto val="1"/>
        <c:lblAlgn val="ctr"/>
        <c:lblOffset val="100"/>
        <c:noMultiLvlLbl val="0"/>
      </c:catAx>
      <c:valAx>
        <c:axId val="37869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695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[Precious_Amiekumo_Laboratory_Operations_Dashboard.xlsx]Pivot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Test Result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Tables'!$F$2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A6-4499-82A3-6BCFFEE1ED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A6-4499-82A3-6BCFFEE1EDB9}"/>
              </c:ext>
            </c:extLst>
          </c:dPt>
          <c:cat>
            <c:strRef>
              <c:f>'Pivot Tables'!$E$3:$E$5</c:f>
              <c:strCache>
                <c:ptCount val="2"/>
                <c:pt idx="0">
                  <c:v>Completed</c:v>
                </c:pt>
                <c:pt idx="1">
                  <c:v>Failed</c:v>
                </c:pt>
              </c:strCache>
            </c:strRef>
          </c:cat>
          <c:val>
            <c:numRef>
              <c:f>'Pivot Tables'!$F$3:$F$5</c:f>
              <c:numCache>
                <c:formatCode>General</c:formatCode>
                <c:ptCount val="2"/>
                <c:pt idx="0">
                  <c:v>1233</c:v>
                </c:pt>
                <c:pt idx="1">
                  <c:v>237</c:v>
                </c:pt>
              </c:numCache>
            </c:numRef>
          </c:val>
          <c:extLst>
            <c:ext xmlns:c16="http://schemas.microsoft.com/office/drawing/2014/chart" uri="{C3380CC4-5D6E-409C-BE32-E72D297353CC}">
              <c16:uniqueId val="{00000000-534D-4863-9C6A-5BA8F746BCD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[Precious_Amiekumo_Laboratory_Operations_Dashboard.xlsx]Pivot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Tests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Tables'!$C$9</c:f>
              <c:strCache>
                <c:ptCount val="1"/>
                <c:pt idx="0">
                  <c:v>Total</c:v>
                </c:pt>
              </c:strCache>
            </c:strRef>
          </c:tx>
          <c:spPr>
            <a:solidFill>
              <a:schemeClr val="accent1"/>
            </a:solidFill>
            <a:ln>
              <a:noFill/>
            </a:ln>
            <a:effectLst/>
          </c:spPr>
          <c:invertIfNegative val="0"/>
          <c:cat>
            <c:strRef>
              <c:f>'Pivot Tables'!$B$10:$B$19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Tables'!$C$10:$C$19</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D258-467A-960F-1863A7760831}"/>
            </c:ext>
          </c:extLst>
        </c:ser>
        <c:dLbls>
          <c:showLegendKey val="0"/>
          <c:showVal val="0"/>
          <c:showCatName val="0"/>
          <c:showSerName val="0"/>
          <c:showPercent val="0"/>
          <c:showBubbleSize val="0"/>
        </c:dLbls>
        <c:gapWidth val="182"/>
        <c:axId val="374515432"/>
        <c:axId val="380083352"/>
      </c:barChart>
      <c:catAx>
        <c:axId val="374515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083352"/>
        <c:crosses val="autoZero"/>
        <c:auto val="1"/>
        <c:lblAlgn val="ctr"/>
        <c:lblOffset val="100"/>
        <c:noMultiLvlLbl val="0"/>
      </c:catAx>
      <c:valAx>
        <c:axId val="380083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515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[Precious_Amiekumo_Laboratory_Operations_Dashboard.xlsx]Pivot Tables!PivotTable4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Lab Status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'Pivot Tables'!$F$11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44-410B-A9E7-A62824073349}"/>
              </c:ext>
            </c:extLst>
          </c:dPt>
          <c:cat>
            <c:strRef>
              <c:f>'Pivot Tables'!$E$12:$E$13</c:f>
              <c:strCache>
                <c:ptCount val="1"/>
                <c:pt idx="0">
                  <c:v>Approved</c:v>
                </c:pt>
              </c:strCache>
            </c:strRef>
          </c:cat>
          <c:val>
            <c:numRef>
              <c:f>'Pivot Tables'!$F$12:$F$13</c:f>
              <c:numCache>
                <c:formatCode>General</c:formatCode>
                <c:ptCount val="1"/>
                <c:pt idx="0">
                  <c:v>1470</c:v>
                </c:pt>
              </c:numCache>
            </c:numRef>
          </c:val>
          <c:extLst>
            <c:ext xmlns:c16="http://schemas.microsoft.com/office/drawing/2014/chart" uri="{C3380CC4-5D6E-409C-BE32-E72D297353CC}">
              <c16:uniqueId val="{00000000-D677-44B7-857D-C895158A987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113393</xdr:colOff>
      <xdr:row>4</xdr:row>
      <xdr:rowOff>22679</xdr:rowOff>
    </xdr:from>
    <xdr:to>
      <xdr:col>4</xdr:col>
      <xdr:colOff>257023</xdr:colOff>
      <xdr:row>19</xdr:row>
      <xdr:rowOff>22679</xdr:rowOff>
    </xdr:to>
    <xdr:graphicFrame macro="">
      <xdr:nvGraphicFramePr>
        <xdr:cNvPr id="2" name="Chart 1">
          <a:extLst>
            <a:ext uri="{FF2B5EF4-FFF2-40B4-BE49-F238E27FC236}">
              <a16:creationId xmlns:a16="http://schemas.microsoft.com/office/drawing/2014/main" id="{6AAC199D-E6CF-46FC-83B8-1F610C85A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105833</xdr:colOff>
      <xdr:row>19</xdr:row>
      <xdr:rowOff>36588</xdr:rowOff>
    </xdr:from>
    <xdr:to>
      <xdr:col>3</xdr:col>
      <xdr:colOff>778631</xdr:colOff>
      <xdr:row>35</xdr:row>
      <xdr:rowOff>36588</xdr:rowOff>
    </xdr:to>
    <xdr:graphicFrame macro="">
      <xdr:nvGraphicFramePr>
        <xdr:cNvPr id="3" name="Chart 2">
          <a:extLst>
            <a:ext uri="{FF2B5EF4-FFF2-40B4-BE49-F238E27FC236}">
              <a16:creationId xmlns:a16="http://schemas.microsoft.com/office/drawing/2014/main" id="{9EDD7B31-6E61-4D92-989F-E9D848F25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805241</xdr:colOff>
      <xdr:row>19</xdr:row>
      <xdr:rowOff>35379</xdr:rowOff>
    </xdr:from>
    <xdr:to>
      <xdr:col>6</xdr:col>
      <xdr:colOff>15119</xdr:colOff>
      <xdr:row>35</xdr:row>
      <xdr:rowOff>22679</xdr:rowOff>
    </xdr:to>
    <xdr:graphicFrame macro="">
      <xdr:nvGraphicFramePr>
        <xdr:cNvPr id="4" name="Chart 3">
          <a:extLst>
            <a:ext uri="{FF2B5EF4-FFF2-40B4-BE49-F238E27FC236}">
              <a16:creationId xmlns:a16="http://schemas.microsoft.com/office/drawing/2014/main" id="{50752E01-7B33-4248-84B0-891DBA294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288773</xdr:colOff>
      <xdr:row>4</xdr:row>
      <xdr:rowOff>11490</xdr:rowOff>
    </xdr:from>
    <xdr:to>
      <xdr:col>6</xdr:col>
      <xdr:colOff>7561</xdr:colOff>
      <xdr:row>19</xdr:row>
      <xdr:rowOff>22678</xdr:rowOff>
    </xdr:to>
    <xdr:graphicFrame macro="">
      <xdr:nvGraphicFramePr>
        <xdr:cNvPr id="5" name="Chart 4">
          <a:extLst>
            <a:ext uri="{FF2B5EF4-FFF2-40B4-BE49-F238E27FC236}">
              <a16:creationId xmlns:a16="http://schemas.microsoft.com/office/drawing/2014/main" id="{B6DA9E5D-3D6E-4248-8B23-F46675102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22680</xdr:rowOff>
    </xdr:from>
    <xdr:to>
      <xdr:col>1</xdr:col>
      <xdr:colOff>105833</xdr:colOff>
      <xdr:row>9</xdr:row>
      <xdr:rowOff>0</xdr:rowOff>
    </xdr:to>
    <mc:AlternateContent xmlns:mc="http://schemas.openxmlformats.org/markup-compatibility/2006" xmlns:a14="http://schemas.microsoft.com/office/drawing/2010/main">
      <mc:Choice Requires="a14">
        <xdr:graphicFrame macro="">
          <xdr:nvGraphicFramePr>
            <xdr:cNvPr id="6" name="Lab_Status 1">
              <a:extLst>
                <a:ext uri="{FF2B5EF4-FFF2-40B4-BE49-F238E27FC236}">
                  <a16:creationId xmlns:a16="http://schemas.microsoft.com/office/drawing/2014/main" id="{59D00E15-01A2-418B-A142-0BD3A9F56094}"/>
                </a:ext>
              </a:extLst>
            </xdr:cNvPr>
            <xdr:cNvGraphicFramePr/>
          </xdr:nvGraphicFramePr>
          <xdr:xfrm>
            <a:off x="0" y="0"/>
            <a:ext cx="0" cy="0"/>
          </xdr:xfrm>
          <a:graphic>
            <a:graphicData uri="http://schemas.microsoft.com/office/drawing/2010/slicer">
              <sle:slicer xmlns:sle="http://schemas.microsoft.com/office/drawing/2010/slicer" name="Lab_Status 1"/>
            </a:graphicData>
          </a:graphic>
        </xdr:graphicFrame>
      </mc:Choice>
      <mc:Fallback xmlns="">
        <xdr:sp macro="" textlink="">
          <xdr:nvSpPr>
            <xdr:cNvPr id="0" name=""/>
            <xdr:cNvSpPr>
              <a:spLocks noTextEdit="1"/>
            </xdr:cNvSpPr>
          </xdr:nvSpPr>
          <xdr:spPr>
            <a:xfrm>
              <a:off x="0" y="975180"/>
              <a:ext cx="1814286" cy="8844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15119</xdr:rowOff>
    </xdr:from>
    <xdr:to>
      <xdr:col>1</xdr:col>
      <xdr:colOff>97669</xdr:colOff>
      <xdr:row>16</xdr:row>
      <xdr:rowOff>22678</xdr:rowOff>
    </xdr:to>
    <mc:AlternateContent xmlns:mc="http://schemas.openxmlformats.org/markup-compatibility/2006" xmlns:a14="http://schemas.microsoft.com/office/drawing/2010/main">
      <mc:Choice Requires="a14">
        <xdr:graphicFrame macro="">
          <xdr:nvGraphicFramePr>
            <xdr:cNvPr id="7" name="Department 1">
              <a:extLst>
                <a:ext uri="{FF2B5EF4-FFF2-40B4-BE49-F238E27FC236}">
                  <a16:creationId xmlns:a16="http://schemas.microsoft.com/office/drawing/2014/main" id="{42354AF3-7940-48AE-9D84-3C027AF7923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0" y="1874762"/>
              <a:ext cx="1828800" cy="1277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22678</xdr:rowOff>
    </xdr:from>
    <xdr:to>
      <xdr:col>1</xdr:col>
      <xdr:colOff>97669</xdr:colOff>
      <xdr:row>35</xdr:row>
      <xdr:rowOff>30238</xdr:rowOff>
    </xdr:to>
    <mc:AlternateContent xmlns:mc="http://schemas.openxmlformats.org/markup-compatibility/2006" xmlns:a14="http://schemas.microsoft.com/office/drawing/2010/main">
      <mc:Choice Requires="a14">
        <xdr:graphicFrame macro="">
          <xdr:nvGraphicFramePr>
            <xdr:cNvPr id="8" name="Test_Category 1">
              <a:extLst>
                <a:ext uri="{FF2B5EF4-FFF2-40B4-BE49-F238E27FC236}">
                  <a16:creationId xmlns:a16="http://schemas.microsoft.com/office/drawing/2014/main" id="{8F4F4A87-5571-4901-AC74-CD65772ED8AE}"/>
                </a:ext>
              </a:extLst>
            </xdr:cNvPr>
            <xdr:cNvGraphicFramePr/>
          </xdr:nvGraphicFramePr>
          <xdr:xfrm>
            <a:off x="0" y="0"/>
            <a:ext cx="0" cy="0"/>
          </xdr:xfrm>
          <a:graphic>
            <a:graphicData uri="http://schemas.microsoft.com/office/drawing/2010/slicer">
              <sle:slicer xmlns:sle="http://schemas.microsoft.com/office/drawing/2010/slicer" name="Test_Category 1"/>
            </a:graphicData>
          </a:graphic>
        </xdr:graphicFrame>
      </mc:Choice>
      <mc:Fallback xmlns="">
        <xdr:sp macro="" textlink="">
          <xdr:nvSpPr>
            <xdr:cNvPr id="0" name=""/>
            <xdr:cNvSpPr>
              <a:spLocks noTextEdit="1"/>
            </xdr:cNvSpPr>
          </xdr:nvSpPr>
          <xdr:spPr>
            <a:xfrm>
              <a:off x="0" y="3152321"/>
              <a:ext cx="1828800" cy="34547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35</xdr:row>
      <xdr:rowOff>45358</xdr:rowOff>
    </xdr:from>
    <xdr:to>
      <xdr:col>6</xdr:col>
      <xdr:colOff>15119</xdr:colOff>
      <xdr:row>44</xdr:row>
      <xdr:rowOff>151191</xdr:rowOff>
    </xdr:to>
    <xdr:sp macro="" textlink="">
      <xdr:nvSpPr>
        <xdr:cNvPr id="9" name="TextBox 8">
          <a:extLst>
            <a:ext uri="{FF2B5EF4-FFF2-40B4-BE49-F238E27FC236}">
              <a16:creationId xmlns:a16="http://schemas.microsoft.com/office/drawing/2014/main" id="{DD2B12EA-96A6-8F39-45C7-A008CDA4F94B}"/>
            </a:ext>
          </a:extLst>
        </xdr:cNvPr>
        <xdr:cNvSpPr txBox="1"/>
      </xdr:nvSpPr>
      <xdr:spPr>
        <a:xfrm>
          <a:off x="0" y="6622144"/>
          <a:ext cx="9063869" cy="1738690"/>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Key Insights</a:t>
          </a:r>
        </a:p>
        <a:p>
          <a:endParaRPr lang="en-US"/>
        </a:p>
        <a:p>
          <a:pPr marL="285750" indent="-285750" algn="l">
            <a:buFont typeface="Wingdings" panose="05000000000000000000" pitchFamily="2" charset="2"/>
            <a:buChar char="§"/>
          </a:pPr>
          <a:r>
            <a:rPr lang="en-US" sz="1400"/>
            <a:t>The laboratory processed a total of </a:t>
          </a:r>
          <a:r>
            <a:rPr lang="en-US" sz="1400" b="1"/>
            <a:t>1,470 samples</a:t>
          </a:r>
          <a:r>
            <a:rPr lang="en-US" sz="1400"/>
            <a:t>, achieving a strong </a:t>
          </a:r>
          <a:r>
            <a:rPr lang="en-US" sz="1400" b="1"/>
            <a:t>84% completion rate</a:t>
          </a:r>
          <a:endParaRPr lang="en-US" sz="1400"/>
        </a:p>
        <a:p>
          <a:pPr marL="285750" indent="-285750" algn="l">
            <a:buFont typeface="Wingdings" panose="05000000000000000000" pitchFamily="2" charset="2"/>
            <a:buChar char="§"/>
          </a:pPr>
          <a:r>
            <a:rPr lang="en-US" sz="1400"/>
            <a:t>Only </a:t>
          </a:r>
          <a:r>
            <a:rPr lang="en-US" sz="1400" b="1"/>
            <a:t>16% of tests failed</a:t>
          </a:r>
          <a:r>
            <a:rPr lang="en-US" sz="1400"/>
            <a:t>, indicating effective laboratory processes</a:t>
          </a:r>
        </a:p>
        <a:p>
          <a:pPr marL="285750" indent="-285750" algn="l">
            <a:buFont typeface="Wingdings" panose="05000000000000000000" pitchFamily="2" charset="2"/>
            <a:buChar char="§"/>
          </a:pPr>
          <a:r>
            <a:rPr lang="en-US" sz="1400"/>
            <a:t>The laboratory maintains an average processing time of </a:t>
          </a:r>
          <a:r>
            <a:rPr lang="en-US" sz="1400" b="1"/>
            <a:t>7 days</a:t>
          </a:r>
          <a:r>
            <a:rPr lang="en-US" sz="1400"/>
            <a:t>, showing efficient turnaround</a:t>
          </a:r>
        </a:p>
        <a:p>
          <a:pPr marL="285750" indent="-285750" algn="l">
            <a:buFont typeface="Wingdings" panose="05000000000000000000" pitchFamily="2" charset="2"/>
            <a:buChar char="§"/>
          </a:pPr>
          <a:r>
            <a:rPr lang="en-US" sz="1400"/>
            <a:t>Research &amp; Development handled the highest workload</a:t>
          </a:r>
        </a:p>
        <a:p>
          <a:pPr marL="285750" indent="-285750" algn="l">
            <a:buFont typeface="Wingdings" panose="05000000000000000000" pitchFamily="2" charset="2"/>
            <a:buChar char="§"/>
          </a:pPr>
          <a:r>
            <a:rPr lang="en-US" sz="1400"/>
            <a:t>Overall laboratory performance reflects strong operational efficiency  		</a:t>
          </a:r>
          <a:r>
            <a:rPr lang="en-US" sz="1400" b="1" baseline="0">
              <a:solidFill>
                <a:schemeClr val="accent1"/>
              </a:solidFill>
            </a:rPr>
            <a:t>         	                </a:t>
          </a:r>
          <a:r>
            <a:rPr lang="en-US" sz="1200" b="1">
              <a:solidFill>
                <a:schemeClr val="accent1"/>
              </a:solidFill>
            </a:rPr>
            <a:t>Prepared by: Precious Amiekumo</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812800</xdr:colOff>
      <xdr:row>9</xdr:row>
      <xdr:rowOff>44450</xdr:rowOff>
    </xdr:from>
    <xdr:to>
      <xdr:col>11</xdr:col>
      <xdr:colOff>241300</xdr:colOff>
      <xdr:row>24</xdr:row>
      <xdr:rowOff>25400</xdr:rowOff>
    </xdr:to>
    <xdr:graphicFrame macro="">
      <xdr:nvGraphicFramePr>
        <xdr:cNvPr id="2" name="Chart 1">
          <a:extLst>
            <a:ext uri="{FF2B5EF4-FFF2-40B4-BE49-F238E27FC236}">
              <a16:creationId xmlns:a16="http://schemas.microsoft.com/office/drawing/2014/main" id="{9EE68D51-023C-19E5-94B0-9678031CFE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1441450</xdr:colOff>
      <xdr:row>16</xdr:row>
      <xdr:rowOff>25400</xdr:rowOff>
    </xdr:from>
    <xdr:to>
      <xdr:col>5</xdr:col>
      <xdr:colOff>158750</xdr:colOff>
      <xdr:row>31</xdr:row>
      <xdr:rowOff>6350</xdr:rowOff>
    </xdr:to>
    <xdr:graphicFrame macro="">
      <xdr:nvGraphicFramePr>
        <xdr:cNvPr id="3" name="Chart 2">
          <a:extLst>
            <a:ext uri="{FF2B5EF4-FFF2-40B4-BE49-F238E27FC236}">
              <a16:creationId xmlns:a16="http://schemas.microsoft.com/office/drawing/2014/main" id="{7F46511C-EF58-BEAF-696D-C519236A3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xdr:row>
      <xdr:rowOff>76200</xdr:rowOff>
    </xdr:from>
    <xdr:to>
      <xdr:col>2</xdr:col>
      <xdr:colOff>1168400</xdr:colOff>
      <xdr:row>15</xdr:row>
      <xdr:rowOff>12700</xdr:rowOff>
    </xdr:to>
    <xdr:graphicFrame macro="">
      <xdr:nvGraphicFramePr>
        <xdr:cNvPr id="4" name="Chart 3">
          <a:extLst>
            <a:ext uri="{FF2B5EF4-FFF2-40B4-BE49-F238E27FC236}">
              <a16:creationId xmlns:a16="http://schemas.microsoft.com/office/drawing/2014/main" id="{86AB1F8E-36CE-D37E-347C-8ABD35BD3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1212850</xdr:colOff>
      <xdr:row>5</xdr:row>
      <xdr:rowOff>19050</xdr:rowOff>
    </xdr:from>
    <xdr:to>
      <xdr:col>4</xdr:col>
      <xdr:colOff>793750</xdr:colOff>
      <xdr:row>20</xdr:row>
      <xdr:rowOff>0</xdr:rowOff>
    </xdr:to>
    <xdr:graphicFrame macro="">
      <xdr:nvGraphicFramePr>
        <xdr:cNvPr id="5" name="Chart 4">
          <a:extLst>
            <a:ext uri="{FF2B5EF4-FFF2-40B4-BE49-F238E27FC236}">
              <a16:creationId xmlns:a16="http://schemas.microsoft.com/office/drawing/2014/main" id="{2353BCF3-AE1C-7294-9E4F-D879B48A8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1104900</xdr:colOff>
      <xdr:row>3</xdr:row>
      <xdr:rowOff>31750</xdr:rowOff>
    </xdr:from>
    <xdr:to>
      <xdr:col>3</xdr:col>
      <xdr:colOff>95250</xdr:colOff>
      <xdr:row>16</xdr:row>
      <xdr:rowOff>161925</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906854B2-87B2-29B7-7893-C1B828D0AD6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647950" y="584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317500</xdr:colOff>
      <xdr:row>4</xdr:row>
      <xdr:rowOff>165100</xdr:rowOff>
    </xdr:from>
    <xdr:to>
      <xdr:col>5</xdr:col>
      <xdr:colOff>673100</xdr:colOff>
      <xdr:row>18</xdr:row>
      <xdr:rowOff>111125</xdr:rowOff>
    </xdr:to>
    <mc:AlternateContent xmlns:mc="http://schemas.openxmlformats.org/markup-compatibility/2006" xmlns:a14="http://schemas.microsoft.com/office/drawing/2010/main">
      <mc:Choice Requires="a14">
        <xdr:graphicFrame macro="">
          <xdr:nvGraphicFramePr>
            <xdr:cNvPr id="7" name="Test_Category">
              <a:extLst>
                <a:ext uri="{FF2B5EF4-FFF2-40B4-BE49-F238E27FC236}">
                  <a16:creationId xmlns:a16="http://schemas.microsoft.com/office/drawing/2014/main" id="{474A11D6-DF08-6FE1-9F1E-8344CC91C2A1}"/>
                </a:ext>
              </a:extLst>
            </xdr:cNvPr>
            <xdr:cNvGraphicFramePr/>
          </xdr:nvGraphicFramePr>
          <xdr:xfrm>
            <a:off x="0" y="0"/>
            <a:ext cx="0" cy="0"/>
          </xdr:xfrm>
          <a:graphic>
            <a:graphicData uri="http://schemas.microsoft.com/office/drawing/2010/slicer">
              <sle:slicer xmlns:sle="http://schemas.microsoft.com/office/drawing/2010/slicer" name="Test_Category"/>
            </a:graphicData>
          </a:graphic>
        </xdr:graphicFrame>
      </mc:Choice>
      <mc:Fallback xmlns="">
        <xdr:sp macro="" textlink="">
          <xdr:nvSpPr>
            <xdr:cNvPr id="0" name=""/>
            <xdr:cNvSpPr>
              <a:spLocks noTextEdit="1"/>
            </xdr:cNvSpPr>
          </xdr:nvSpPr>
          <xdr:spPr>
            <a:xfrm>
              <a:off x="4699000" y="9017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107950</xdr:colOff>
      <xdr:row>1</xdr:row>
      <xdr:rowOff>69850</xdr:rowOff>
    </xdr:from>
    <xdr:to>
      <xdr:col>9</xdr:col>
      <xdr:colOff>107950</xdr:colOff>
      <xdr:row>15</xdr:row>
      <xdr:rowOff>15875</xdr:rowOff>
    </xdr:to>
    <mc:AlternateContent xmlns:mc="http://schemas.openxmlformats.org/markup-compatibility/2006" xmlns:a14="http://schemas.microsoft.com/office/drawing/2010/main">
      <mc:Choice Requires="a14">
        <xdr:graphicFrame macro="">
          <xdr:nvGraphicFramePr>
            <xdr:cNvPr id="8" name="Lab_Status">
              <a:extLst>
                <a:ext uri="{FF2B5EF4-FFF2-40B4-BE49-F238E27FC236}">
                  <a16:creationId xmlns:a16="http://schemas.microsoft.com/office/drawing/2014/main" id="{A773A5B8-D563-3CD0-0C83-164C367A6721}"/>
                </a:ext>
              </a:extLst>
            </xdr:cNvPr>
            <xdr:cNvGraphicFramePr/>
          </xdr:nvGraphicFramePr>
          <xdr:xfrm>
            <a:off x="0" y="0"/>
            <a:ext cx="0" cy="0"/>
          </xdr:xfrm>
          <a:graphic>
            <a:graphicData uri="http://schemas.microsoft.com/office/drawing/2010/slicer">
              <sle:slicer xmlns:sle="http://schemas.microsoft.com/office/drawing/2010/slicer" name="Lab_Status"/>
            </a:graphicData>
          </a:graphic>
        </xdr:graphicFrame>
      </mc:Choice>
      <mc:Fallback xmlns="">
        <xdr:sp macro="" textlink="">
          <xdr:nvSpPr>
            <xdr:cNvPr id="0" name=""/>
            <xdr:cNvSpPr>
              <a:spLocks noTextEdit="1"/>
            </xdr:cNvSpPr>
          </xdr:nvSpPr>
          <xdr:spPr>
            <a:xfrm>
              <a:off x="7194550" y="254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2.014132638891" createdVersion="8" refreshedVersion="8" minRefreshableVersion="3" recordCount="1470" xr:uid="{C2C2EF46-8475-49C4-9121-226FE796FE7C}">
  <cacheSource type="worksheet">
    <worksheetSource name="Lab_Data"/>
  </cacheSource>
  <cacheFields count="41">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Sample_ID" numFmtId="0">
      <sharedItems/>
    </cacheField>
    <cacheField name="Test_Category" numFmtId="0">
      <sharedItems count="9">
        <s v="Sales Executive"/>
        <s v="Research Scientist"/>
        <s v="Laboratory Technician"/>
        <s v="Manufacturing Director"/>
        <s v="Healthcare Representative"/>
        <s v="Manager"/>
        <s v="Sales Representative"/>
        <s v="Research Director"/>
        <s v="Human Resources"/>
      </sharedItems>
    </cacheField>
    <cacheField name="Laboratory_Section" numFmtId="0">
      <sharedItems count="3">
        <s v="Sales"/>
        <s v="Research &amp; Development"/>
        <s v="Human Resources"/>
      </sharedItems>
    </cacheField>
    <cacheField name="Test_Result" numFmtId="0">
      <sharedItems count="2">
        <s v="Failed"/>
        <s v="Completed"/>
      </sharedItems>
    </cacheField>
    <cacheField name="Test_Duration_Days" numFmtId="0">
      <sharedItems containsSemiMixedTypes="0" containsString="0" containsNumber="1" containsInteger="1" minValue="0" maxValue="40"/>
    </cacheField>
    <cacheField name="Lab_Status" numFmtId="0">
      <sharedItems count="1">
        <s v="Approved"/>
      </sharedItems>
    </cacheField>
  </cacheFields>
  <extLst>
    <ext xmlns:x14="http://schemas.microsoft.com/office/spreadsheetml/2009/9/main" uri="{725AE2AE-9491-48be-B2B4-4EB974FC3084}">
      <x14:pivotCacheDefinition pivotCacheId="19831895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s v="Travel_Rarely"/>
    <n v="1102"/>
    <x v="0"/>
    <n v="1"/>
    <n v="2"/>
    <s v="Life Sciences"/>
    <n v="1"/>
    <n v="1"/>
    <n v="2"/>
    <s v="Female"/>
    <n v="94"/>
    <n v="3"/>
    <n v="2"/>
    <s v="Sales Executive"/>
    <n v="4"/>
    <s v="Single"/>
    <n v="5993"/>
    <n v="19479"/>
    <n v="8"/>
    <s v="Y"/>
    <s v="Yes"/>
    <n v="11"/>
    <n v="3"/>
    <n v="1"/>
    <n v="80"/>
    <n v="0"/>
    <n v="8"/>
    <n v="0"/>
    <n v="1"/>
    <n v="6"/>
    <n v="4"/>
    <n v="0"/>
    <n v="5"/>
    <s v="LAB-1"/>
    <x v="0"/>
    <x v="0"/>
    <x v="0"/>
    <n v="6"/>
    <x v="0"/>
  </r>
  <r>
    <n v="49"/>
    <s v="No"/>
    <s v="Travel_Frequently"/>
    <n v="279"/>
    <x v="1"/>
    <n v="8"/>
    <n v="1"/>
    <s v="Life Sciences"/>
    <n v="1"/>
    <n v="2"/>
    <n v="3"/>
    <s v="Male"/>
    <n v="61"/>
    <n v="2"/>
    <n v="2"/>
    <s v="Research Scientist"/>
    <n v="2"/>
    <s v="Married"/>
    <n v="5130"/>
    <n v="24907"/>
    <n v="1"/>
    <s v="Y"/>
    <s v="No"/>
    <n v="23"/>
    <n v="4"/>
    <n v="4"/>
    <n v="80"/>
    <n v="1"/>
    <n v="10"/>
    <n v="3"/>
    <n v="3"/>
    <n v="10"/>
    <n v="7"/>
    <n v="1"/>
    <n v="7"/>
    <s v="LAB-2"/>
    <x v="1"/>
    <x v="1"/>
    <x v="1"/>
    <n v="10"/>
    <x v="0"/>
  </r>
  <r>
    <n v="37"/>
    <s v="Yes"/>
    <s v="Travel_Rarely"/>
    <n v="1373"/>
    <x v="1"/>
    <n v="2"/>
    <n v="2"/>
    <s v="Other"/>
    <n v="1"/>
    <n v="4"/>
    <n v="4"/>
    <s v="Male"/>
    <n v="92"/>
    <n v="2"/>
    <n v="1"/>
    <s v="Laboratory Technician"/>
    <n v="3"/>
    <s v="Single"/>
    <n v="2090"/>
    <n v="2396"/>
    <n v="6"/>
    <s v="Y"/>
    <s v="Yes"/>
    <n v="15"/>
    <n v="3"/>
    <n v="2"/>
    <n v="80"/>
    <n v="0"/>
    <n v="7"/>
    <n v="3"/>
    <n v="3"/>
    <n v="0"/>
    <n v="0"/>
    <n v="0"/>
    <n v="0"/>
    <s v="LAB-4"/>
    <x v="2"/>
    <x v="1"/>
    <x v="0"/>
    <n v="0"/>
    <x v="0"/>
  </r>
  <r>
    <n v="33"/>
    <s v="No"/>
    <s v="Travel_Frequently"/>
    <n v="1392"/>
    <x v="1"/>
    <n v="3"/>
    <n v="4"/>
    <s v="Life Sciences"/>
    <n v="1"/>
    <n v="5"/>
    <n v="4"/>
    <s v="Female"/>
    <n v="56"/>
    <n v="3"/>
    <n v="1"/>
    <s v="Research Scientist"/>
    <n v="3"/>
    <s v="Married"/>
    <n v="2909"/>
    <n v="23159"/>
    <n v="1"/>
    <s v="Y"/>
    <s v="Yes"/>
    <n v="11"/>
    <n v="3"/>
    <n v="3"/>
    <n v="80"/>
    <n v="0"/>
    <n v="8"/>
    <n v="3"/>
    <n v="3"/>
    <n v="8"/>
    <n v="7"/>
    <n v="3"/>
    <n v="0"/>
    <s v="LAB-5"/>
    <x v="1"/>
    <x v="1"/>
    <x v="1"/>
    <n v="8"/>
    <x v="0"/>
  </r>
  <r>
    <n v="27"/>
    <s v="No"/>
    <s v="Travel_Rarely"/>
    <n v="591"/>
    <x v="1"/>
    <n v="2"/>
    <n v="1"/>
    <s v="Medical"/>
    <n v="1"/>
    <n v="7"/>
    <n v="1"/>
    <s v="Male"/>
    <n v="40"/>
    <n v="3"/>
    <n v="1"/>
    <s v="Laboratory Technician"/>
    <n v="2"/>
    <s v="Married"/>
    <n v="3468"/>
    <n v="16632"/>
    <n v="9"/>
    <s v="Y"/>
    <s v="No"/>
    <n v="12"/>
    <n v="3"/>
    <n v="4"/>
    <n v="80"/>
    <n v="1"/>
    <n v="6"/>
    <n v="3"/>
    <n v="3"/>
    <n v="2"/>
    <n v="2"/>
    <n v="2"/>
    <n v="2"/>
    <s v="LAB-7"/>
    <x v="2"/>
    <x v="1"/>
    <x v="1"/>
    <n v="2"/>
    <x v="0"/>
  </r>
  <r>
    <n v="32"/>
    <s v="No"/>
    <s v="Travel_Frequently"/>
    <n v="1005"/>
    <x v="1"/>
    <n v="2"/>
    <n v="2"/>
    <s v="Life Sciences"/>
    <n v="1"/>
    <n v="8"/>
    <n v="4"/>
    <s v="Male"/>
    <n v="79"/>
    <n v="3"/>
    <n v="1"/>
    <s v="Laboratory Technician"/>
    <n v="4"/>
    <s v="Single"/>
    <n v="3068"/>
    <n v="11864"/>
    <n v="0"/>
    <s v="Y"/>
    <s v="No"/>
    <n v="13"/>
    <n v="3"/>
    <n v="3"/>
    <n v="80"/>
    <n v="0"/>
    <n v="8"/>
    <n v="2"/>
    <n v="2"/>
    <n v="7"/>
    <n v="7"/>
    <n v="3"/>
    <n v="6"/>
    <s v="LAB-8"/>
    <x v="2"/>
    <x v="1"/>
    <x v="1"/>
    <n v="7"/>
    <x v="0"/>
  </r>
  <r>
    <n v="59"/>
    <s v="No"/>
    <s v="Travel_Rarely"/>
    <n v="1324"/>
    <x v="1"/>
    <n v="3"/>
    <n v="3"/>
    <s v="Medical"/>
    <n v="1"/>
    <n v="10"/>
    <n v="3"/>
    <s v="Female"/>
    <n v="81"/>
    <n v="4"/>
    <n v="1"/>
    <s v="Laboratory Technician"/>
    <n v="1"/>
    <s v="Married"/>
    <n v="2670"/>
    <n v="9964"/>
    <n v="4"/>
    <s v="Y"/>
    <s v="Yes"/>
    <n v="20"/>
    <n v="4"/>
    <n v="1"/>
    <n v="80"/>
    <n v="3"/>
    <n v="12"/>
    <n v="3"/>
    <n v="2"/>
    <n v="1"/>
    <n v="0"/>
    <n v="0"/>
    <n v="0"/>
    <s v="LAB-10"/>
    <x v="2"/>
    <x v="1"/>
    <x v="1"/>
    <n v="1"/>
    <x v="0"/>
  </r>
  <r>
    <n v="30"/>
    <s v="No"/>
    <s v="Travel_Rarely"/>
    <n v="1358"/>
    <x v="1"/>
    <n v="24"/>
    <n v="1"/>
    <s v="Life Sciences"/>
    <n v="1"/>
    <n v="11"/>
    <n v="4"/>
    <s v="Male"/>
    <n v="67"/>
    <n v="3"/>
    <n v="1"/>
    <s v="Laboratory Technician"/>
    <n v="3"/>
    <s v="Divorced"/>
    <n v="2693"/>
    <n v="13335"/>
    <n v="1"/>
    <s v="Y"/>
    <s v="No"/>
    <n v="22"/>
    <n v="4"/>
    <n v="2"/>
    <n v="80"/>
    <n v="1"/>
    <n v="1"/>
    <n v="2"/>
    <n v="3"/>
    <n v="1"/>
    <n v="0"/>
    <n v="0"/>
    <n v="0"/>
    <s v="LAB-11"/>
    <x v="2"/>
    <x v="1"/>
    <x v="1"/>
    <n v="1"/>
    <x v="0"/>
  </r>
  <r>
    <n v="38"/>
    <s v="No"/>
    <s v="Travel_Frequently"/>
    <n v="216"/>
    <x v="1"/>
    <n v="23"/>
    <n v="3"/>
    <s v="Life Sciences"/>
    <n v="1"/>
    <n v="12"/>
    <n v="4"/>
    <s v="Male"/>
    <n v="44"/>
    <n v="2"/>
    <n v="3"/>
    <s v="Manufacturing Director"/>
    <n v="3"/>
    <s v="Single"/>
    <n v="9526"/>
    <n v="8787"/>
    <n v="0"/>
    <s v="Y"/>
    <s v="No"/>
    <n v="21"/>
    <n v="4"/>
    <n v="2"/>
    <n v="80"/>
    <n v="0"/>
    <n v="10"/>
    <n v="2"/>
    <n v="3"/>
    <n v="9"/>
    <n v="7"/>
    <n v="1"/>
    <n v="8"/>
    <s v="LAB-12"/>
    <x v="3"/>
    <x v="1"/>
    <x v="1"/>
    <n v="9"/>
    <x v="0"/>
  </r>
  <r>
    <n v="36"/>
    <s v="No"/>
    <s v="Travel_Rarely"/>
    <n v="1299"/>
    <x v="1"/>
    <n v="27"/>
    <n v="3"/>
    <s v="Medical"/>
    <n v="1"/>
    <n v="13"/>
    <n v="3"/>
    <s v="Male"/>
    <n v="94"/>
    <n v="3"/>
    <n v="2"/>
    <s v="Healthcare Representative"/>
    <n v="3"/>
    <s v="Married"/>
    <n v="5237"/>
    <n v="16577"/>
    <n v="6"/>
    <s v="Y"/>
    <s v="No"/>
    <n v="13"/>
    <n v="3"/>
    <n v="2"/>
    <n v="80"/>
    <n v="2"/>
    <n v="17"/>
    <n v="3"/>
    <n v="2"/>
    <n v="7"/>
    <n v="7"/>
    <n v="7"/>
    <n v="7"/>
    <s v="LAB-13"/>
    <x v="4"/>
    <x v="1"/>
    <x v="1"/>
    <n v="7"/>
    <x v="0"/>
  </r>
  <r>
    <n v="35"/>
    <s v="No"/>
    <s v="Travel_Rarely"/>
    <n v="809"/>
    <x v="1"/>
    <n v="16"/>
    <n v="3"/>
    <s v="Medical"/>
    <n v="1"/>
    <n v="14"/>
    <n v="1"/>
    <s v="Male"/>
    <n v="84"/>
    <n v="4"/>
    <n v="1"/>
    <s v="Laboratory Technician"/>
    <n v="2"/>
    <s v="Married"/>
    <n v="2426"/>
    <n v="16479"/>
    <n v="0"/>
    <s v="Y"/>
    <s v="No"/>
    <n v="13"/>
    <n v="3"/>
    <n v="3"/>
    <n v="80"/>
    <n v="1"/>
    <n v="6"/>
    <n v="5"/>
    <n v="3"/>
    <n v="5"/>
    <n v="4"/>
    <n v="0"/>
    <n v="3"/>
    <s v="LAB-14"/>
    <x v="2"/>
    <x v="1"/>
    <x v="1"/>
    <n v="5"/>
    <x v="0"/>
  </r>
  <r>
    <n v="29"/>
    <s v="No"/>
    <s v="Travel_Rarely"/>
    <n v="153"/>
    <x v="1"/>
    <n v="15"/>
    <n v="2"/>
    <s v="Life Sciences"/>
    <n v="1"/>
    <n v="15"/>
    <n v="4"/>
    <s v="Female"/>
    <n v="49"/>
    <n v="2"/>
    <n v="2"/>
    <s v="Laboratory Technician"/>
    <n v="3"/>
    <s v="Single"/>
    <n v="4193"/>
    <n v="12682"/>
    <n v="0"/>
    <s v="Y"/>
    <s v="Yes"/>
    <n v="12"/>
    <n v="3"/>
    <n v="4"/>
    <n v="80"/>
    <n v="0"/>
    <n v="10"/>
    <n v="3"/>
    <n v="3"/>
    <n v="9"/>
    <n v="5"/>
    <n v="0"/>
    <n v="8"/>
    <s v="LAB-15"/>
    <x v="2"/>
    <x v="1"/>
    <x v="1"/>
    <n v="9"/>
    <x v="0"/>
  </r>
  <r>
    <n v="31"/>
    <s v="No"/>
    <s v="Travel_Rarely"/>
    <n v="670"/>
    <x v="1"/>
    <n v="26"/>
    <n v="1"/>
    <s v="Life Sciences"/>
    <n v="1"/>
    <n v="16"/>
    <n v="1"/>
    <s v="Male"/>
    <n v="31"/>
    <n v="3"/>
    <n v="1"/>
    <s v="Research Scientist"/>
    <n v="3"/>
    <s v="Divorced"/>
    <n v="2911"/>
    <n v="15170"/>
    <n v="1"/>
    <s v="Y"/>
    <s v="No"/>
    <n v="17"/>
    <n v="3"/>
    <n v="4"/>
    <n v="80"/>
    <n v="1"/>
    <n v="5"/>
    <n v="1"/>
    <n v="2"/>
    <n v="5"/>
    <n v="2"/>
    <n v="4"/>
    <n v="3"/>
    <s v="LAB-16"/>
    <x v="1"/>
    <x v="1"/>
    <x v="1"/>
    <n v="5"/>
    <x v="0"/>
  </r>
  <r>
    <n v="34"/>
    <s v="No"/>
    <s v="Travel_Rarely"/>
    <n v="1346"/>
    <x v="1"/>
    <n v="19"/>
    <n v="2"/>
    <s v="Medical"/>
    <n v="1"/>
    <n v="18"/>
    <n v="2"/>
    <s v="Male"/>
    <n v="93"/>
    <n v="3"/>
    <n v="1"/>
    <s v="Laboratory Technician"/>
    <n v="4"/>
    <s v="Divorced"/>
    <n v="2661"/>
    <n v="8758"/>
    <n v="0"/>
    <s v="Y"/>
    <s v="No"/>
    <n v="11"/>
    <n v="3"/>
    <n v="3"/>
    <n v="80"/>
    <n v="1"/>
    <n v="3"/>
    <n v="2"/>
    <n v="3"/>
    <n v="2"/>
    <n v="2"/>
    <n v="1"/>
    <n v="2"/>
    <s v="LAB-18"/>
    <x v="2"/>
    <x v="1"/>
    <x v="1"/>
    <n v="2"/>
    <x v="0"/>
  </r>
  <r>
    <n v="28"/>
    <s v="Yes"/>
    <s v="Travel_Rarely"/>
    <n v="103"/>
    <x v="1"/>
    <n v="24"/>
    <n v="3"/>
    <s v="Life Sciences"/>
    <n v="1"/>
    <n v="19"/>
    <n v="3"/>
    <s v="Male"/>
    <n v="50"/>
    <n v="2"/>
    <n v="1"/>
    <s v="Laboratory Technician"/>
    <n v="3"/>
    <s v="Single"/>
    <n v="2028"/>
    <n v="12947"/>
    <n v="5"/>
    <s v="Y"/>
    <s v="Yes"/>
    <n v="14"/>
    <n v="3"/>
    <n v="2"/>
    <n v="80"/>
    <n v="0"/>
    <n v="6"/>
    <n v="4"/>
    <n v="3"/>
    <n v="4"/>
    <n v="2"/>
    <n v="0"/>
    <n v="3"/>
    <s v="LAB-19"/>
    <x v="2"/>
    <x v="1"/>
    <x v="0"/>
    <n v="4"/>
    <x v="0"/>
  </r>
  <r>
    <n v="29"/>
    <s v="No"/>
    <s v="Travel_Rarely"/>
    <n v="1389"/>
    <x v="1"/>
    <n v="21"/>
    <n v="4"/>
    <s v="Life Sciences"/>
    <n v="1"/>
    <n v="20"/>
    <n v="2"/>
    <s v="Female"/>
    <n v="51"/>
    <n v="4"/>
    <n v="3"/>
    <s v="Manufacturing Director"/>
    <n v="1"/>
    <s v="Divorced"/>
    <n v="9980"/>
    <n v="10195"/>
    <n v="1"/>
    <s v="Y"/>
    <s v="No"/>
    <n v="11"/>
    <n v="3"/>
    <n v="3"/>
    <n v="80"/>
    <n v="1"/>
    <n v="10"/>
    <n v="1"/>
    <n v="3"/>
    <n v="10"/>
    <n v="9"/>
    <n v="8"/>
    <n v="8"/>
    <s v="LAB-20"/>
    <x v="3"/>
    <x v="1"/>
    <x v="1"/>
    <n v="10"/>
    <x v="0"/>
  </r>
  <r>
    <n v="32"/>
    <s v="No"/>
    <s v="Travel_Rarely"/>
    <n v="334"/>
    <x v="1"/>
    <n v="5"/>
    <n v="2"/>
    <s v="Life Sciences"/>
    <n v="1"/>
    <n v="21"/>
    <n v="1"/>
    <s v="Male"/>
    <n v="80"/>
    <n v="4"/>
    <n v="1"/>
    <s v="Research Scientist"/>
    <n v="2"/>
    <s v="Divorced"/>
    <n v="3298"/>
    <n v="15053"/>
    <n v="0"/>
    <s v="Y"/>
    <s v="Yes"/>
    <n v="12"/>
    <n v="3"/>
    <n v="4"/>
    <n v="80"/>
    <n v="2"/>
    <n v="7"/>
    <n v="5"/>
    <n v="2"/>
    <n v="6"/>
    <n v="2"/>
    <n v="0"/>
    <n v="5"/>
    <s v="LAB-21"/>
    <x v="1"/>
    <x v="1"/>
    <x v="1"/>
    <n v="6"/>
    <x v="0"/>
  </r>
  <r>
    <n v="22"/>
    <s v="No"/>
    <s v="Non-Travel"/>
    <n v="1123"/>
    <x v="1"/>
    <n v="16"/>
    <n v="2"/>
    <s v="Medical"/>
    <n v="1"/>
    <n v="22"/>
    <n v="4"/>
    <s v="Male"/>
    <n v="96"/>
    <n v="4"/>
    <n v="1"/>
    <s v="Laboratory Technician"/>
    <n v="4"/>
    <s v="Divorced"/>
    <n v="2935"/>
    <n v="7324"/>
    <n v="1"/>
    <s v="Y"/>
    <s v="Yes"/>
    <n v="13"/>
    <n v="3"/>
    <n v="2"/>
    <n v="80"/>
    <n v="2"/>
    <n v="1"/>
    <n v="2"/>
    <n v="2"/>
    <n v="1"/>
    <n v="0"/>
    <n v="0"/>
    <n v="0"/>
    <s v="LAB-22"/>
    <x v="2"/>
    <x v="1"/>
    <x v="1"/>
    <n v="1"/>
    <x v="0"/>
  </r>
  <r>
    <n v="53"/>
    <s v="No"/>
    <s v="Travel_Rarely"/>
    <n v="1219"/>
    <x v="0"/>
    <n v="2"/>
    <n v="4"/>
    <s v="Life Sciences"/>
    <n v="1"/>
    <n v="23"/>
    <n v="1"/>
    <s v="Female"/>
    <n v="78"/>
    <n v="2"/>
    <n v="4"/>
    <s v="Manager"/>
    <n v="4"/>
    <s v="Married"/>
    <n v="15427"/>
    <n v="22021"/>
    <n v="2"/>
    <s v="Y"/>
    <s v="No"/>
    <n v="16"/>
    <n v="3"/>
    <n v="3"/>
    <n v="80"/>
    <n v="0"/>
    <n v="31"/>
    <n v="3"/>
    <n v="3"/>
    <n v="25"/>
    <n v="8"/>
    <n v="3"/>
    <n v="7"/>
    <s v="LAB-23"/>
    <x v="5"/>
    <x v="0"/>
    <x v="1"/>
    <n v="25"/>
    <x v="0"/>
  </r>
  <r>
    <n v="38"/>
    <s v="No"/>
    <s v="Travel_Rarely"/>
    <n v="371"/>
    <x v="1"/>
    <n v="2"/>
    <n v="3"/>
    <s v="Life Sciences"/>
    <n v="1"/>
    <n v="24"/>
    <n v="4"/>
    <s v="Male"/>
    <n v="45"/>
    <n v="3"/>
    <n v="1"/>
    <s v="Research Scientist"/>
    <n v="4"/>
    <s v="Single"/>
    <n v="3944"/>
    <n v="4306"/>
    <n v="5"/>
    <s v="Y"/>
    <s v="Yes"/>
    <n v="11"/>
    <n v="3"/>
    <n v="3"/>
    <n v="80"/>
    <n v="0"/>
    <n v="6"/>
    <n v="3"/>
    <n v="3"/>
    <n v="3"/>
    <n v="2"/>
    <n v="1"/>
    <n v="2"/>
    <s v="LAB-24"/>
    <x v="1"/>
    <x v="1"/>
    <x v="1"/>
    <n v="3"/>
    <x v="0"/>
  </r>
  <r>
    <n v="24"/>
    <s v="No"/>
    <s v="Non-Travel"/>
    <n v="673"/>
    <x v="1"/>
    <n v="11"/>
    <n v="2"/>
    <s v="Other"/>
    <n v="1"/>
    <n v="26"/>
    <n v="1"/>
    <s v="Female"/>
    <n v="96"/>
    <n v="4"/>
    <n v="2"/>
    <s v="Manufacturing Director"/>
    <n v="3"/>
    <s v="Divorced"/>
    <n v="4011"/>
    <n v="8232"/>
    <n v="0"/>
    <s v="Y"/>
    <s v="No"/>
    <n v="18"/>
    <n v="3"/>
    <n v="4"/>
    <n v="80"/>
    <n v="1"/>
    <n v="5"/>
    <n v="5"/>
    <n v="2"/>
    <n v="4"/>
    <n v="2"/>
    <n v="1"/>
    <n v="3"/>
    <s v="LAB-26"/>
    <x v="3"/>
    <x v="1"/>
    <x v="1"/>
    <n v="4"/>
    <x v="0"/>
  </r>
  <r>
    <n v="36"/>
    <s v="Yes"/>
    <s v="Travel_Rarely"/>
    <n v="1218"/>
    <x v="0"/>
    <n v="9"/>
    <n v="4"/>
    <s v="Life Sciences"/>
    <n v="1"/>
    <n v="27"/>
    <n v="3"/>
    <s v="Male"/>
    <n v="82"/>
    <n v="2"/>
    <n v="1"/>
    <s v="Sales Representative"/>
    <n v="1"/>
    <s v="Single"/>
    <n v="3407"/>
    <n v="6986"/>
    <n v="7"/>
    <s v="Y"/>
    <s v="No"/>
    <n v="23"/>
    <n v="4"/>
    <n v="2"/>
    <n v="80"/>
    <n v="0"/>
    <n v="10"/>
    <n v="4"/>
    <n v="3"/>
    <n v="5"/>
    <n v="3"/>
    <n v="0"/>
    <n v="3"/>
    <s v="LAB-27"/>
    <x v="6"/>
    <x v="0"/>
    <x v="0"/>
    <n v="5"/>
    <x v="0"/>
  </r>
  <r>
    <n v="34"/>
    <s v="No"/>
    <s v="Travel_Rarely"/>
    <n v="419"/>
    <x v="1"/>
    <n v="7"/>
    <n v="4"/>
    <s v="Life Sciences"/>
    <n v="1"/>
    <n v="28"/>
    <n v="1"/>
    <s v="Female"/>
    <n v="53"/>
    <n v="3"/>
    <n v="3"/>
    <s v="Research Director"/>
    <n v="2"/>
    <s v="Single"/>
    <n v="11994"/>
    <n v="21293"/>
    <n v="0"/>
    <s v="Y"/>
    <s v="No"/>
    <n v="11"/>
    <n v="3"/>
    <n v="3"/>
    <n v="80"/>
    <n v="0"/>
    <n v="13"/>
    <n v="4"/>
    <n v="3"/>
    <n v="12"/>
    <n v="6"/>
    <n v="2"/>
    <n v="11"/>
    <s v="LAB-28"/>
    <x v="7"/>
    <x v="1"/>
    <x v="1"/>
    <n v="12"/>
    <x v="0"/>
  </r>
  <r>
    <n v="21"/>
    <s v="No"/>
    <s v="Travel_Rarely"/>
    <n v="391"/>
    <x v="1"/>
    <n v="15"/>
    <n v="2"/>
    <s v="Life Sciences"/>
    <n v="1"/>
    <n v="30"/>
    <n v="3"/>
    <s v="Male"/>
    <n v="96"/>
    <n v="3"/>
    <n v="1"/>
    <s v="Research Scientist"/>
    <n v="4"/>
    <s v="Single"/>
    <n v="1232"/>
    <n v="19281"/>
    <n v="1"/>
    <s v="Y"/>
    <s v="No"/>
    <n v="14"/>
    <n v="3"/>
    <n v="4"/>
    <n v="80"/>
    <n v="0"/>
    <n v="0"/>
    <n v="6"/>
    <n v="3"/>
    <n v="0"/>
    <n v="0"/>
    <n v="0"/>
    <n v="0"/>
    <s v="LAB-30"/>
    <x v="1"/>
    <x v="1"/>
    <x v="1"/>
    <n v="0"/>
    <x v="0"/>
  </r>
  <r>
    <n v="34"/>
    <s v="Yes"/>
    <s v="Travel_Rarely"/>
    <n v="699"/>
    <x v="1"/>
    <n v="6"/>
    <n v="1"/>
    <s v="Medical"/>
    <n v="1"/>
    <n v="31"/>
    <n v="2"/>
    <s v="Male"/>
    <n v="83"/>
    <n v="3"/>
    <n v="1"/>
    <s v="Research Scientist"/>
    <n v="1"/>
    <s v="Single"/>
    <n v="2960"/>
    <n v="17102"/>
    <n v="2"/>
    <s v="Y"/>
    <s v="No"/>
    <n v="11"/>
    <n v="3"/>
    <n v="3"/>
    <n v="80"/>
    <n v="0"/>
    <n v="8"/>
    <n v="2"/>
    <n v="3"/>
    <n v="4"/>
    <n v="2"/>
    <n v="1"/>
    <n v="3"/>
    <s v="LAB-31"/>
    <x v="1"/>
    <x v="1"/>
    <x v="0"/>
    <n v="4"/>
    <x v="0"/>
  </r>
  <r>
    <n v="53"/>
    <s v="No"/>
    <s v="Travel_Rarely"/>
    <n v="1282"/>
    <x v="1"/>
    <n v="5"/>
    <n v="3"/>
    <s v="Other"/>
    <n v="1"/>
    <n v="32"/>
    <n v="3"/>
    <s v="Female"/>
    <n v="58"/>
    <n v="3"/>
    <n v="5"/>
    <s v="Manager"/>
    <n v="3"/>
    <s v="Divorced"/>
    <n v="19094"/>
    <n v="10735"/>
    <n v="4"/>
    <s v="Y"/>
    <s v="No"/>
    <n v="11"/>
    <n v="3"/>
    <n v="4"/>
    <n v="80"/>
    <n v="1"/>
    <n v="26"/>
    <n v="3"/>
    <n v="2"/>
    <n v="14"/>
    <n v="13"/>
    <n v="4"/>
    <n v="8"/>
    <s v="LAB-32"/>
    <x v="5"/>
    <x v="1"/>
    <x v="1"/>
    <n v="14"/>
    <x v="0"/>
  </r>
  <r>
    <n v="32"/>
    <s v="Yes"/>
    <s v="Travel_Frequently"/>
    <n v="1125"/>
    <x v="1"/>
    <n v="16"/>
    <n v="1"/>
    <s v="Life Sciences"/>
    <n v="1"/>
    <n v="33"/>
    <n v="2"/>
    <s v="Female"/>
    <n v="72"/>
    <n v="1"/>
    <n v="1"/>
    <s v="Research Scientist"/>
    <n v="1"/>
    <s v="Single"/>
    <n v="3919"/>
    <n v="4681"/>
    <n v="1"/>
    <s v="Y"/>
    <s v="Yes"/>
    <n v="22"/>
    <n v="4"/>
    <n v="2"/>
    <n v="80"/>
    <n v="0"/>
    <n v="10"/>
    <n v="5"/>
    <n v="3"/>
    <n v="10"/>
    <n v="2"/>
    <n v="6"/>
    <n v="7"/>
    <s v="LAB-33"/>
    <x v="1"/>
    <x v="1"/>
    <x v="0"/>
    <n v="10"/>
    <x v="0"/>
  </r>
  <r>
    <n v="42"/>
    <s v="No"/>
    <s v="Travel_Rarely"/>
    <n v="691"/>
    <x v="0"/>
    <n v="8"/>
    <n v="4"/>
    <s v="Marketing"/>
    <n v="1"/>
    <n v="35"/>
    <n v="3"/>
    <s v="Male"/>
    <n v="48"/>
    <n v="3"/>
    <n v="2"/>
    <s v="Sales Executive"/>
    <n v="2"/>
    <s v="Married"/>
    <n v="6825"/>
    <n v="21173"/>
    <n v="0"/>
    <s v="Y"/>
    <s v="No"/>
    <n v="11"/>
    <n v="3"/>
    <n v="4"/>
    <n v="80"/>
    <n v="1"/>
    <n v="10"/>
    <n v="2"/>
    <n v="3"/>
    <n v="9"/>
    <n v="7"/>
    <n v="4"/>
    <n v="2"/>
    <s v="LAB-35"/>
    <x v="0"/>
    <x v="0"/>
    <x v="1"/>
    <n v="9"/>
    <x v="0"/>
  </r>
  <r>
    <n v="44"/>
    <s v="No"/>
    <s v="Travel_Rarely"/>
    <n v="477"/>
    <x v="1"/>
    <n v="7"/>
    <n v="4"/>
    <s v="Medical"/>
    <n v="1"/>
    <n v="36"/>
    <n v="1"/>
    <s v="Female"/>
    <n v="42"/>
    <n v="2"/>
    <n v="3"/>
    <s v="Healthcare Representative"/>
    <n v="4"/>
    <s v="Married"/>
    <n v="10248"/>
    <n v="2094"/>
    <n v="3"/>
    <s v="Y"/>
    <s v="No"/>
    <n v="14"/>
    <n v="3"/>
    <n v="4"/>
    <n v="80"/>
    <n v="1"/>
    <n v="24"/>
    <n v="4"/>
    <n v="3"/>
    <n v="22"/>
    <n v="6"/>
    <n v="5"/>
    <n v="17"/>
    <s v="LAB-36"/>
    <x v="4"/>
    <x v="1"/>
    <x v="1"/>
    <n v="22"/>
    <x v="0"/>
  </r>
  <r>
    <n v="46"/>
    <s v="No"/>
    <s v="Travel_Rarely"/>
    <n v="705"/>
    <x v="0"/>
    <n v="2"/>
    <n v="4"/>
    <s v="Marketing"/>
    <n v="1"/>
    <n v="38"/>
    <n v="2"/>
    <s v="Female"/>
    <n v="83"/>
    <n v="3"/>
    <n v="5"/>
    <s v="Manager"/>
    <n v="1"/>
    <s v="Single"/>
    <n v="18947"/>
    <n v="22822"/>
    <n v="3"/>
    <s v="Y"/>
    <s v="No"/>
    <n v="12"/>
    <n v="3"/>
    <n v="4"/>
    <n v="80"/>
    <n v="0"/>
    <n v="22"/>
    <n v="2"/>
    <n v="2"/>
    <n v="2"/>
    <n v="2"/>
    <n v="2"/>
    <n v="1"/>
    <s v="LAB-38"/>
    <x v="5"/>
    <x v="0"/>
    <x v="1"/>
    <n v="2"/>
    <x v="0"/>
  </r>
  <r>
    <n v="33"/>
    <s v="No"/>
    <s v="Travel_Rarely"/>
    <n v="924"/>
    <x v="1"/>
    <n v="2"/>
    <n v="3"/>
    <s v="Medical"/>
    <n v="1"/>
    <n v="39"/>
    <n v="3"/>
    <s v="Male"/>
    <n v="78"/>
    <n v="3"/>
    <n v="1"/>
    <s v="Laboratory Technician"/>
    <n v="4"/>
    <s v="Single"/>
    <n v="2496"/>
    <n v="6670"/>
    <n v="4"/>
    <s v="Y"/>
    <s v="No"/>
    <n v="11"/>
    <n v="3"/>
    <n v="4"/>
    <n v="80"/>
    <n v="0"/>
    <n v="7"/>
    <n v="3"/>
    <n v="3"/>
    <n v="1"/>
    <n v="1"/>
    <n v="0"/>
    <n v="0"/>
    <s v="LAB-39"/>
    <x v="2"/>
    <x v="1"/>
    <x v="1"/>
    <n v="1"/>
    <x v="0"/>
  </r>
  <r>
    <n v="44"/>
    <s v="No"/>
    <s v="Travel_Rarely"/>
    <n v="1459"/>
    <x v="1"/>
    <n v="10"/>
    <n v="4"/>
    <s v="Other"/>
    <n v="1"/>
    <n v="40"/>
    <n v="4"/>
    <s v="Male"/>
    <n v="41"/>
    <n v="3"/>
    <n v="2"/>
    <s v="Healthcare Representative"/>
    <n v="4"/>
    <s v="Married"/>
    <n v="6465"/>
    <n v="19121"/>
    <n v="2"/>
    <s v="Y"/>
    <s v="Yes"/>
    <n v="13"/>
    <n v="3"/>
    <n v="4"/>
    <n v="80"/>
    <n v="0"/>
    <n v="9"/>
    <n v="5"/>
    <n v="4"/>
    <n v="4"/>
    <n v="2"/>
    <n v="1"/>
    <n v="3"/>
    <s v="LAB-40"/>
    <x v="4"/>
    <x v="1"/>
    <x v="1"/>
    <n v="4"/>
    <x v="0"/>
  </r>
  <r>
    <n v="30"/>
    <s v="No"/>
    <s v="Travel_Rarely"/>
    <n v="125"/>
    <x v="1"/>
    <n v="9"/>
    <n v="2"/>
    <s v="Medical"/>
    <n v="1"/>
    <n v="41"/>
    <n v="4"/>
    <s v="Male"/>
    <n v="83"/>
    <n v="2"/>
    <n v="1"/>
    <s v="Laboratory Technician"/>
    <n v="3"/>
    <s v="Single"/>
    <n v="2206"/>
    <n v="16117"/>
    <n v="1"/>
    <s v="Y"/>
    <s v="No"/>
    <n v="13"/>
    <n v="3"/>
    <n v="1"/>
    <n v="80"/>
    <n v="0"/>
    <n v="10"/>
    <n v="5"/>
    <n v="3"/>
    <n v="10"/>
    <n v="0"/>
    <n v="1"/>
    <n v="8"/>
    <s v="LAB-41"/>
    <x v="2"/>
    <x v="1"/>
    <x v="1"/>
    <n v="10"/>
    <x v="0"/>
  </r>
  <r>
    <n v="39"/>
    <s v="Yes"/>
    <s v="Travel_Rarely"/>
    <n v="895"/>
    <x v="0"/>
    <n v="5"/>
    <n v="3"/>
    <s v="Technical Degree"/>
    <n v="1"/>
    <n v="42"/>
    <n v="4"/>
    <s v="Male"/>
    <n v="56"/>
    <n v="3"/>
    <n v="2"/>
    <s v="Sales Representative"/>
    <n v="4"/>
    <s v="Married"/>
    <n v="2086"/>
    <n v="3335"/>
    <n v="3"/>
    <s v="Y"/>
    <s v="No"/>
    <n v="14"/>
    <n v="3"/>
    <n v="3"/>
    <n v="80"/>
    <n v="1"/>
    <n v="19"/>
    <n v="6"/>
    <n v="4"/>
    <n v="1"/>
    <n v="0"/>
    <n v="0"/>
    <n v="0"/>
    <s v="LAB-42"/>
    <x v="6"/>
    <x v="0"/>
    <x v="0"/>
    <n v="1"/>
    <x v="0"/>
  </r>
  <r>
    <n v="24"/>
    <s v="Yes"/>
    <s v="Travel_Rarely"/>
    <n v="813"/>
    <x v="1"/>
    <n v="1"/>
    <n v="3"/>
    <s v="Medical"/>
    <n v="1"/>
    <n v="45"/>
    <n v="2"/>
    <s v="Male"/>
    <n v="61"/>
    <n v="3"/>
    <n v="1"/>
    <s v="Research Scientist"/>
    <n v="4"/>
    <s v="Married"/>
    <n v="2293"/>
    <n v="3020"/>
    <n v="2"/>
    <s v="Y"/>
    <s v="Yes"/>
    <n v="16"/>
    <n v="3"/>
    <n v="1"/>
    <n v="80"/>
    <n v="1"/>
    <n v="6"/>
    <n v="2"/>
    <n v="2"/>
    <n v="2"/>
    <n v="0"/>
    <n v="2"/>
    <n v="0"/>
    <s v="LAB-45"/>
    <x v="1"/>
    <x v="1"/>
    <x v="0"/>
    <n v="2"/>
    <x v="0"/>
  </r>
  <r>
    <n v="43"/>
    <s v="No"/>
    <s v="Travel_Rarely"/>
    <n v="1273"/>
    <x v="1"/>
    <n v="2"/>
    <n v="2"/>
    <s v="Medical"/>
    <n v="1"/>
    <n v="46"/>
    <n v="4"/>
    <s v="Female"/>
    <n v="72"/>
    <n v="4"/>
    <n v="1"/>
    <s v="Research Scientist"/>
    <n v="3"/>
    <s v="Divorced"/>
    <n v="2645"/>
    <n v="21923"/>
    <n v="1"/>
    <s v="Y"/>
    <s v="No"/>
    <n v="12"/>
    <n v="3"/>
    <n v="4"/>
    <n v="80"/>
    <n v="2"/>
    <n v="6"/>
    <n v="3"/>
    <n v="2"/>
    <n v="5"/>
    <n v="3"/>
    <n v="1"/>
    <n v="4"/>
    <s v="LAB-46"/>
    <x v="1"/>
    <x v="1"/>
    <x v="1"/>
    <n v="5"/>
    <x v="0"/>
  </r>
  <r>
    <n v="50"/>
    <s v="Yes"/>
    <s v="Travel_Rarely"/>
    <n v="869"/>
    <x v="0"/>
    <n v="3"/>
    <n v="2"/>
    <s v="Marketing"/>
    <n v="1"/>
    <n v="47"/>
    <n v="1"/>
    <s v="Male"/>
    <n v="86"/>
    <n v="2"/>
    <n v="1"/>
    <s v="Sales Representative"/>
    <n v="3"/>
    <s v="Married"/>
    <n v="2683"/>
    <n v="3810"/>
    <n v="1"/>
    <s v="Y"/>
    <s v="Yes"/>
    <n v="14"/>
    <n v="3"/>
    <n v="3"/>
    <n v="80"/>
    <n v="0"/>
    <n v="3"/>
    <n v="2"/>
    <n v="3"/>
    <n v="3"/>
    <n v="2"/>
    <n v="0"/>
    <n v="2"/>
    <s v="LAB-47"/>
    <x v="6"/>
    <x v="0"/>
    <x v="0"/>
    <n v="3"/>
    <x v="0"/>
  </r>
  <r>
    <n v="35"/>
    <s v="No"/>
    <s v="Travel_Rarely"/>
    <n v="890"/>
    <x v="0"/>
    <n v="2"/>
    <n v="3"/>
    <s v="Marketing"/>
    <n v="1"/>
    <n v="49"/>
    <n v="4"/>
    <s v="Female"/>
    <n v="97"/>
    <n v="3"/>
    <n v="1"/>
    <s v="Sales Representative"/>
    <n v="4"/>
    <s v="Married"/>
    <n v="2014"/>
    <n v="9687"/>
    <n v="1"/>
    <s v="Y"/>
    <s v="No"/>
    <n v="13"/>
    <n v="3"/>
    <n v="1"/>
    <n v="80"/>
    <n v="0"/>
    <n v="2"/>
    <n v="3"/>
    <n v="3"/>
    <n v="2"/>
    <n v="2"/>
    <n v="2"/>
    <n v="2"/>
    <s v="LAB-49"/>
    <x v="6"/>
    <x v="0"/>
    <x v="1"/>
    <n v="2"/>
    <x v="0"/>
  </r>
  <r>
    <n v="36"/>
    <s v="No"/>
    <s v="Travel_Rarely"/>
    <n v="852"/>
    <x v="1"/>
    <n v="5"/>
    <n v="4"/>
    <s v="Life Sciences"/>
    <n v="1"/>
    <n v="51"/>
    <n v="2"/>
    <s v="Female"/>
    <n v="82"/>
    <n v="2"/>
    <n v="1"/>
    <s v="Research Scientist"/>
    <n v="1"/>
    <s v="Married"/>
    <n v="3419"/>
    <n v="13072"/>
    <n v="9"/>
    <s v="Y"/>
    <s v="Yes"/>
    <n v="14"/>
    <n v="3"/>
    <n v="4"/>
    <n v="80"/>
    <n v="1"/>
    <n v="6"/>
    <n v="3"/>
    <n v="4"/>
    <n v="1"/>
    <n v="1"/>
    <n v="0"/>
    <n v="0"/>
    <s v="LAB-51"/>
    <x v="1"/>
    <x v="1"/>
    <x v="1"/>
    <n v="1"/>
    <x v="0"/>
  </r>
  <r>
    <n v="33"/>
    <s v="No"/>
    <s v="Travel_Frequently"/>
    <n v="1141"/>
    <x v="0"/>
    <n v="1"/>
    <n v="3"/>
    <s v="Life Sciences"/>
    <n v="1"/>
    <n v="52"/>
    <n v="3"/>
    <s v="Female"/>
    <n v="42"/>
    <n v="4"/>
    <n v="2"/>
    <s v="Sales Executive"/>
    <n v="1"/>
    <s v="Married"/>
    <n v="5376"/>
    <n v="3193"/>
    <n v="2"/>
    <s v="Y"/>
    <s v="No"/>
    <n v="19"/>
    <n v="3"/>
    <n v="1"/>
    <n v="80"/>
    <n v="2"/>
    <n v="10"/>
    <n v="3"/>
    <n v="3"/>
    <n v="5"/>
    <n v="3"/>
    <n v="1"/>
    <n v="3"/>
    <s v="LAB-52"/>
    <x v="0"/>
    <x v="0"/>
    <x v="1"/>
    <n v="5"/>
    <x v="0"/>
  </r>
  <r>
    <n v="35"/>
    <s v="No"/>
    <s v="Travel_Rarely"/>
    <n v="464"/>
    <x v="1"/>
    <n v="4"/>
    <n v="2"/>
    <s v="Other"/>
    <n v="1"/>
    <n v="53"/>
    <n v="3"/>
    <s v="Male"/>
    <n v="75"/>
    <n v="3"/>
    <n v="1"/>
    <s v="Laboratory Technician"/>
    <n v="4"/>
    <s v="Divorced"/>
    <n v="1951"/>
    <n v="10910"/>
    <n v="1"/>
    <s v="Y"/>
    <s v="No"/>
    <n v="12"/>
    <n v="3"/>
    <n v="3"/>
    <n v="80"/>
    <n v="1"/>
    <n v="1"/>
    <n v="3"/>
    <n v="3"/>
    <n v="1"/>
    <n v="0"/>
    <n v="0"/>
    <n v="0"/>
    <s v="LAB-53"/>
    <x v="2"/>
    <x v="1"/>
    <x v="1"/>
    <n v="1"/>
    <x v="0"/>
  </r>
  <r>
    <n v="27"/>
    <s v="No"/>
    <s v="Travel_Rarely"/>
    <n v="1240"/>
    <x v="1"/>
    <n v="2"/>
    <n v="4"/>
    <s v="Life Sciences"/>
    <n v="1"/>
    <n v="54"/>
    <n v="4"/>
    <s v="Female"/>
    <n v="33"/>
    <n v="3"/>
    <n v="1"/>
    <s v="Laboratory Technician"/>
    <n v="1"/>
    <s v="Divorced"/>
    <n v="2341"/>
    <n v="19715"/>
    <n v="1"/>
    <s v="Y"/>
    <s v="No"/>
    <n v="13"/>
    <n v="3"/>
    <n v="4"/>
    <n v="80"/>
    <n v="1"/>
    <n v="1"/>
    <n v="6"/>
    <n v="3"/>
    <n v="1"/>
    <n v="0"/>
    <n v="0"/>
    <n v="0"/>
    <s v="LAB-54"/>
    <x v="2"/>
    <x v="1"/>
    <x v="1"/>
    <n v="1"/>
    <x v="0"/>
  </r>
  <r>
    <n v="26"/>
    <s v="Yes"/>
    <s v="Travel_Rarely"/>
    <n v="1357"/>
    <x v="1"/>
    <n v="25"/>
    <n v="3"/>
    <s v="Life Sciences"/>
    <n v="1"/>
    <n v="55"/>
    <n v="1"/>
    <s v="Male"/>
    <n v="48"/>
    <n v="1"/>
    <n v="1"/>
    <s v="Laboratory Technician"/>
    <n v="3"/>
    <s v="Single"/>
    <n v="2293"/>
    <n v="10558"/>
    <n v="1"/>
    <s v="Y"/>
    <s v="No"/>
    <n v="12"/>
    <n v="3"/>
    <n v="3"/>
    <n v="80"/>
    <n v="0"/>
    <n v="1"/>
    <n v="2"/>
    <n v="2"/>
    <n v="1"/>
    <n v="0"/>
    <n v="0"/>
    <n v="1"/>
    <s v="LAB-55"/>
    <x v="2"/>
    <x v="1"/>
    <x v="0"/>
    <n v="1"/>
    <x v="0"/>
  </r>
  <r>
    <n v="27"/>
    <s v="No"/>
    <s v="Travel_Frequently"/>
    <n v="994"/>
    <x v="0"/>
    <n v="8"/>
    <n v="3"/>
    <s v="Life Sciences"/>
    <n v="1"/>
    <n v="56"/>
    <n v="4"/>
    <s v="Male"/>
    <n v="37"/>
    <n v="3"/>
    <n v="3"/>
    <s v="Sales Executive"/>
    <n v="3"/>
    <s v="Single"/>
    <n v="8726"/>
    <n v="2975"/>
    <n v="1"/>
    <s v="Y"/>
    <s v="No"/>
    <n v="15"/>
    <n v="3"/>
    <n v="4"/>
    <n v="80"/>
    <n v="0"/>
    <n v="9"/>
    <n v="0"/>
    <n v="3"/>
    <n v="9"/>
    <n v="8"/>
    <n v="1"/>
    <n v="7"/>
    <s v="LAB-56"/>
    <x v="0"/>
    <x v="0"/>
    <x v="1"/>
    <n v="9"/>
    <x v="0"/>
  </r>
  <r>
    <n v="30"/>
    <s v="No"/>
    <s v="Travel_Frequently"/>
    <n v="721"/>
    <x v="1"/>
    <n v="1"/>
    <n v="2"/>
    <s v="Medical"/>
    <n v="1"/>
    <n v="57"/>
    <n v="3"/>
    <s v="Female"/>
    <n v="58"/>
    <n v="3"/>
    <n v="2"/>
    <s v="Laboratory Technician"/>
    <n v="4"/>
    <s v="Single"/>
    <n v="4011"/>
    <n v="10781"/>
    <n v="1"/>
    <s v="Y"/>
    <s v="No"/>
    <n v="23"/>
    <n v="4"/>
    <n v="4"/>
    <n v="80"/>
    <n v="0"/>
    <n v="12"/>
    <n v="2"/>
    <n v="3"/>
    <n v="12"/>
    <n v="8"/>
    <n v="3"/>
    <n v="7"/>
    <s v="LAB-57"/>
    <x v="2"/>
    <x v="1"/>
    <x v="1"/>
    <n v="12"/>
    <x v="0"/>
  </r>
  <r>
    <n v="41"/>
    <s v="Yes"/>
    <s v="Travel_Rarely"/>
    <n v="1360"/>
    <x v="1"/>
    <n v="12"/>
    <n v="3"/>
    <s v="Technical Degree"/>
    <n v="1"/>
    <n v="58"/>
    <n v="2"/>
    <s v="Female"/>
    <n v="49"/>
    <n v="3"/>
    <n v="5"/>
    <s v="Research Director"/>
    <n v="3"/>
    <s v="Married"/>
    <n v="19545"/>
    <n v="16280"/>
    <n v="1"/>
    <s v="Y"/>
    <s v="No"/>
    <n v="12"/>
    <n v="3"/>
    <n v="4"/>
    <n v="80"/>
    <n v="0"/>
    <n v="23"/>
    <n v="0"/>
    <n v="3"/>
    <n v="22"/>
    <n v="15"/>
    <n v="15"/>
    <n v="8"/>
    <s v="LAB-58"/>
    <x v="7"/>
    <x v="1"/>
    <x v="0"/>
    <n v="22"/>
    <x v="0"/>
  </r>
  <r>
    <n v="34"/>
    <s v="No"/>
    <s v="Non-Travel"/>
    <n v="1065"/>
    <x v="0"/>
    <n v="23"/>
    <n v="4"/>
    <s v="Marketing"/>
    <n v="1"/>
    <n v="60"/>
    <n v="2"/>
    <s v="Male"/>
    <n v="72"/>
    <n v="3"/>
    <n v="2"/>
    <s v="Sales Executive"/>
    <n v="3"/>
    <s v="Single"/>
    <n v="4568"/>
    <n v="10034"/>
    <n v="0"/>
    <s v="Y"/>
    <s v="No"/>
    <n v="20"/>
    <n v="4"/>
    <n v="3"/>
    <n v="80"/>
    <n v="0"/>
    <n v="10"/>
    <n v="2"/>
    <n v="3"/>
    <n v="9"/>
    <n v="5"/>
    <n v="8"/>
    <n v="7"/>
    <s v="LAB-60"/>
    <x v="0"/>
    <x v="0"/>
    <x v="1"/>
    <n v="9"/>
    <x v="0"/>
  </r>
  <r>
    <n v="37"/>
    <s v="No"/>
    <s v="Travel_Rarely"/>
    <n v="408"/>
    <x v="1"/>
    <n v="19"/>
    <n v="2"/>
    <s v="Life Sciences"/>
    <n v="1"/>
    <n v="61"/>
    <n v="2"/>
    <s v="Male"/>
    <n v="73"/>
    <n v="3"/>
    <n v="1"/>
    <s v="Research Scientist"/>
    <n v="2"/>
    <s v="Married"/>
    <n v="3022"/>
    <n v="10227"/>
    <n v="4"/>
    <s v="Y"/>
    <s v="No"/>
    <n v="21"/>
    <n v="4"/>
    <n v="1"/>
    <n v="80"/>
    <n v="0"/>
    <n v="8"/>
    <n v="1"/>
    <n v="3"/>
    <n v="1"/>
    <n v="0"/>
    <n v="0"/>
    <n v="0"/>
    <s v="LAB-61"/>
    <x v="1"/>
    <x v="1"/>
    <x v="1"/>
    <n v="1"/>
    <x v="0"/>
  </r>
  <r>
    <n v="46"/>
    <s v="No"/>
    <s v="Travel_Frequently"/>
    <n v="1211"/>
    <x v="0"/>
    <n v="5"/>
    <n v="4"/>
    <s v="Marketing"/>
    <n v="1"/>
    <n v="62"/>
    <n v="1"/>
    <s v="Male"/>
    <n v="98"/>
    <n v="3"/>
    <n v="2"/>
    <s v="Sales Executive"/>
    <n v="4"/>
    <s v="Single"/>
    <n v="5772"/>
    <n v="20445"/>
    <n v="4"/>
    <s v="Y"/>
    <s v="Yes"/>
    <n v="21"/>
    <n v="4"/>
    <n v="3"/>
    <n v="80"/>
    <n v="0"/>
    <n v="14"/>
    <n v="4"/>
    <n v="3"/>
    <n v="9"/>
    <n v="6"/>
    <n v="0"/>
    <n v="8"/>
    <s v="LAB-62"/>
    <x v="0"/>
    <x v="0"/>
    <x v="1"/>
    <n v="9"/>
    <x v="0"/>
  </r>
  <r>
    <n v="35"/>
    <s v="No"/>
    <s v="Travel_Rarely"/>
    <n v="1229"/>
    <x v="1"/>
    <n v="8"/>
    <n v="1"/>
    <s v="Life Sciences"/>
    <n v="1"/>
    <n v="63"/>
    <n v="4"/>
    <s v="Male"/>
    <n v="36"/>
    <n v="4"/>
    <n v="1"/>
    <s v="Laboratory Technician"/>
    <n v="4"/>
    <s v="Married"/>
    <n v="2269"/>
    <n v="4892"/>
    <n v="1"/>
    <s v="Y"/>
    <s v="No"/>
    <n v="19"/>
    <n v="3"/>
    <n v="4"/>
    <n v="80"/>
    <n v="0"/>
    <n v="1"/>
    <n v="2"/>
    <n v="3"/>
    <n v="1"/>
    <n v="0"/>
    <n v="0"/>
    <n v="1"/>
    <s v="LAB-63"/>
    <x v="2"/>
    <x v="1"/>
    <x v="1"/>
    <n v="1"/>
    <x v="0"/>
  </r>
  <r>
    <n v="48"/>
    <s v="Yes"/>
    <s v="Travel_Rarely"/>
    <n v="626"/>
    <x v="1"/>
    <n v="1"/>
    <n v="2"/>
    <s v="Life Sciences"/>
    <n v="1"/>
    <n v="64"/>
    <n v="1"/>
    <s v="Male"/>
    <n v="98"/>
    <n v="2"/>
    <n v="3"/>
    <s v="Laboratory Technician"/>
    <n v="3"/>
    <s v="Single"/>
    <n v="5381"/>
    <n v="19294"/>
    <n v="9"/>
    <s v="Y"/>
    <s v="Yes"/>
    <n v="13"/>
    <n v="3"/>
    <n v="4"/>
    <n v="80"/>
    <n v="0"/>
    <n v="23"/>
    <n v="2"/>
    <n v="3"/>
    <n v="1"/>
    <n v="0"/>
    <n v="0"/>
    <n v="0"/>
    <s v="LAB-64"/>
    <x v="2"/>
    <x v="1"/>
    <x v="0"/>
    <n v="1"/>
    <x v="0"/>
  </r>
  <r>
    <n v="28"/>
    <s v="Yes"/>
    <s v="Travel_Rarely"/>
    <n v="1434"/>
    <x v="1"/>
    <n v="5"/>
    <n v="4"/>
    <s v="Technical Degree"/>
    <n v="1"/>
    <n v="65"/>
    <n v="3"/>
    <s v="Male"/>
    <n v="50"/>
    <n v="3"/>
    <n v="1"/>
    <s v="Laboratory Technician"/>
    <n v="3"/>
    <s v="Single"/>
    <n v="3441"/>
    <n v="11179"/>
    <n v="1"/>
    <s v="Y"/>
    <s v="Yes"/>
    <n v="13"/>
    <n v="3"/>
    <n v="3"/>
    <n v="80"/>
    <n v="0"/>
    <n v="2"/>
    <n v="3"/>
    <n v="2"/>
    <n v="2"/>
    <n v="2"/>
    <n v="2"/>
    <n v="2"/>
    <s v="LAB-65"/>
    <x v="2"/>
    <x v="1"/>
    <x v="0"/>
    <n v="2"/>
    <x v="0"/>
  </r>
  <r>
    <n v="44"/>
    <s v="No"/>
    <s v="Travel_Rarely"/>
    <n v="1488"/>
    <x v="0"/>
    <n v="1"/>
    <n v="5"/>
    <s v="Marketing"/>
    <n v="1"/>
    <n v="68"/>
    <n v="2"/>
    <s v="Female"/>
    <n v="75"/>
    <n v="3"/>
    <n v="2"/>
    <s v="Sales Executive"/>
    <n v="1"/>
    <s v="Divorced"/>
    <n v="5454"/>
    <n v="4009"/>
    <n v="5"/>
    <s v="Y"/>
    <s v="Yes"/>
    <n v="21"/>
    <n v="4"/>
    <n v="3"/>
    <n v="80"/>
    <n v="1"/>
    <n v="9"/>
    <n v="2"/>
    <n v="2"/>
    <n v="4"/>
    <n v="3"/>
    <n v="1"/>
    <n v="3"/>
    <s v="LAB-68"/>
    <x v="0"/>
    <x v="0"/>
    <x v="1"/>
    <n v="4"/>
    <x v="0"/>
  </r>
  <r>
    <n v="35"/>
    <s v="No"/>
    <s v="Non-Travel"/>
    <n v="1097"/>
    <x v="1"/>
    <n v="11"/>
    <n v="2"/>
    <s v="Medical"/>
    <n v="1"/>
    <n v="70"/>
    <n v="3"/>
    <s v="Male"/>
    <n v="79"/>
    <n v="2"/>
    <n v="3"/>
    <s v="Healthcare Representative"/>
    <n v="1"/>
    <s v="Married"/>
    <n v="9884"/>
    <n v="8302"/>
    <n v="2"/>
    <s v="Y"/>
    <s v="Yes"/>
    <n v="13"/>
    <n v="3"/>
    <n v="3"/>
    <n v="80"/>
    <n v="1"/>
    <n v="10"/>
    <n v="3"/>
    <n v="3"/>
    <n v="4"/>
    <n v="0"/>
    <n v="2"/>
    <n v="3"/>
    <s v="LAB-70"/>
    <x v="4"/>
    <x v="1"/>
    <x v="1"/>
    <n v="4"/>
    <x v="0"/>
  </r>
  <r>
    <n v="26"/>
    <s v="No"/>
    <s v="Travel_Rarely"/>
    <n v="1443"/>
    <x v="0"/>
    <n v="23"/>
    <n v="3"/>
    <s v="Marketing"/>
    <n v="1"/>
    <n v="72"/>
    <n v="3"/>
    <s v="Female"/>
    <n v="47"/>
    <n v="2"/>
    <n v="2"/>
    <s v="Sales Executive"/>
    <n v="4"/>
    <s v="Married"/>
    <n v="4157"/>
    <n v="21436"/>
    <n v="7"/>
    <s v="Y"/>
    <s v="Yes"/>
    <n v="19"/>
    <n v="3"/>
    <n v="3"/>
    <n v="80"/>
    <n v="1"/>
    <n v="5"/>
    <n v="2"/>
    <n v="2"/>
    <n v="2"/>
    <n v="2"/>
    <n v="0"/>
    <n v="0"/>
    <s v="LAB-72"/>
    <x v="0"/>
    <x v="0"/>
    <x v="1"/>
    <n v="2"/>
    <x v="0"/>
  </r>
  <r>
    <n v="33"/>
    <s v="No"/>
    <s v="Travel_Frequently"/>
    <n v="515"/>
    <x v="1"/>
    <n v="1"/>
    <n v="2"/>
    <s v="Life Sciences"/>
    <n v="1"/>
    <n v="73"/>
    <n v="1"/>
    <s v="Female"/>
    <n v="98"/>
    <n v="3"/>
    <n v="3"/>
    <s v="Research Director"/>
    <n v="4"/>
    <s v="Single"/>
    <n v="13458"/>
    <n v="15146"/>
    <n v="1"/>
    <s v="Y"/>
    <s v="Yes"/>
    <n v="12"/>
    <n v="3"/>
    <n v="3"/>
    <n v="80"/>
    <n v="0"/>
    <n v="15"/>
    <n v="1"/>
    <n v="3"/>
    <n v="15"/>
    <n v="14"/>
    <n v="8"/>
    <n v="12"/>
    <s v="LAB-73"/>
    <x v="7"/>
    <x v="1"/>
    <x v="1"/>
    <n v="15"/>
    <x v="0"/>
  </r>
  <r>
    <n v="35"/>
    <s v="No"/>
    <s v="Travel_Frequently"/>
    <n v="853"/>
    <x v="0"/>
    <n v="18"/>
    <n v="5"/>
    <s v="Life Sciences"/>
    <n v="1"/>
    <n v="74"/>
    <n v="2"/>
    <s v="Male"/>
    <n v="71"/>
    <n v="3"/>
    <n v="3"/>
    <s v="Sales Executive"/>
    <n v="1"/>
    <s v="Married"/>
    <n v="9069"/>
    <n v="11031"/>
    <n v="1"/>
    <s v="Y"/>
    <s v="No"/>
    <n v="22"/>
    <n v="4"/>
    <n v="4"/>
    <n v="80"/>
    <n v="1"/>
    <n v="9"/>
    <n v="3"/>
    <n v="2"/>
    <n v="9"/>
    <n v="8"/>
    <n v="1"/>
    <n v="8"/>
    <s v="LAB-74"/>
    <x v="0"/>
    <x v="0"/>
    <x v="1"/>
    <n v="9"/>
    <x v="0"/>
  </r>
  <r>
    <n v="35"/>
    <s v="No"/>
    <s v="Travel_Rarely"/>
    <n v="1142"/>
    <x v="1"/>
    <n v="23"/>
    <n v="4"/>
    <s v="Medical"/>
    <n v="1"/>
    <n v="75"/>
    <n v="3"/>
    <s v="Female"/>
    <n v="30"/>
    <n v="3"/>
    <n v="1"/>
    <s v="Laboratory Technician"/>
    <n v="1"/>
    <s v="Married"/>
    <n v="4014"/>
    <n v="16002"/>
    <n v="3"/>
    <s v="Y"/>
    <s v="Yes"/>
    <n v="15"/>
    <n v="3"/>
    <n v="3"/>
    <n v="80"/>
    <n v="1"/>
    <n v="4"/>
    <n v="3"/>
    <n v="3"/>
    <n v="2"/>
    <n v="2"/>
    <n v="2"/>
    <n v="2"/>
    <s v="LAB-75"/>
    <x v="2"/>
    <x v="1"/>
    <x v="1"/>
    <n v="2"/>
    <x v="0"/>
  </r>
  <r>
    <n v="31"/>
    <s v="No"/>
    <s v="Travel_Rarely"/>
    <n v="655"/>
    <x v="1"/>
    <n v="7"/>
    <n v="4"/>
    <s v="Life Sciences"/>
    <n v="1"/>
    <n v="76"/>
    <n v="4"/>
    <s v="Male"/>
    <n v="48"/>
    <n v="3"/>
    <n v="2"/>
    <s v="Laboratory Technician"/>
    <n v="4"/>
    <s v="Divorced"/>
    <n v="5915"/>
    <n v="9528"/>
    <n v="3"/>
    <s v="Y"/>
    <s v="No"/>
    <n v="22"/>
    <n v="4"/>
    <n v="4"/>
    <n v="80"/>
    <n v="1"/>
    <n v="10"/>
    <n v="3"/>
    <n v="2"/>
    <n v="7"/>
    <n v="7"/>
    <n v="1"/>
    <n v="7"/>
    <s v="LAB-76"/>
    <x v="2"/>
    <x v="1"/>
    <x v="1"/>
    <n v="7"/>
    <x v="0"/>
  </r>
  <r>
    <n v="37"/>
    <s v="No"/>
    <s v="Travel_Rarely"/>
    <n v="1115"/>
    <x v="1"/>
    <n v="1"/>
    <n v="4"/>
    <s v="Life Sciences"/>
    <n v="1"/>
    <n v="77"/>
    <n v="1"/>
    <s v="Male"/>
    <n v="51"/>
    <n v="2"/>
    <n v="2"/>
    <s v="Manufacturing Director"/>
    <n v="3"/>
    <s v="Divorced"/>
    <n v="5993"/>
    <n v="2689"/>
    <n v="1"/>
    <s v="Y"/>
    <s v="No"/>
    <n v="18"/>
    <n v="3"/>
    <n v="3"/>
    <n v="80"/>
    <n v="1"/>
    <n v="7"/>
    <n v="2"/>
    <n v="4"/>
    <n v="7"/>
    <n v="5"/>
    <n v="0"/>
    <n v="7"/>
    <s v="LAB-77"/>
    <x v="3"/>
    <x v="1"/>
    <x v="1"/>
    <n v="7"/>
    <x v="0"/>
  </r>
  <r>
    <n v="32"/>
    <s v="No"/>
    <s v="Travel_Rarely"/>
    <n v="427"/>
    <x v="1"/>
    <n v="1"/>
    <n v="3"/>
    <s v="Medical"/>
    <n v="1"/>
    <n v="78"/>
    <n v="1"/>
    <s v="Male"/>
    <n v="33"/>
    <n v="3"/>
    <n v="2"/>
    <s v="Manufacturing Director"/>
    <n v="4"/>
    <s v="Married"/>
    <n v="6162"/>
    <n v="10877"/>
    <n v="1"/>
    <s v="Y"/>
    <s v="Yes"/>
    <n v="22"/>
    <n v="4"/>
    <n v="2"/>
    <n v="80"/>
    <n v="1"/>
    <n v="9"/>
    <n v="3"/>
    <n v="3"/>
    <n v="9"/>
    <n v="8"/>
    <n v="7"/>
    <n v="8"/>
    <s v="LAB-78"/>
    <x v="3"/>
    <x v="1"/>
    <x v="1"/>
    <n v="9"/>
    <x v="0"/>
  </r>
  <r>
    <n v="38"/>
    <s v="No"/>
    <s v="Travel_Frequently"/>
    <n v="653"/>
    <x v="1"/>
    <n v="29"/>
    <n v="5"/>
    <s v="Life Sciences"/>
    <n v="1"/>
    <n v="79"/>
    <n v="4"/>
    <s v="Female"/>
    <n v="50"/>
    <n v="3"/>
    <n v="2"/>
    <s v="Laboratory Technician"/>
    <n v="4"/>
    <s v="Single"/>
    <n v="2406"/>
    <n v="5456"/>
    <n v="1"/>
    <s v="Y"/>
    <s v="No"/>
    <n v="11"/>
    <n v="3"/>
    <n v="4"/>
    <n v="80"/>
    <n v="0"/>
    <n v="10"/>
    <n v="2"/>
    <n v="3"/>
    <n v="10"/>
    <n v="3"/>
    <n v="9"/>
    <n v="9"/>
    <s v="LAB-79"/>
    <x v="2"/>
    <x v="1"/>
    <x v="1"/>
    <n v="10"/>
    <x v="0"/>
  </r>
  <r>
    <n v="50"/>
    <s v="No"/>
    <s v="Travel_Rarely"/>
    <n v="989"/>
    <x v="1"/>
    <n v="7"/>
    <n v="2"/>
    <s v="Medical"/>
    <n v="1"/>
    <n v="80"/>
    <n v="2"/>
    <s v="Female"/>
    <n v="43"/>
    <n v="2"/>
    <n v="5"/>
    <s v="Research Director"/>
    <n v="3"/>
    <s v="Divorced"/>
    <n v="18740"/>
    <n v="16701"/>
    <n v="5"/>
    <s v="Y"/>
    <s v="Yes"/>
    <n v="12"/>
    <n v="3"/>
    <n v="4"/>
    <n v="80"/>
    <n v="1"/>
    <n v="29"/>
    <n v="2"/>
    <n v="2"/>
    <n v="27"/>
    <n v="3"/>
    <n v="13"/>
    <n v="8"/>
    <s v="LAB-80"/>
    <x v="7"/>
    <x v="1"/>
    <x v="1"/>
    <n v="27"/>
    <x v="0"/>
  </r>
  <r>
    <n v="59"/>
    <s v="No"/>
    <s v="Travel_Rarely"/>
    <n v="1435"/>
    <x v="0"/>
    <n v="25"/>
    <n v="3"/>
    <s v="Life Sciences"/>
    <n v="1"/>
    <n v="81"/>
    <n v="1"/>
    <s v="Female"/>
    <n v="99"/>
    <n v="3"/>
    <n v="3"/>
    <s v="Sales Executive"/>
    <n v="1"/>
    <s v="Single"/>
    <n v="7637"/>
    <n v="2354"/>
    <n v="7"/>
    <s v="Y"/>
    <s v="No"/>
    <n v="11"/>
    <n v="3"/>
    <n v="4"/>
    <n v="80"/>
    <n v="0"/>
    <n v="28"/>
    <n v="3"/>
    <n v="2"/>
    <n v="21"/>
    <n v="16"/>
    <n v="7"/>
    <n v="9"/>
    <s v="LAB-81"/>
    <x v="0"/>
    <x v="0"/>
    <x v="1"/>
    <n v="21"/>
    <x v="0"/>
  </r>
  <r>
    <n v="36"/>
    <s v="No"/>
    <s v="Travel_Rarely"/>
    <n v="1223"/>
    <x v="1"/>
    <n v="8"/>
    <n v="3"/>
    <s v="Technical Degree"/>
    <n v="1"/>
    <n v="83"/>
    <n v="3"/>
    <s v="Female"/>
    <n v="59"/>
    <n v="3"/>
    <n v="3"/>
    <s v="Healthcare Representative"/>
    <n v="3"/>
    <s v="Divorced"/>
    <n v="10096"/>
    <n v="8202"/>
    <n v="1"/>
    <s v="Y"/>
    <s v="No"/>
    <n v="13"/>
    <n v="3"/>
    <n v="2"/>
    <n v="80"/>
    <n v="3"/>
    <n v="17"/>
    <n v="2"/>
    <n v="3"/>
    <n v="17"/>
    <n v="14"/>
    <n v="12"/>
    <n v="8"/>
    <s v="LAB-83"/>
    <x v="4"/>
    <x v="1"/>
    <x v="1"/>
    <n v="17"/>
    <x v="0"/>
  </r>
  <r>
    <n v="55"/>
    <s v="No"/>
    <s v="Travel_Rarely"/>
    <n v="836"/>
    <x v="1"/>
    <n v="8"/>
    <n v="3"/>
    <s v="Medical"/>
    <n v="1"/>
    <n v="84"/>
    <n v="4"/>
    <s v="Female"/>
    <n v="33"/>
    <n v="3"/>
    <n v="4"/>
    <s v="Manager"/>
    <n v="3"/>
    <s v="Divorced"/>
    <n v="14756"/>
    <n v="19730"/>
    <n v="2"/>
    <s v="Y"/>
    <s v="Yes"/>
    <n v="14"/>
    <n v="3"/>
    <n v="3"/>
    <n v="80"/>
    <n v="3"/>
    <n v="21"/>
    <n v="2"/>
    <n v="3"/>
    <n v="5"/>
    <n v="0"/>
    <n v="0"/>
    <n v="2"/>
    <s v="LAB-84"/>
    <x v="5"/>
    <x v="1"/>
    <x v="1"/>
    <n v="5"/>
    <x v="0"/>
  </r>
  <r>
    <n v="36"/>
    <s v="No"/>
    <s v="Travel_Frequently"/>
    <n v="1195"/>
    <x v="1"/>
    <n v="11"/>
    <n v="3"/>
    <s v="Life Sciences"/>
    <n v="1"/>
    <n v="85"/>
    <n v="2"/>
    <s v="Male"/>
    <n v="95"/>
    <n v="2"/>
    <n v="2"/>
    <s v="Manufacturing Director"/>
    <n v="2"/>
    <s v="Single"/>
    <n v="6499"/>
    <n v="22656"/>
    <n v="1"/>
    <s v="Y"/>
    <s v="No"/>
    <n v="13"/>
    <n v="3"/>
    <n v="3"/>
    <n v="80"/>
    <n v="0"/>
    <n v="6"/>
    <n v="3"/>
    <n v="3"/>
    <n v="6"/>
    <n v="5"/>
    <n v="0"/>
    <n v="3"/>
    <s v="LAB-85"/>
    <x v="3"/>
    <x v="1"/>
    <x v="1"/>
    <n v="6"/>
    <x v="0"/>
  </r>
  <r>
    <n v="45"/>
    <s v="No"/>
    <s v="Travel_Rarely"/>
    <n v="1339"/>
    <x v="1"/>
    <n v="7"/>
    <n v="3"/>
    <s v="Life Sciences"/>
    <n v="1"/>
    <n v="86"/>
    <n v="2"/>
    <s v="Male"/>
    <n v="59"/>
    <n v="3"/>
    <n v="3"/>
    <s v="Research Scientist"/>
    <n v="1"/>
    <s v="Divorced"/>
    <n v="9724"/>
    <n v="18787"/>
    <n v="2"/>
    <s v="Y"/>
    <s v="No"/>
    <n v="17"/>
    <n v="3"/>
    <n v="3"/>
    <n v="80"/>
    <n v="1"/>
    <n v="25"/>
    <n v="2"/>
    <n v="3"/>
    <n v="1"/>
    <n v="0"/>
    <n v="0"/>
    <n v="0"/>
    <s v="LAB-86"/>
    <x v="1"/>
    <x v="1"/>
    <x v="1"/>
    <n v="1"/>
    <x v="0"/>
  </r>
  <r>
    <n v="35"/>
    <s v="No"/>
    <s v="Travel_Frequently"/>
    <n v="664"/>
    <x v="1"/>
    <n v="1"/>
    <n v="3"/>
    <s v="Medical"/>
    <n v="1"/>
    <n v="88"/>
    <n v="2"/>
    <s v="Male"/>
    <n v="79"/>
    <n v="3"/>
    <n v="1"/>
    <s v="Research Scientist"/>
    <n v="1"/>
    <s v="Married"/>
    <n v="2194"/>
    <n v="5868"/>
    <n v="4"/>
    <s v="Y"/>
    <s v="No"/>
    <n v="13"/>
    <n v="3"/>
    <n v="4"/>
    <n v="80"/>
    <n v="1"/>
    <n v="5"/>
    <n v="2"/>
    <n v="2"/>
    <n v="3"/>
    <n v="2"/>
    <n v="1"/>
    <n v="2"/>
    <s v="LAB-88"/>
    <x v="1"/>
    <x v="1"/>
    <x v="1"/>
    <n v="3"/>
    <x v="0"/>
  </r>
  <r>
    <n v="36"/>
    <s v="Yes"/>
    <s v="Travel_Rarely"/>
    <n v="318"/>
    <x v="1"/>
    <n v="9"/>
    <n v="3"/>
    <s v="Medical"/>
    <n v="1"/>
    <n v="90"/>
    <n v="4"/>
    <s v="Male"/>
    <n v="79"/>
    <n v="2"/>
    <n v="1"/>
    <s v="Research Scientist"/>
    <n v="3"/>
    <s v="Married"/>
    <n v="3388"/>
    <n v="21777"/>
    <n v="0"/>
    <s v="Y"/>
    <s v="Yes"/>
    <n v="17"/>
    <n v="3"/>
    <n v="1"/>
    <n v="80"/>
    <n v="1"/>
    <n v="2"/>
    <n v="0"/>
    <n v="2"/>
    <n v="1"/>
    <n v="0"/>
    <n v="0"/>
    <n v="0"/>
    <s v="LAB-90"/>
    <x v="1"/>
    <x v="1"/>
    <x v="0"/>
    <n v="1"/>
    <x v="0"/>
  </r>
  <r>
    <n v="59"/>
    <s v="No"/>
    <s v="Travel_Frequently"/>
    <n v="1225"/>
    <x v="0"/>
    <n v="1"/>
    <n v="1"/>
    <s v="Life Sciences"/>
    <n v="1"/>
    <n v="91"/>
    <n v="1"/>
    <s v="Female"/>
    <n v="57"/>
    <n v="2"/>
    <n v="2"/>
    <s v="Sales Executive"/>
    <n v="3"/>
    <s v="Single"/>
    <n v="5473"/>
    <n v="24668"/>
    <n v="7"/>
    <s v="Y"/>
    <s v="No"/>
    <n v="11"/>
    <n v="3"/>
    <n v="4"/>
    <n v="80"/>
    <n v="0"/>
    <n v="20"/>
    <n v="2"/>
    <n v="2"/>
    <n v="4"/>
    <n v="3"/>
    <n v="1"/>
    <n v="3"/>
    <s v="LAB-91"/>
    <x v="0"/>
    <x v="0"/>
    <x v="1"/>
    <n v="4"/>
    <x v="0"/>
  </r>
  <r>
    <n v="29"/>
    <s v="No"/>
    <s v="Travel_Rarely"/>
    <n v="1328"/>
    <x v="1"/>
    <n v="2"/>
    <n v="3"/>
    <s v="Life Sciences"/>
    <n v="1"/>
    <n v="94"/>
    <n v="3"/>
    <s v="Male"/>
    <n v="76"/>
    <n v="3"/>
    <n v="1"/>
    <s v="Research Scientist"/>
    <n v="2"/>
    <s v="Married"/>
    <n v="2703"/>
    <n v="4956"/>
    <n v="0"/>
    <s v="Y"/>
    <s v="No"/>
    <n v="23"/>
    <n v="4"/>
    <n v="4"/>
    <n v="80"/>
    <n v="1"/>
    <n v="6"/>
    <n v="3"/>
    <n v="3"/>
    <n v="5"/>
    <n v="4"/>
    <n v="0"/>
    <n v="4"/>
    <s v="LAB-94"/>
    <x v="1"/>
    <x v="1"/>
    <x v="1"/>
    <n v="5"/>
    <x v="0"/>
  </r>
  <r>
    <n v="31"/>
    <s v="No"/>
    <s v="Travel_Rarely"/>
    <n v="1082"/>
    <x v="1"/>
    <n v="1"/>
    <n v="4"/>
    <s v="Medical"/>
    <n v="1"/>
    <n v="95"/>
    <n v="3"/>
    <s v="Male"/>
    <n v="87"/>
    <n v="3"/>
    <n v="1"/>
    <s v="Research Scientist"/>
    <n v="2"/>
    <s v="Single"/>
    <n v="2501"/>
    <n v="18775"/>
    <n v="1"/>
    <s v="Y"/>
    <s v="No"/>
    <n v="17"/>
    <n v="3"/>
    <n v="2"/>
    <n v="80"/>
    <n v="0"/>
    <n v="1"/>
    <n v="4"/>
    <n v="3"/>
    <n v="1"/>
    <n v="1"/>
    <n v="1"/>
    <n v="0"/>
    <s v="LAB-95"/>
    <x v="1"/>
    <x v="1"/>
    <x v="1"/>
    <n v="1"/>
    <x v="0"/>
  </r>
  <r>
    <n v="32"/>
    <s v="No"/>
    <s v="Travel_Rarely"/>
    <n v="548"/>
    <x v="1"/>
    <n v="1"/>
    <n v="3"/>
    <s v="Life Sciences"/>
    <n v="1"/>
    <n v="96"/>
    <n v="2"/>
    <s v="Male"/>
    <n v="66"/>
    <n v="3"/>
    <n v="2"/>
    <s v="Research Scientist"/>
    <n v="2"/>
    <s v="Married"/>
    <n v="6220"/>
    <n v="7346"/>
    <n v="1"/>
    <s v="Y"/>
    <s v="No"/>
    <n v="17"/>
    <n v="3"/>
    <n v="2"/>
    <n v="80"/>
    <n v="2"/>
    <n v="10"/>
    <n v="3"/>
    <n v="3"/>
    <n v="10"/>
    <n v="4"/>
    <n v="0"/>
    <n v="9"/>
    <s v="LAB-96"/>
    <x v="1"/>
    <x v="1"/>
    <x v="1"/>
    <n v="10"/>
    <x v="0"/>
  </r>
  <r>
    <n v="36"/>
    <s v="No"/>
    <s v="Travel_Rarely"/>
    <n v="132"/>
    <x v="1"/>
    <n v="6"/>
    <n v="3"/>
    <s v="Life Sciences"/>
    <n v="1"/>
    <n v="97"/>
    <n v="2"/>
    <s v="Female"/>
    <n v="55"/>
    <n v="4"/>
    <n v="1"/>
    <s v="Laboratory Technician"/>
    <n v="4"/>
    <s v="Married"/>
    <n v="3038"/>
    <n v="22002"/>
    <n v="3"/>
    <s v="Y"/>
    <s v="No"/>
    <n v="12"/>
    <n v="3"/>
    <n v="2"/>
    <n v="80"/>
    <n v="0"/>
    <n v="5"/>
    <n v="3"/>
    <n v="3"/>
    <n v="1"/>
    <n v="0"/>
    <n v="0"/>
    <n v="0"/>
    <s v="LAB-97"/>
    <x v="2"/>
    <x v="1"/>
    <x v="1"/>
    <n v="1"/>
    <x v="0"/>
  </r>
  <r>
    <n v="31"/>
    <s v="No"/>
    <s v="Travel_Rarely"/>
    <n v="746"/>
    <x v="1"/>
    <n v="8"/>
    <n v="4"/>
    <s v="Life Sciences"/>
    <n v="1"/>
    <n v="98"/>
    <n v="3"/>
    <s v="Female"/>
    <n v="61"/>
    <n v="3"/>
    <n v="2"/>
    <s v="Manufacturing Director"/>
    <n v="4"/>
    <s v="Single"/>
    <n v="4424"/>
    <n v="20682"/>
    <n v="1"/>
    <s v="Y"/>
    <s v="No"/>
    <n v="23"/>
    <n v="4"/>
    <n v="4"/>
    <n v="80"/>
    <n v="0"/>
    <n v="11"/>
    <n v="2"/>
    <n v="3"/>
    <n v="11"/>
    <n v="7"/>
    <n v="1"/>
    <n v="8"/>
    <s v="LAB-98"/>
    <x v="3"/>
    <x v="1"/>
    <x v="1"/>
    <n v="11"/>
    <x v="0"/>
  </r>
  <r>
    <n v="35"/>
    <s v="No"/>
    <s v="Travel_Rarely"/>
    <n v="776"/>
    <x v="0"/>
    <n v="1"/>
    <n v="4"/>
    <s v="Marketing"/>
    <n v="1"/>
    <n v="100"/>
    <n v="3"/>
    <s v="Male"/>
    <n v="32"/>
    <n v="2"/>
    <n v="2"/>
    <s v="Sales Executive"/>
    <n v="1"/>
    <s v="Single"/>
    <n v="4312"/>
    <n v="23016"/>
    <n v="0"/>
    <s v="Y"/>
    <s v="No"/>
    <n v="14"/>
    <n v="3"/>
    <n v="2"/>
    <n v="80"/>
    <n v="0"/>
    <n v="16"/>
    <n v="2"/>
    <n v="3"/>
    <n v="15"/>
    <n v="13"/>
    <n v="2"/>
    <n v="8"/>
    <s v="LAB-100"/>
    <x v="0"/>
    <x v="0"/>
    <x v="1"/>
    <n v="15"/>
    <x v="0"/>
  </r>
  <r>
    <n v="45"/>
    <s v="No"/>
    <s v="Travel_Rarely"/>
    <n v="193"/>
    <x v="1"/>
    <n v="6"/>
    <n v="4"/>
    <s v="Other"/>
    <n v="1"/>
    <n v="101"/>
    <n v="4"/>
    <s v="Male"/>
    <n v="52"/>
    <n v="3"/>
    <n v="3"/>
    <s v="Research Director"/>
    <n v="1"/>
    <s v="Married"/>
    <n v="13245"/>
    <n v="15067"/>
    <n v="4"/>
    <s v="Y"/>
    <s v="Yes"/>
    <n v="14"/>
    <n v="3"/>
    <n v="2"/>
    <n v="80"/>
    <n v="0"/>
    <n v="17"/>
    <n v="3"/>
    <n v="4"/>
    <n v="0"/>
    <n v="0"/>
    <n v="0"/>
    <n v="0"/>
    <s v="LAB-101"/>
    <x v="7"/>
    <x v="1"/>
    <x v="1"/>
    <n v="0"/>
    <x v="0"/>
  </r>
  <r>
    <n v="37"/>
    <s v="No"/>
    <s v="Travel_Rarely"/>
    <n v="397"/>
    <x v="1"/>
    <n v="7"/>
    <n v="4"/>
    <s v="Medical"/>
    <n v="1"/>
    <n v="102"/>
    <n v="1"/>
    <s v="Male"/>
    <n v="30"/>
    <n v="3"/>
    <n v="3"/>
    <s v="Research Director"/>
    <n v="3"/>
    <s v="Single"/>
    <n v="13664"/>
    <n v="25258"/>
    <n v="4"/>
    <s v="Y"/>
    <s v="No"/>
    <n v="13"/>
    <n v="3"/>
    <n v="1"/>
    <n v="80"/>
    <n v="0"/>
    <n v="16"/>
    <n v="3"/>
    <n v="4"/>
    <n v="5"/>
    <n v="2"/>
    <n v="0"/>
    <n v="2"/>
    <s v="LAB-102"/>
    <x v="7"/>
    <x v="1"/>
    <x v="1"/>
    <n v="5"/>
    <x v="0"/>
  </r>
  <r>
    <n v="46"/>
    <s v="No"/>
    <s v="Travel_Rarely"/>
    <n v="945"/>
    <x v="2"/>
    <n v="5"/>
    <n v="2"/>
    <s v="Medical"/>
    <n v="1"/>
    <n v="103"/>
    <n v="2"/>
    <s v="Male"/>
    <n v="80"/>
    <n v="3"/>
    <n v="2"/>
    <s v="Human Resources"/>
    <n v="2"/>
    <s v="Divorced"/>
    <n v="5021"/>
    <n v="10425"/>
    <n v="8"/>
    <s v="Y"/>
    <s v="Yes"/>
    <n v="22"/>
    <n v="4"/>
    <n v="4"/>
    <n v="80"/>
    <n v="1"/>
    <n v="16"/>
    <n v="2"/>
    <n v="3"/>
    <n v="4"/>
    <n v="2"/>
    <n v="0"/>
    <n v="2"/>
    <s v="LAB-103"/>
    <x v="8"/>
    <x v="2"/>
    <x v="1"/>
    <n v="4"/>
    <x v="0"/>
  </r>
  <r>
    <n v="30"/>
    <s v="No"/>
    <s v="Travel_Rarely"/>
    <n v="852"/>
    <x v="1"/>
    <n v="1"/>
    <n v="1"/>
    <s v="Life Sciences"/>
    <n v="1"/>
    <n v="104"/>
    <n v="4"/>
    <s v="Male"/>
    <n v="55"/>
    <n v="2"/>
    <n v="2"/>
    <s v="Laboratory Technician"/>
    <n v="4"/>
    <s v="Married"/>
    <n v="5126"/>
    <n v="15998"/>
    <n v="1"/>
    <s v="Y"/>
    <s v="Yes"/>
    <n v="12"/>
    <n v="3"/>
    <n v="3"/>
    <n v="80"/>
    <n v="2"/>
    <n v="10"/>
    <n v="1"/>
    <n v="2"/>
    <n v="10"/>
    <n v="8"/>
    <n v="3"/>
    <n v="0"/>
    <s v="LAB-104"/>
    <x v="2"/>
    <x v="1"/>
    <x v="1"/>
    <n v="10"/>
    <x v="0"/>
  </r>
  <r>
    <n v="35"/>
    <s v="No"/>
    <s v="Travel_Rarely"/>
    <n v="1214"/>
    <x v="1"/>
    <n v="1"/>
    <n v="3"/>
    <s v="Medical"/>
    <n v="1"/>
    <n v="105"/>
    <n v="2"/>
    <s v="Male"/>
    <n v="30"/>
    <n v="2"/>
    <n v="1"/>
    <s v="Research Scientist"/>
    <n v="3"/>
    <s v="Single"/>
    <n v="2859"/>
    <n v="26278"/>
    <n v="1"/>
    <s v="Y"/>
    <s v="No"/>
    <n v="18"/>
    <n v="3"/>
    <n v="1"/>
    <n v="80"/>
    <n v="0"/>
    <n v="6"/>
    <n v="3"/>
    <n v="3"/>
    <n v="6"/>
    <n v="4"/>
    <n v="0"/>
    <n v="4"/>
    <s v="LAB-105"/>
    <x v="1"/>
    <x v="1"/>
    <x v="1"/>
    <n v="6"/>
    <x v="0"/>
  </r>
  <r>
    <n v="55"/>
    <s v="No"/>
    <s v="Travel_Rarely"/>
    <n v="111"/>
    <x v="0"/>
    <n v="1"/>
    <n v="2"/>
    <s v="Life Sciences"/>
    <n v="1"/>
    <n v="106"/>
    <n v="1"/>
    <s v="Male"/>
    <n v="70"/>
    <n v="3"/>
    <n v="3"/>
    <s v="Sales Executive"/>
    <n v="4"/>
    <s v="Married"/>
    <n v="10239"/>
    <n v="18092"/>
    <n v="3"/>
    <s v="Y"/>
    <s v="No"/>
    <n v="14"/>
    <n v="3"/>
    <n v="4"/>
    <n v="80"/>
    <n v="1"/>
    <n v="24"/>
    <n v="4"/>
    <n v="3"/>
    <n v="1"/>
    <n v="0"/>
    <n v="1"/>
    <n v="0"/>
    <s v="LAB-106"/>
    <x v="0"/>
    <x v="0"/>
    <x v="1"/>
    <n v="1"/>
    <x v="0"/>
  </r>
  <r>
    <n v="38"/>
    <s v="No"/>
    <s v="Non-Travel"/>
    <n v="573"/>
    <x v="1"/>
    <n v="6"/>
    <n v="3"/>
    <s v="Medical"/>
    <n v="1"/>
    <n v="107"/>
    <n v="2"/>
    <s v="Female"/>
    <n v="79"/>
    <n v="1"/>
    <n v="2"/>
    <s v="Research Scientist"/>
    <n v="4"/>
    <s v="Divorced"/>
    <n v="5329"/>
    <n v="15717"/>
    <n v="7"/>
    <s v="Y"/>
    <s v="Yes"/>
    <n v="12"/>
    <n v="3"/>
    <n v="4"/>
    <n v="80"/>
    <n v="3"/>
    <n v="17"/>
    <n v="3"/>
    <n v="3"/>
    <n v="13"/>
    <n v="11"/>
    <n v="1"/>
    <n v="9"/>
    <s v="LAB-107"/>
    <x v="1"/>
    <x v="1"/>
    <x v="1"/>
    <n v="13"/>
    <x v="0"/>
  </r>
  <r>
    <n v="34"/>
    <s v="No"/>
    <s v="Travel_Rarely"/>
    <n v="1153"/>
    <x v="1"/>
    <n v="1"/>
    <n v="2"/>
    <s v="Medical"/>
    <n v="1"/>
    <n v="110"/>
    <n v="1"/>
    <s v="Male"/>
    <n v="94"/>
    <n v="3"/>
    <n v="2"/>
    <s v="Manufacturing Director"/>
    <n v="2"/>
    <s v="Married"/>
    <n v="4325"/>
    <n v="17736"/>
    <n v="1"/>
    <s v="Y"/>
    <s v="No"/>
    <n v="15"/>
    <n v="3"/>
    <n v="3"/>
    <n v="80"/>
    <n v="0"/>
    <n v="5"/>
    <n v="2"/>
    <n v="3"/>
    <n v="5"/>
    <n v="2"/>
    <n v="1"/>
    <n v="3"/>
    <s v="LAB-110"/>
    <x v="3"/>
    <x v="1"/>
    <x v="1"/>
    <n v="5"/>
    <x v="0"/>
  </r>
  <r>
    <n v="56"/>
    <s v="No"/>
    <s v="Travel_Rarely"/>
    <n v="1400"/>
    <x v="1"/>
    <n v="7"/>
    <n v="3"/>
    <s v="Life Sciences"/>
    <n v="1"/>
    <n v="112"/>
    <n v="4"/>
    <s v="Male"/>
    <n v="49"/>
    <n v="1"/>
    <n v="3"/>
    <s v="Manufacturing Director"/>
    <n v="4"/>
    <s v="Single"/>
    <n v="7260"/>
    <n v="21698"/>
    <n v="4"/>
    <s v="Y"/>
    <s v="No"/>
    <n v="11"/>
    <n v="3"/>
    <n v="1"/>
    <n v="80"/>
    <n v="0"/>
    <n v="37"/>
    <n v="3"/>
    <n v="2"/>
    <n v="6"/>
    <n v="4"/>
    <n v="0"/>
    <n v="2"/>
    <s v="LAB-112"/>
    <x v="3"/>
    <x v="1"/>
    <x v="1"/>
    <n v="6"/>
    <x v="0"/>
  </r>
  <r>
    <n v="23"/>
    <s v="No"/>
    <s v="Travel_Rarely"/>
    <n v="541"/>
    <x v="0"/>
    <n v="2"/>
    <n v="1"/>
    <s v="Technical Degree"/>
    <n v="1"/>
    <n v="113"/>
    <n v="3"/>
    <s v="Male"/>
    <n v="62"/>
    <n v="3"/>
    <n v="1"/>
    <s v="Sales Representative"/>
    <n v="1"/>
    <s v="Divorced"/>
    <n v="2322"/>
    <n v="9518"/>
    <n v="3"/>
    <s v="Y"/>
    <s v="No"/>
    <n v="13"/>
    <n v="3"/>
    <n v="3"/>
    <n v="80"/>
    <n v="1"/>
    <n v="3"/>
    <n v="3"/>
    <n v="3"/>
    <n v="0"/>
    <n v="0"/>
    <n v="0"/>
    <n v="0"/>
    <s v="LAB-113"/>
    <x v="6"/>
    <x v="0"/>
    <x v="1"/>
    <n v="0"/>
    <x v="0"/>
  </r>
  <r>
    <n v="51"/>
    <s v="No"/>
    <s v="Travel_Rarely"/>
    <n v="432"/>
    <x v="1"/>
    <n v="9"/>
    <n v="4"/>
    <s v="Life Sciences"/>
    <n v="1"/>
    <n v="116"/>
    <n v="4"/>
    <s v="Male"/>
    <n v="96"/>
    <n v="3"/>
    <n v="1"/>
    <s v="Laboratory Technician"/>
    <n v="4"/>
    <s v="Married"/>
    <n v="2075"/>
    <n v="18725"/>
    <n v="3"/>
    <s v="Y"/>
    <s v="No"/>
    <n v="23"/>
    <n v="4"/>
    <n v="2"/>
    <n v="80"/>
    <n v="2"/>
    <n v="10"/>
    <n v="4"/>
    <n v="3"/>
    <n v="4"/>
    <n v="2"/>
    <n v="0"/>
    <n v="3"/>
    <s v="LAB-116"/>
    <x v="2"/>
    <x v="1"/>
    <x v="1"/>
    <n v="4"/>
    <x v="0"/>
  </r>
  <r>
    <n v="30"/>
    <s v="No"/>
    <s v="Travel_Rarely"/>
    <n v="288"/>
    <x v="1"/>
    <n v="2"/>
    <n v="3"/>
    <s v="Life Sciences"/>
    <n v="1"/>
    <n v="117"/>
    <n v="3"/>
    <s v="Male"/>
    <n v="99"/>
    <n v="2"/>
    <n v="2"/>
    <s v="Healthcare Representative"/>
    <n v="4"/>
    <s v="Married"/>
    <n v="4152"/>
    <n v="15830"/>
    <n v="1"/>
    <s v="Y"/>
    <s v="No"/>
    <n v="19"/>
    <n v="3"/>
    <n v="1"/>
    <n v="80"/>
    <n v="3"/>
    <n v="11"/>
    <n v="3"/>
    <n v="3"/>
    <n v="11"/>
    <n v="10"/>
    <n v="10"/>
    <n v="8"/>
    <s v="LAB-117"/>
    <x v="4"/>
    <x v="1"/>
    <x v="1"/>
    <n v="11"/>
    <x v="0"/>
  </r>
  <r>
    <n v="46"/>
    <s v="Yes"/>
    <s v="Travel_Rarely"/>
    <n v="669"/>
    <x v="0"/>
    <n v="9"/>
    <n v="2"/>
    <s v="Medical"/>
    <n v="1"/>
    <n v="118"/>
    <n v="3"/>
    <s v="Male"/>
    <n v="64"/>
    <n v="2"/>
    <n v="3"/>
    <s v="Sales Executive"/>
    <n v="4"/>
    <s v="Single"/>
    <n v="9619"/>
    <n v="13596"/>
    <n v="1"/>
    <s v="Y"/>
    <s v="No"/>
    <n v="16"/>
    <n v="3"/>
    <n v="4"/>
    <n v="80"/>
    <n v="0"/>
    <n v="9"/>
    <n v="3"/>
    <n v="3"/>
    <n v="9"/>
    <n v="8"/>
    <n v="4"/>
    <n v="7"/>
    <s v="LAB-118"/>
    <x v="0"/>
    <x v="0"/>
    <x v="0"/>
    <n v="9"/>
    <x v="0"/>
  </r>
  <r>
    <n v="40"/>
    <s v="No"/>
    <s v="Travel_Frequently"/>
    <n v="530"/>
    <x v="1"/>
    <n v="1"/>
    <n v="4"/>
    <s v="Life Sciences"/>
    <n v="1"/>
    <n v="119"/>
    <n v="3"/>
    <s v="Male"/>
    <n v="78"/>
    <n v="2"/>
    <n v="4"/>
    <s v="Healthcare Representative"/>
    <n v="2"/>
    <s v="Married"/>
    <n v="13503"/>
    <n v="14115"/>
    <n v="1"/>
    <s v="Y"/>
    <s v="No"/>
    <n v="22"/>
    <n v="4"/>
    <n v="4"/>
    <n v="80"/>
    <n v="1"/>
    <n v="22"/>
    <n v="3"/>
    <n v="2"/>
    <n v="22"/>
    <n v="3"/>
    <n v="11"/>
    <n v="11"/>
    <s v="LAB-119"/>
    <x v="4"/>
    <x v="1"/>
    <x v="1"/>
    <n v="22"/>
    <x v="0"/>
  </r>
  <r>
    <n v="51"/>
    <s v="No"/>
    <s v="Travel_Rarely"/>
    <n v="632"/>
    <x v="0"/>
    <n v="21"/>
    <n v="4"/>
    <s v="Marketing"/>
    <n v="1"/>
    <n v="120"/>
    <n v="3"/>
    <s v="Male"/>
    <n v="71"/>
    <n v="3"/>
    <n v="2"/>
    <s v="Sales Executive"/>
    <n v="4"/>
    <s v="Single"/>
    <n v="5441"/>
    <n v="8423"/>
    <n v="0"/>
    <s v="Y"/>
    <s v="Yes"/>
    <n v="22"/>
    <n v="4"/>
    <n v="4"/>
    <n v="80"/>
    <n v="0"/>
    <n v="11"/>
    <n v="2"/>
    <n v="1"/>
    <n v="10"/>
    <n v="7"/>
    <n v="1"/>
    <n v="0"/>
    <s v="LAB-120"/>
    <x v="0"/>
    <x v="0"/>
    <x v="1"/>
    <n v="10"/>
    <x v="0"/>
  </r>
  <r>
    <n v="30"/>
    <s v="No"/>
    <s v="Travel_Rarely"/>
    <n v="1334"/>
    <x v="0"/>
    <n v="4"/>
    <n v="2"/>
    <s v="Medical"/>
    <n v="1"/>
    <n v="121"/>
    <n v="3"/>
    <s v="Female"/>
    <n v="63"/>
    <n v="2"/>
    <n v="2"/>
    <s v="Sales Executive"/>
    <n v="2"/>
    <s v="Divorced"/>
    <n v="5209"/>
    <n v="19760"/>
    <n v="1"/>
    <s v="Y"/>
    <s v="Yes"/>
    <n v="12"/>
    <n v="3"/>
    <n v="2"/>
    <n v="80"/>
    <n v="3"/>
    <n v="11"/>
    <n v="4"/>
    <n v="2"/>
    <n v="11"/>
    <n v="8"/>
    <n v="2"/>
    <n v="7"/>
    <s v="LAB-121"/>
    <x v="0"/>
    <x v="0"/>
    <x v="1"/>
    <n v="11"/>
    <x v="0"/>
  </r>
  <r>
    <n v="46"/>
    <s v="No"/>
    <s v="Travel_Frequently"/>
    <n v="638"/>
    <x v="1"/>
    <n v="1"/>
    <n v="3"/>
    <s v="Medical"/>
    <n v="1"/>
    <n v="124"/>
    <n v="3"/>
    <s v="Male"/>
    <n v="40"/>
    <n v="2"/>
    <n v="3"/>
    <s v="Healthcare Representative"/>
    <n v="1"/>
    <s v="Married"/>
    <n v="10673"/>
    <n v="3142"/>
    <n v="2"/>
    <s v="Y"/>
    <s v="Yes"/>
    <n v="13"/>
    <n v="3"/>
    <n v="3"/>
    <n v="80"/>
    <n v="1"/>
    <n v="21"/>
    <n v="5"/>
    <n v="2"/>
    <n v="10"/>
    <n v="9"/>
    <n v="9"/>
    <n v="5"/>
    <s v="LAB-124"/>
    <x v="4"/>
    <x v="1"/>
    <x v="1"/>
    <n v="10"/>
    <x v="0"/>
  </r>
  <r>
    <n v="32"/>
    <s v="No"/>
    <s v="Travel_Rarely"/>
    <n v="1093"/>
    <x v="0"/>
    <n v="6"/>
    <n v="4"/>
    <s v="Medical"/>
    <n v="1"/>
    <n v="125"/>
    <n v="2"/>
    <s v="Male"/>
    <n v="87"/>
    <n v="3"/>
    <n v="2"/>
    <s v="Sales Executive"/>
    <n v="3"/>
    <s v="Single"/>
    <n v="5010"/>
    <n v="24301"/>
    <n v="1"/>
    <s v="Y"/>
    <s v="No"/>
    <n v="16"/>
    <n v="3"/>
    <n v="1"/>
    <n v="80"/>
    <n v="0"/>
    <n v="12"/>
    <n v="0"/>
    <n v="3"/>
    <n v="11"/>
    <n v="8"/>
    <n v="5"/>
    <n v="7"/>
    <s v="LAB-125"/>
    <x v="0"/>
    <x v="0"/>
    <x v="1"/>
    <n v="11"/>
    <x v="0"/>
  </r>
  <r>
    <n v="54"/>
    <s v="No"/>
    <s v="Travel_Rarely"/>
    <n v="1217"/>
    <x v="1"/>
    <n v="2"/>
    <n v="4"/>
    <s v="Technical Degree"/>
    <n v="1"/>
    <n v="126"/>
    <n v="1"/>
    <s v="Female"/>
    <n v="60"/>
    <n v="3"/>
    <n v="3"/>
    <s v="Research Director"/>
    <n v="3"/>
    <s v="Married"/>
    <n v="13549"/>
    <n v="24001"/>
    <n v="9"/>
    <s v="Y"/>
    <s v="No"/>
    <n v="12"/>
    <n v="3"/>
    <n v="1"/>
    <n v="80"/>
    <n v="1"/>
    <n v="16"/>
    <n v="5"/>
    <n v="1"/>
    <n v="4"/>
    <n v="3"/>
    <n v="0"/>
    <n v="3"/>
    <s v="LAB-126"/>
    <x v="7"/>
    <x v="1"/>
    <x v="1"/>
    <n v="4"/>
    <x v="0"/>
  </r>
  <r>
    <n v="24"/>
    <s v="No"/>
    <s v="Travel_Rarely"/>
    <n v="1353"/>
    <x v="0"/>
    <n v="3"/>
    <n v="2"/>
    <s v="Other"/>
    <n v="1"/>
    <n v="128"/>
    <n v="1"/>
    <s v="Female"/>
    <n v="33"/>
    <n v="3"/>
    <n v="2"/>
    <s v="Sales Executive"/>
    <n v="3"/>
    <s v="Married"/>
    <n v="4999"/>
    <n v="17519"/>
    <n v="0"/>
    <s v="Y"/>
    <s v="No"/>
    <n v="21"/>
    <n v="4"/>
    <n v="1"/>
    <n v="80"/>
    <n v="1"/>
    <n v="4"/>
    <n v="2"/>
    <n v="2"/>
    <n v="3"/>
    <n v="2"/>
    <n v="0"/>
    <n v="2"/>
    <s v="LAB-128"/>
    <x v="0"/>
    <x v="0"/>
    <x v="1"/>
    <n v="3"/>
    <x v="0"/>
  </r>
  <r>
    <n v="28"/>
    <s v="No"/>
    <s v="Non-Travel"/>
    <n v="120"/>
    <x v="0"/>
    <n v="4"/>
    <n v="3"/>
    <s v="Medical"/>
    <n v="1"/>
    <n v="129"/>
    <n v="2"/>
    <s v="Male"/>
    <n v="43"/>
    <n v="3"/>
    <n v="2"/>
    <s v="Sales Executive"/>
    <n v="3"/>
    <s v="Married"/>
    <n v="4221"/>
    <n v="8863"/>
    <n v="1"/>
    <s v="Y"/>
    <s v="No"/>
    <n v="15"/>
    <n v="3"/>
    <n v="2"/>
    <n v="80"/>
    <n v="0"/>
    <n v="5"/>
    <n v="3"/>
    <n v="4"/>
    <n v="5"/>
    <n v="4"/>
    <n v="0"/>
    <n v="4"/>
    <s v="LAB-129"/>
    <x v="0"/>
    <x v="0"/>
    <x v="1"/>
    <n v="5"/>
    <x v="0"/>
  </r>
  <r>
    <n v="58"/>
    <s v="No"/>
    <s v="Travel_Rarely"/>
    <n v="682"/>
    <x v="0"/>
    <n v="10"/>
    <n v="4"/>
    <s v="Medical"/>
    <n v="1"/>
    <n v="131"/>
    <n v="4"/>
    <s v="Male"/>
    <n v="37"/>
    <n v="3"/>
    <n v="4"/>
    <s v="Sales Executive"/>
    <n v="3"/>
    <s v="Single"/>
    <n v="13872"/>
    <n v="24409"/>
    <n v="0"/>
    <s v="Y"/>
    <s v="No"/>
    <n v="13"/>
    <n v="3"/>
    <n v="3"/>
    <n v="80"/>
    <n v="0"/>
    <n v="38"/>
    <n v="1"/>
    <n v="2"/>
    <n v="37"/>
    <n v="10"/>
    <n v="1"/>
    <n v="8"/>
    <s v="LAB-131"/>
    <x v="0"/>
    <x v="0"/>
    <x v="1"/>
    <n v="37"/>
    <x v="0"/>
  </r>
  <r>
    <n v="44"/>
    <s v="No"/>
    <s v="Non-Travel"/>
    <n v="489"/>
    <x v="1"/>
    <n v="23"/>
    <n v="3"/>
    <s v="Medical"/>
    <n v="1"/>
    <n v="132"/>
    <n v="2"/>
    <s v="Male"/>
    <n v="67"/>
    <n v="3"/>
    <n v="2"/>
    <s v="Laboratory Technician"/>
    <n v="2"/>
    <s v="Married"/>
    <n v="2042"/>
    <n v="25043"/>
    <n v="4"/>
    <s v="Y"/>
    <s v="No"/>
    <n v="12"/>
    <n v="3"/>
    <n v="3"/>
    <n v="80"/>
    <n v="1"/>
    <n v="17"/>
    <n v="3"/>
    <n v="4"/>
    <n v="3"/>
    <n v="2"/>
    <n v="1"/>
    <n v="2"/>
    <s v="LAB-132"/>
    <x v="2"/>
    <x v="1"/>
    <x v="1"/>
    <n v="3"/>
    <x v="0"/>
  </r>
  <r>
    <n v="37"/>
    <s v="Yes"/>
    <s v="Travel_Rarely"/>
    <n v="807"/>
    <x v="2"/>
    <n v="6"/>
    <n v="4"/>
    <s v="Human Resources"/>
    <n v="1"/>
    <n v="133"/>
    <n v="3"/>
    <s v="Male"/>
    <n v="63"/>
    <n v="3"/>
    <n v="1"/>
    <s v="Human Resources"/>
    <n v="1"/>
    <s v="Divorced"/>
    <n v="2073"/>
    <n v="23648"/>
    <n v="4"/>
    <s v="Y"/>
    <s v="Yes"/>
    <n v="22"/>
    <n v="4"/>
    <n v="4"/>
    <n v="80"/>
    <n v="0"/>
    <n v="7"/>
    <n v="3"/>
    <n v="3"/>
    <n v="3"/>
    <n v="2"/>
    <n v="0"/>
    <n v="2"/>
    <s v="LAB-133"/>
    <x v="8"/>
    <x v="2"/>
    <x v="0"/>
    <n v="3"/>
    <x v="0"/>
  </r>
  <r>
    <n v="32"/>
    <s v="No"/>
    <s v="Travel_Rarely"/>
    <n v="827"/>
    <x v="1"/>
    <n v="1"/>
    <n v="1"/>
    <s v="Life Sciences"/>
    <n v="1"/>
    <n v="134"/>
    <n v="4"/>
    <s v="Male"/>
    <n v="71"/>
    <n v="3"/>
    <n v="1"/>
    <s v="Research Scientist"/>
    <n v="1"/>
    <s v="Single"/>
    <n v="2956"/>
    <n v="15178"/>
    <n v="1"/>
    <s v="Y"/>
    <s v="No"/>
    <n v="13"/>
    <n v="3"/>
    <n v="4"/>
    <n v="80"/>
    <n v="0"/>
    <n v="1"/>
    <n v="2"/>
    <n v="3"/>
    <n v="1"/>
    <n v="0"/>
    <n v="0"/>
    <n v="0"/>
    <s v="LAB-134"/>
    <x v="1"/>
    <x v="1"/>
    <x v="1"/>
    <n v="1"/>
    <x v="0"/>
  </r>
  <r>
    <n v="20"/>
    <s v="Yes"/>
    <s v="Travel_Frequently"/>
    <n v="871"/>
    <x v="1"/>
    <n v="6"/>
    <n v="3"/>
    <s v="Life Sciences"/>
    <n v="1"/>
    <n v="137"/>
    <n v="4"/>
    <s v="Female"/>
    <n v="66"/>
    <n v="2"/>
    <n v="1"/>
    <s v="Laboratory Technician"/>
    <n v="4"/>
    <s v="Single"/>
    <n v="2926"/>
    <n v="19783"/>
    <n v="1"/>
    <s v="Y"/>
    <s v="Yes"/>
    <n v="18"/>
    <n v="3"/>
    <n v="2"/>
    <n v="80"/>
    <n v="0"/>
    <n v="1"/>
    <n v="5"/>
    <n v="3"/>
    <n v="1"/>
    <n v="0"/>
    <n v="1"/>
    <n v="0"/>
    <s v="LAB-137"/>
    <x v="2"/>
    <x v="1"/>
    <x v="0"/>
    <n v="1"/>
    <x v="0"/>
  </r>
  <r>
    <n v="34"/>
    <s v="No"/>
    <s v="Travel_Rarely"/>
    <n v="665"/>
    <x v="1"/>
    <n v="6"/>
    <n v="4"/>
    <s v="Other"/>
    <n v="1"/>
    <n v="138"/>
    <n v="1"/>
    <s v="Female"/>
    <n v="41"/>
    <n v="3"/>
    <n v="2"/>
    <s v="Research Scientist"/>
    <n v="3"/>
    <s v="Single"/>
    <n v="4809"/>
    <n v="12482"/>
    <n v="1"/>
    <s v="Y"/>
    <s v="No"/>
    <n v="14"/>
    <n v="3"/>
    <n v="3"/>
    <n v="80"/>
    <n v="0"/>
    <n v="16"/>
    <n v="3"/>
    <n v="3"/>
    <n v="16"/>
    <n v="13"/>
    <n v="2"/>
    <n v="10"/>
    <s v="LAB-138"/>
    <x v="1"/>
    <x v="1"/>
    <x v="1"/>
    <n v="16"/>
    <x v="0"/>
  </r>
  <r>
    <n v="37"/>
    <s v="No"/>
    <s v="Non-Travel"/>
    <n v="1040"/>
    <x v="1"/>
    <n v="2"/>
    <n v="2"/>
    <s v="Life Sciences"/>
    <n v="1"/>
    <n v="139"/>
    <n v="3"/>
    <s v="Male"/>
    <n v="100"/>
    <n v="2"/>
    <n v="2"/>
    <s v="Healthcare Representative"/>
    <n v="4"/>
    <s v="Divorced"/>
    <n v="5163"/>
    <n v="15850"/>
    <n v="5"/>
    <s v="Y"/>
    <s v="No"/>
    <n v="14"/>
    <n v="3"/>
    <n v="4"/>
    <n v="80"/>
    <n v="1"/>
    <n v="17"/>
    <n v="2"/>
    <n v="4"/>
    <n v="1"/>
    <n v="0"/>
    <n v="0"/>
    <n v="0"/>
    <s v="LAB-139"/>
    <x v="4"/>
    <x v="1"/>
    <x v="1"/>
    <n v="1"/>
    <x v="0"/>
  </r>
  <r>
    <n v="59"/>
    <s v="No"/>
    <s v="Non-Travel"/>
    <n v="1420"/>
    <x v="2"/>
    <n v="2"/>
    <n v="4"/>
    <s v="Human Resources"/>
    <n v="1"/>
    <n v="140"/>
    <n v="3"/>
    <s v="Female"/>
    <n v="32"/>
    <n v="2"/>
    <n v="5"/>
    <s v="Manager"/>
    <n v="4"/>
    <s v="Married"/>
    <n v="18844"/>
    <n v="21922"/>
    <n v="9"/>
    <s v="Y"/>
    <s v="No"/>
    <n v="21"/>
    <n v="4"/>
    <n v="4"/>
    <n v="80"/>
    <n v="1"/>
    <n v="30"/>
    <n v="3"/>
    <n v="3"/>
    <n v="3"/>
    <n v="2"/>
    <n v="2"/>
    <n v="2"/>
    <s v="LAB-140"/>
    <x v="5"/>
    <x v="2"/>
    <x v="1"/>
    <n v="3"/>
    <x v="0"/>
  </r>
  <r>
    <n v="50"/>
    <s v="No"/>
    <s v="Travel_Frequently"/>
    <n v="1115"/>
    <x v="1"/>
    <n v="1"/>
    <n v="3"/>
    <s v="Life Sciences"/>
    <n v="1"/>
    <n v="141"/>
    <n v="1"/>
    <s v="Female"/>
    <n v="73"/>
    <n v="3"/>
    <n v="5"/>
    <s v="Research Director"/>
    <n v="2"/>
    <s v="Married"/>
    <n v="18172"/>
    <n v="9755"/>
    <n v="3"/>
    <s v="Y"/>
    <s v="Yes"/>
    <n v="19"/>
    <n v="3"/>
    <n v="1"/>
    <n v="80"/>
    <n v="0"/>
    <n v="28"/>
    <n v="1"/>
    <n v="2"/>
    <n v="8"/>
    <n v="3"/>
    <n v="0"/>
    <n v="7"/>
    <s v="LAB-141"/>
    <x v="7"/>
    <x v="1"/>
    <x v="1"/>
    <n v="8"/>
    <x v="0"/>
  </r>
  <r>
    <n v="25"/>
    <s v="Yes"/>
    <s v="Travel_Rarely"/>
    <n v="240"/>
    <x v="0"/>
    <n v="5"/>
    <n v="3"/>
    <s v="Marketing"/>
    <n v="1"/>
    <n v="142"/>
    <n v="3"/>
    <s v="Male"/>
    <n v="46"/>
    <n v="2"/>
    <n v="2"/>
    <s v="Sales Executive"/>
    <n v="3"/>
    <s v="Single"/>
    <n v="5744"/>
    <n v="26959"/>
    <n v="1"/>
    <s v="Y"/>
    <s v="Yes"/>
    <n v="11"/>
    <n v="3"/>
    <n v="4"/>
    <n v="80"/>
    <n v="0"/>
    <n v="6"/>
    <n v="1"/>
    <n v="3"/>
    <n v="6"/>
    <n v="4"/>
    <n v="0"/>
    <n v="3"/>
    <s v="LAB-142"/>
    <x v="0"/>
    <x v="0"/>
    <x v="0"/>
    <n v="6"/>
    <x v="0"/>
  </r>
  <r>
    <n v="25"/>
    <s v="No"/>
    <s v="Travel_Rarely"/>
    <n v="1280"/>
    <x v="1"/>
    <n v="7"/>
    <n v="1"/>
    <s v="Medical"/>
    <n v="1"/>
    <n v="143"/>
    <n v="4"/>
    <s v="Male"/>
    <n v="64"/>
    <n v="2"/>
    <n v="1"/>
    <s v="Research Scientist"/>
    <n v="4"/>
    <s v="Married"/>
    <n v="2889"/>
    <n v="26897"/>
    <n v="1"/>
    <s v="Y"/>
    <s v="No"/>
    <n v="11"/>
    <n v="3"/>
    <n v="3"/>
    <n v="80"/>
    <n v="2"/>
    <n v="2"/>
    <n v="2"/>
    <n v="3"/>
    <n v="2"/>
    <n v="2"/>
    <n v="2"/>
    <n v="1"/>
    <s v="LAB-143"/>
    <x v="1"/>
    <x v="1"/>
    <x v="1"/>
    <n v="2"/>
    <x v="0"/>
  </r>
  <r>
    <n v="22"/>
    <s v="No"/>
    <s v="Travel_Rarely"/>
    <n v="534"/>
    <x v="1"/>
    <n v="15"/>
    <n v="3"/>
    <s v="Medical"/>
    <n v="1"/>
    <n v="144"/>
    <n v="2"/>
    <s v="Female"/>
    <n v="59"/>
    <n v="3"/>
    <n v="1"/>
    <s v="Laboratory Technician"/>
    <n v="4"/>
    <s v="Single"/>
    <n v="2871"/>
    <n v="23785"/>
    <n v="1"/>
    <s v="Y"/>
    <s v="No"/>
    <n v="15"/>
    <n v="3"/>
    <n v="3"/>
    <n v="80"/>
    <n v="0"/>
    <n v="1"/>
    <n v="5"/>
    <n v="3"/>
    <n v="0"/>
    <n v="0"/>
    <n v="0"/>
    <n v="0"/>
    <s v="LAB-144"/>
    <x v="2"/>
    <x v="1"/>
    <x v="1"/>
    <n v="0"/>
    <x v="0"/>
  </r>
  <r>
    <n v="51"/>
    <s v="No"/>
    <s v="Travel_Frequently"/>
    <n v="1456"/>
    <x v="1"/>
    <n v="1"/>
    <n v="4"/>
    <s v="Medical"/>
    <n v="1"/>
    <n v="145"/>
    <n v="1"/>
    <s v="Female"/>
    <n v="30"/>
    <n v="2"/>
    <n v="3"/>
    <s v="Healthcare Representative"/>
    <n v="1"/>
    <s v="Single"/>
    <n v="7484"/>
    <n v="25796"/>
    <n v="3"/>
    <s v="Y"/>
    <s v="No"/>
    <n v="20"/>
    <n v="4"/>
    <n v="3"/>
    <n v="80"/>
    <n v="0"/>
    <n v="23"/>
    <n v="1"/>
    <n v="2"/>
    <n v="13"/>
    <n v="12"/>
    <n v="12"/>
    <n v="8"/>
    <s v="LAB-145"/>
    <x v="4"/>
    <x v="1"/>
    <x v="1"/>
    <n v="13"/>
    <x v="0"/>
  </r>
  <r>
    <n v="34"/>
    <s v="Yes"/>
    <s v="Travel_Frequently"/>
    <n v="658"/>
    <x v="1"/>
    <n v="7"/>
    <n v="3"/>
    <s v="Life Sciences"/>
    <n v="1"/>
    <n v="147"/>
    <n v="1"/>
    <s v="Male"/>
    <n v="66"/>
    <n v="1"/>
    <n v="2"/>
    <s v="Laboratory Technician"/>
    <n v="3"/>
    <s v="Single"/>
    <n v="6074"/>
    <n v="22887"/>
    <n v="1"/>
    <s v="Y"/>
    <s v="Yes"/>
    <n v="24"/>
    <n v="4"/>
    <n v="4"/>
    <n v="80"/>
    <n v="0"/>
    <n v="9"/>
    <n v="3"/>
    <n v="3"/>
    <n v="9"/>
    <n v="7"/>
    <n v="0"/>
    <n v="6"/>
    <s v="LAB-147"/>
    <x v="2"/>
    <x v="1"/>
    <x v="0"/>
    <n v="9"/>
    <x v="0"/>
  </r>
  <r>
    <n v="54"/>
    <s v="No"/>
    <s v="Non-Travel"/>
    <n v="142"/>
    <x v="2"/>
    <n v="26"/>
    <n v="3"/>
    <s v="Human Resources"/>
    <n v="1"/>
    <n v="148"/>
    <n v="4"/>
    <s v="Female"/>
    <n v="30"/>
    <n v="4"/>
    <n v="4"/>
    <s v="Manager"/>
    <n v="4"/>
    <s v="Single"/>
    <n v="17328"/>
    <n v="13871"/>
    <n v="2"/>
    <s v="Y"/>
    <s v="Yes"/>
    <n v="12"/>
    <n v="3"/>
    <n v="3"/>
    <n v="80"/>
    <n v="0"/>
    <n v="23"/>
    <n v="3"/>
    <n v="3"/>
    <n v="5"/>
    <n v="3"/>
    <n v="4"/>
    <n v="4"/>
    <s v="LAB-148"/>
    <x v="5"/>
    <x v="2"/>
    <x v="1"/>
    <n v="5"/>
    <x v="0"/>
  </r>
  <r>
    <n v="24"/>
    <s v="No"/>
    <s v="Travel_Rarely"/>
    <n v="1127"/>
    <x v="1"/>
    <n v="18"/>
    <n v="1"/>
    <s v="Life Sciences"/>
    <n v="1"/>
    <n v="150"/>
    <n v="2"/>
    <s v="Male"/>
    <n v="52"/>
    <n v="3"/>
    <n v="1"/>
    <s v="Laboratory Technician"/>
    <n v="3"/>
    <s v="Married"/>
    <n v="2774"/>
    <n v="13257"/>
    <n v="0"/>
    <s v="Y"/>
    <s v="No"/>
    <n v="12"/>
    <n v="3"/>
    <n v="3"/>
    <n v="80"/>
    <n v="1"/>
    <n v="6"/>
    <n v="2"/>
    <n v="3"/>
    <n v="5"/>
    <n v="3"/>
    <n v="1"/>
    <n v="2"/>
    <s v="LAB-150"/>
    <x v="2"/>
    <x v="1"/>
    <x v="1"/>
    <n v="5"/>
    <x v="0"/>
  </r>
  <r>
    <n v="34"/>
    <s v="No"/>
    <s v="Travel_Rarely"/>
    <n v="1031"/>
    <x v="1"/>
    <n v="6"/>
    <n v="4"/>
    <s v="Life Sciences"/>
    <n v="1"/>
    <n v="151"/>
    <n v="3"/>
    <s v="Female"/>
    <n v="45"/>
    <n v="2"/>
    <n v="2"/>
    <s v="Research Scientist"/>
    <n v="2"/>
    <s v="Divorced"/>
    <n v="4505"/>
    <n v="15000"/>
    <n v="6"/>
    <s v="Y"/>
    <s v="No"/>
    <n v="15"/>
    <n v="3"/>
    <n v="3"/>
    <n v="80"/>
    <n v="1"/>
    <n v="12"/>
    <n v="3"/>
    <n v="3"/>
    <n v="1"/>
    <n v="0"/>
    <n v="0"/>
    <n v="0"/>
    <s v="LAB-151"/>
    <x v="1"/>
    <x v="1"/>
    <x v="1"/>
    <n v="1"/>
    <x v="0"/>
  </r>
  <r>
    <n v="37"/>
    <s v="No"/>
    <s v="Travel_Rarely"/>
    <n v="1189"/>
    <x v="0"/>
    <n v="3"/>
    <n v="3"/>
    <s v="Life Sciences"/>
    <n v="1"/>
    <n v="152"/>
    <n v="3"/>
    <s v="Male"/>
    <n v="87"/>
    <n v="3"/>
    <n v="3"/>
    <s v="Sales Executive"/>
    <n v="4"/>
    <s v="Single"/>
    <n v="7428"/>
    <n v="14506"/>
    <n v="2"/>
    <s v="Y"/>
    <s v="No"/>
    <n v="12"/>
    <n v="3"/>
    <n v="1"/>
    <n v="80"/>
    <n v="0"/>
    <n v="12"/>
    <n v="3"/>
    <n v="3"/>
    <n v="5"/>
    <n v="3"/>
    <n v="1"/>
    <n v="3"/>
    <s v="LAB-152"/>
    <x v="0"/>
    <x v="0"/>
    <x v="1"/>
    <n v="5"/>
    <x v="0"/>
  </r>
  <r>
    <n v="34"/>
    <s v="No"/>
    <s v="Travel_Rarely"/>
    <n v="1354"/>
    <x v="1"/>
    <n v="5"/>
    <n v="3"/>
    <s v="Medical"/>
    <n v="1"/>
    <n v="153"/>
    <n v="3"/>
    <s v="Female"/>
    <n v="45"/>
    <n v="2"/>
    <n v="3"/>
    <s v="Manager"/>
    <n v="1"/>
    <s v="Single"/>
    <n v="11631"/>
    <n v="5615"/>
    <n v="2"/>
    <s v="Y"/>
    <s v="No"/>
    <n v="12"/>
    <n v="3"/>
    <n v="4"/>
    <n v="80"/>
    <n v="0"/>
    <n v="14"/>
    <n v="6"/>
    <n v="3"/>
    <n v="11"/>
    <n v="10"/>
    <n v="5"/>
    <n v="8"/>
    <s v="LAB-153"/>
    <x v="5"/>
    <x v="1"/>
    <x v="1"/>
    <n v="11"/>
    <x v="0"/>
  </r>
  <r>
    <n v="36"/>
    <s v="No"/>
    <s v="Travel_Frequently"/>
    <n v="1467"/>
    <x v="0"/>
    <n v="11"/>
    <n v="2"/>
    <s v="Technical Degree"/>
    <n v="1"/>
    <n v="154"/>
    <n v="2"/>
    <s v="Female"/>
    <n v="92"/>
    <n v="3"/>
    <n v="3"/>
    <s v="Sales Executive"/>
    <n v="4"/>
    <s v="Married"/>
    <n v="9738"/>
    <n v="22952"/>
    <n v="0"/>
    <s v="Y"/>
    <s v="No"/>
    <n v="14"/>
    <n v="3"/>
    <n v="3"/>
    <n v="80"/>
    <n v="1"/>
    <n v="10"/>
    <n v="6"/>
    <n v="3"/>
    <n v="9"/>
    <n v="7"/>
    <n v="2"/>
    <n v="8"/>
    <s v="LAB-154"/>
    <x v="0"/>
    <x v="0"/>
    <x v="1"/>
    <n v="9"/>
    <x v="0"/>
  </r>
  <r>
    <n v="36"/>
    <s v="No"/>
    <s v="Travel_Rarely"/>
    <n v="922"/>
    <x v="1"/>
    <n v="3"/>
    <n v="2"/>
    <s v="Life Sciences"/>
    <n v="1"/>
    <n v="155"/>
    <n v="1"/>
    <s v="Female"/>
    <n v="39"/>
    <n v="3"/>
    <n v="1"/>
    <s v="Laboratory Technician"/>
    <n v="4"/>
    <s v="Divorced"/>
    <n v="2835"/>
    <n v="2561"/>
    <n v="5"/>
    <s v="Y"/>
    <s v="No"/>
    <n v="22"/>
    <n v="4"/>
    <n v="1"/>
    <n v="80"/>
    <n v="1"/>
    <n v="7"/>
    <n v="2"/>
    <n v="3"/>
    <n v="1"/>
    <n v="0"/>
    <n v="0"/>
    <n v="0"/>
    <s v="LAB-155"/>
    <x v="2"/>
    <x v="1"/>
    <x v="1"/>
    <n v="1"/>
    <x v="0"/>
  </r>
  <r>
    <n v="43"/>
    <s v="No"/>
    <s v="Travel_Frequently"/>
    <n v="394"/>
    <x v="0"/>
    <n v="26"/>
    <n v="2"/>
    <s v="Life Sciences"/>
    <n v="1"/>
    <n v="158"/>
    <n v="3"/>
    <s v="Male"/>
    <n v="92"/>
    <n v="3"/>
    <n v="4"/>
    <s v="Manager"/>
    <n v="4"/>
    <s v="Married"/>
    <n v="16959"/>
    <n v="19494"/>
    <n v="1"/>
    <s v="Y"/>
    <s v="Yes"/>
    <n v="12"/>
    <n v="3"/>
    <n v="4"/>
    <n v="80"/>
    <n v="2"/>
    <n v="25"/>
    <n v="3"/>
    <n v="4"/>
    <n v="25"/>
    <n v="12"/>
    <n v="4"/>
    <n v="12"/>
    <s v="LAB-158"/>
    <x v="5"/>
    <x v="0"/>
    <x v="1"/>
    <n v="25"/>
    <x v="0"/>
  </r>
  <r>
    <n v="30"/>
    <s v="No"/>
    <s v="Travel_Frequently"/>
    <n v="1312"/>
    <x v="1"/>
    <n v="23"/>
    <n v="3"/>
    <s v="Life Sciences"/>
    <n v="1"/>
    <n v="159"/>
    <n v="1"/>
    <s v="Male"/>
    <n v="96"/>
    <n v="1"/>
    <n v="1"/>
    <s v="Research Scientist"/>
    <n v="3"/>
    <s v="Divorced"/>
    <n v="2613"/>
    <n v="22310"/>
    <n v="1"/>
    <s v="Y"/>
    <s v="No"/>
    <n v="25"/>
    <n v="4"/>
    <n v="3"/>
    <n v="80"/>
    <n v="3"/>
    <n v="10"/>
    <n v="2"/>
    <n v="2"/>
    <n v="10"/>
    <n v="7"/>
    <n v="0"/>
    <n v="9"/>
    <s v="LAB-159"/>
    <x v="1"/>
    <x v="1"/>
    <x v="1"/>
    <n v="10"/>
    <x v="0"/>
  </r>
  <r>
    <n v="33"/>
    <s v="No"/>
    <s v="Non-Travel"/>
    <n v="750"/>
    <x v="0"/>
    <n v="22"/>
    <n v="2"/>
    <s v="Marketing"/>
    <n v="1"/>
    <n v="160"/>
    <n v="3"/>
    <s v="Male"/>
    <n v="95"/>
    <n v="3"/>
    <n v="2"/>
    <s v="Sales Executive"/>
    <n v="2"/>
    <s v="Married"/>
    <n v="6146"/>
    <n v="15480"/>
    <n v="0"/>
    <s v="Y"/>
    <s v="No"/>
    <n v="13"/>
    <n v="3"/>
    <n v="1"/>
    <n v="80"/>
    <n v="1"/>
    <n v="8"/>
    <n v="2"/>
    <n v="4"/>
    <n v="7"/>
    <n v="7"/>
    <n v="0"/>
    <n v="7"/>
    <s v="LAB-160"/>
    <x v="0"/>
    <x v="0"/>
    <x v="1"/>
    <n v="7"/>
    <x v="0"/>
  </r>
  <r>
    <n v="56"/>
    <s v="Yes"/>
    <s v="Travel_Rarely"/>
    <n v="441"/>
    <x v="1"/>
    <n v="14"/>
    <n v="4"/>
    <s v="Life Sciences"/>
    <n v="1"/>
    <n v="161"/>
    <n v="2"/>
    <s v="Female"/>
    <n v="72"/>
    <n v="3"/>
    <n v="1"/>
    <s v="Research Scientist"/>
    <n v="2"/>
    <s v="Married"/>
    <n v="4963"/>
    <n v="4510"/>
    <n v="9"/>
    <s v="Y"/>
    <s v="Yes"/>
    <n v="18"/>
    <n v="3"/>
    <n v="1"/>
    <n v="80"/>
    <n v="3"/>
    <n v="7"/>
    <n v="2"/>
    <n v="3"/>
    <n v="5"/>
    <n v="4"/>
    <n v="4"/>
    <n v="3"/>
    <s v="LAB-161"/>
    <x v="1"/>
    <x v="1"/>
    <x v="0"/>
    <n v="5"/>
    <x v="0"/>
  </r>
  <r>
    <n v="51"/>
    <s v="No"/>
    <s v="Travel_Rarely"/>
    <n v="684"/>
    <x v="1"/>
    <n v="6"/>
    <n v="3"/>
    <s v="Life Sciences"/>
    <n v="1"/>
    <n v="162"/>
    <n v="1"/>
    <s v="Male"/>
    <n v="51"/>
    <n v="3"/>
    <n v="5"/>
    <s v="Research Director"/>
    <n v="3"/>
    <s v="Single"/>
    <n v="19537"/>
    <n v="6462"/>
    <n v="7"/>
    <s v="Y"/>
    <s v="No"/>
    <n v="13"/>
    <n v="3"/>
    <n v="3"/>
    <n v="80"/>
    <n v="0"/>
    <n v="23"/>
    <n v="5"/>
    <n v="3"/>
    <n v="20"/>
    <n v="18"/>
    <n v="15"/>
    <n v="15"/>
    <s v="LAB-162"/>
    <x v="7"/>
    <x v="1"/>
    <x v="1"/>
    <n v="20"/>
    <x v="0"/>
  </r>
  <r>
    <n v="31"/>
    <s v="Yes"/>
    <s v="Travel_Rarely"/>
    <n v="249"/>
    <x v="0"/>
    <n v="6"/>
    <n v="4"/>
    <s v="Life Sciences"/>
    <n v="1"/>
    <n v="163"/>
    <n v="2"/>
    <s v="Male"/>
    <n v="76"/>
    <n v="1"/>
    <n v="2"/>
    <s v="Sales Executive"/>
    <n v="3"/>
    <s v="Married"/>
    <n v="6172"/>
    <n v="20739"/>
    <n v="4"/>
    <s v="Y"/>
    <s v="Yes"/>
    <n v="18"/>
    <n v="3"/>
    <n v="2"/>
    <n v="80"/>
    <n v="0"/>
    <n v="12"/>
    <n v="3"/>
    <n v="2"/>
    <n v="7"/>
    <n v="7"/>
    <n v="7"/>
    <n v="7"/>
    <s v="LAB-163"/>
    <x v="0"/>
    <x v="0"/>
    <x v="0"/>
    <n v="7"/>
    <x v="0"/>
  </r>
  <r>
    <n v="26"/>
    <s v="No"/>
    <s v="Travel_Rarely"/>
    <n v="841"/>
    <x v="1"/>
    <n v="6"/>
    <n v="3"/>
    <s v="Other"/>
    <n v="1"/>
    <n v="164"/>
    <n v="3"/>
    <s v="Female"/>
    <n v="46"/>
    <n v="2"/>
    <n v="1"/>
    <s v="Research Scientist"/>
    <n v="2"/>
    <s v="Married"/>
    <n v="2368"/>
    <n v="23300"/>
    <n v="1"/>
    <s v="Y"/>
    <s v="No"/>
    <n v="19"/>
    <n v="3"/>
    <n v="3"/>
    <n v="80"/>
    <n v="0"/>
    <n v="5"/>
    <n v="3"/>
    <n v="2"/>
    <n v="5"/>
    <n v="4"/>
    <n v="4"/>
    <n v="3"/>
    <s v="LAB-164"/>
    <x v="1"/>
    <x v="1"/>
    <x v="1"/>
    <n v="5"/>
    <x v="0"/>
  </r>
  <r>
    <n v="58"/>
    <s v="Yes"/>
    <s v="Travel_Rarely"/>
    <n v="147"/>
    <x v="1"/>
    <n v="23"/>
    <n v="4"/>
    <s v="Medical"/>
    <n v="1"/>
    <n v="165"/>
    <n v="4"/>
    <s v="Female"/>
    <n v="94"/>
    <n v="3"/>
    <n v="3"/>
    <s v="Healthcare Representative"/>
    <n v="4"/>
    <s v="Married"/>
    <n v="10312"/>
    <n v="3465"/>
    <n v="1"/>
    <s v="Y"/>
    <s v="No"/>
    <n v="12"/>
    <n v="3"/>
    <n v="4"/>
    <n v="80"/>
    <n v="1"/>
    <n v="40"/>
    <n v="3"/>
    <n v="2"/>
    <n v="40"/>
    <n v="10"/>
    <n v="15"/>
    <n v="6"/>
    <s v="LAB-165"/>
    <x v="4"/>
    <x v="1"/>
    <x v="0"/>
    <n v="40"/>
    <x v="0"/>
  </r>
  <r>
    <n v="19"/>
    <s v="Yes"/>
    <s v="Travel_Rarely"/>
    <n v="528"/>
    <x v="0"/>
    <n v="22"/>
    <n v="1"/>
    <s v="Marketing"/>
    <n v="1"/>
    <n v="167"/>
    <n v="4"/>
    <s v="Male"/>
    <n v="50"/>
    <n v="3"/>
    <n v="1"/>
    <s v="Sales Representative"/>
    <n v="3"/>
    <s v="Single"/>
    <n v="1675"/>
    <n v="26820"/>
    <n v="1"/>
    <s v="Y"/>
    <s v="Yes"/>
    <n v="19"/>
    <n v="3"/>
    <n v="4"/>
    <n v="80"/>
    <n v="0"/>
    <n v="0"/>
    <n v="2"/>
    <n v="2"/>
    <n v="0"/>
    <n v="0"/>
    <n v="0"/>
    <n v="0"/>
    <s v="LAB-167"/>
    <x v="6"/>
    <x v="0"/>
    <x v="0"/>
    <n v="0"/>
    <x v="0"/>
  </r>
  <r>
    <n v="22"/>
    <s v="No"/>
    <s v="Travel_Rarely"/>
    <n v="594"/>
    <x v="1"/>
    <n v="2"/>
    <n v="1"/>
    <s v="Technical Degree"/>
    <n v="1"/>
    <n v="169"/>
    <n v="3"/>
    <s v="Male"/>
    <n v="100"/>
    <n v="3"/>
    <n v="1"/>
    <s v="Laboratory Technician"/>
    <n v="4"/>
    <s v="Married"/>
    <n v="2523"/>
    <n v="19299"/>
    <n v="0"/>
    <s v="Y"/>
    <s v="No"/>
    <n v="14"/>
    <n v="3"/>
    <n v="3"/>
    <n v="80"/>
    <n v="1"/>
    <n v="3"/>
    <n v="2"/>
    <n v="3"/>
    <n v="2"/>
    <n v="1"/>
    <n v="2"/>
    <n v="1"/>
    <s v="LAB-169"/>
    <x v="2"/>
    <x v="1"/>
    <x v="1"/>
    <n v="2"/>
    <x v="0"/>
  </r>
  <r>
    <n v="49"/>
    <s v="No"/>
    <s v="Travel_Rarely"/>
    <n v="470"/>
    <x v="1"/>
    <n v="20"/>
    <n v="4"/>
    <s v="Medical"/>
    <n v="1"/>
    <n v="170"/>
    <n v="3"/>
    <s v="Female"/>
    <n v="96"/>
    <n v="3"/>
    <n v="2"/>
    <s v="Manufacturing Director"/>
    <n v="1"/>
    <s v="Married"/>
    <n v="6567"/>
    <n v="5549"/>
    <n v="1"/>
    <s v="Y"/>
    <s v="No"/>
    <n v="14"/>
    <n v="3"/>
    <n v="3"/>
    <n v="80"/>
    <n v="0"/>
    <n v="16"/>
    <n v="2"/>
    <n v="2"/>
    <n v="15"/>
    <n v="11"/>
    <n v="5"/>
    <n v="11"/>
    <s v="LAB-170"/>
    <x v="3"/>
    <x v="1"/>
    <x v="1"/>
    <n v="15"/>
    <x v="0"/>
  </r>
  <r>
    <n v="43"/>
    <s v="No"/>
    <s v="Travel_Frequently"/>
    <n v="957"/>
    <x v="1"/>
    <n v="28"/>
    <n v="3"/>
    <s v="Medical"/>
    <n v="1"/>
    <n v="171"/>
    <n v="2"/>
    <s v="Female"/>
    <n v="72"/>
    <n v="4"/>
    <n v="1"/>
    <s v="Research Scientist"/>
    <n v="3"/>
    <s v="Single"/>
    <n v="4739"/>
    <n v="16090"/>
    <n v="4"/>
    <s v="Y"/>
    <s v="No"/>
    <n v="12"/>
    <n v="3"/>
    <n v="4"/>
    <n v="80"/>
    <n v="0"/>
    <n v="18"/>
    <n v="2"/>
    <n v="3"/>
    <n v="3"/>
    <n v="2"/>
    <n v="1"/>
    <n v="2"/>
    <s v="LAB-171"/>
    <x v="1"/>
    <x v="1"/>
    <x v="1"/>
    <n v="3"/>
    <x v="0"/>
  </r>
  <r>
    <n v="50"/>
    <s v="No"/>
    <s v="Travel_Frequently"/>
    <n v="809"/>
    <x v="0"/>
    <n v="12"/>
    <n v="3"/>
    <s v="Marketing"/>
    <n v="1"/>
    <n v="174"/>
    <n v="3"/>
    <s v="Female"/>
    <n v="77"/>
    <n v="3"/>
    <n v="3"/>
    <s v="Sales Executive"/>
    <n v="4"/>
    <s v="Single"/>
    <n v="9208"/>
    <n v="6645"/>
    <n v="4"/>
    <s v="Y"/>
    <s v="No"/>
    <n v="11"/>
    <n v="3"/>
    <n v="4"/>
    <n v="80"/>
    <n v="0"/>
    <n v="16"/>
    <n v="3"/>
    <n v="3"/>
    <n v="2"/>
    <n v="2"/>
    <n v="2"/>
    <n v="1"/>
    <s v="LAB-174"/>
    <x v="0"/>
    <x v="0"/>
    <x v="1"/>
    <n v="2"/>
    <x v="0"/>
  </r>
  <r>
    <n v="31"/>
    <s v="Yes"/>
    <s v="Travel_Rarely"/>
    <n v="542"/>
    <x v="0"/>
    <n v="20"/>
    <n v="3"/>
    <s v="Life Sciences"/>
    <n v="1"/>
    <n v="175"/>
    <n v="2"/>
    <s v="Female"/>
    <n v="71"/>
    <n v="1"/>
    <n v="2"/>
    <s v="Sales Executive"/>
    <n v="3"/>
    <s v="Married"/>
    <n v="4559"/>
    <n v="24788"/>
    <n v="3"/>
    <s v="Y"/>
    <s v="Yes"/>
    <n v="11"/>
    <n v="3"/>
    <n v="3"/>
    <n v="80"/>
    <n v="1"/>
    <n v="4"/>
    <n v="2"/>
    <n v="3"/>
    <n v="2"/>
    <n v="2"/>
    <n v="2"/>
    <n v="2"/>
    <s v="LAB-175"/>
    <x v="0"/>
    <x v="0"/>
    <x v="0"/>
    <n v="2"/>
    <x v="0"/>
  </r>
  <r>
    <n v="41"/>
    <s v="No"/>
    <s v="Travel_Rarely"/>
    <n v="802"/>
    <x v="0"/>
    <n v="9"/>
    <n v="1"/>
    <s v="Life Sciences"/>
    <n v="1"/>
    <n v="176"/>
    <n v="3"/>
    <s v="Male"/>
    <n v="96"/>
    <n v="3"/>
    <n v="3"/>
    <s v="Sales Executive"/>
    <n v="3"/>
    <s v="Divorced"/>
    <n v="8189"/>
    <n v="21196"/>
    <n v="3"/>
    <s v="Y"/>
    <s v="Yes"/>
    <n v="13"/>
    <n v="3"/>
    <n v="3"/>
    <n v="80"/>
    <n v="1"/>
    <n v="12"/>
    <n v="2"/>
    <n v="3"/>
    <n v="9"/>
    <n v="7"/>
    <n v="0"/>
    <n v="7"/>
    <s v="LAB-176"/>
    <x v="0"/>
    <x v="0"/>
    <x v="1"/>
    <n v="9"/>
    <x v="0"/>
  </r>
  <r>
    <n v="26"/>
    <s v="No"/>
    <s v="Travel_Rarely"/>
    <n v="1355"/>
    <x v="2"/>
    <n v="25"/>
    <n v="1"/>
    <s v="Life Sciences"/>
    <n v="1"/>
    <n v="177"/>
    <n v="3"/>
    <s v="Female"/>
    <n v="61"/>
    <n v="3"/>
    <n v="1"/>
    <s v="Human Resources"/>
    <n v="3"/>
    <s v="Married"/>
    <n v="2942"/>
    <n v="8916"/>
    <n v="1"/>
    <s v="Y"/>
    <s v="No"/>
    <n v="23"/>
    <n v="4"/>
    <n v="4"/>
    <n v="80"/>
    <n v="1"/>
    <n v="8"/>
    <n v="3"/>
    <n v="3"/>
    <n v="8"/>
    <n v="7"/>
    <n v="5"/>
    <n v="7"/>
    <s v="LAB-177"/>
    <x v="8"/>
    <x v="2"/>
    <x v="1"/>
    <n v="8"/>
    <x v="0"/>
  </r>
  <r>
    <n v="36"/>
    <s v="No"/>
    <s v="Travel_Rarely"/>
    <n v="216"/>
    <x v="1"/>
    <n v="6"/>
    <n v="2"/>
    <s v="Medical"/>
    <n v="1"/>
    <n v="178"/>
    <n v="2"/>
    <s v="Male"/>
    <n v="84"/>
    <n v="3"/>
    <n v="2"/>
    <s v="Manufacturing Director"/>
    <n v="2"/>
    <s v="Divorced"/>
    <n v="4941"/>
    <n v="2819"/>
    <n v="6"/>
    <s v="Y"/>
    <s v="No"/>
    <n v="20"/>
    <n v="4"/>
    <n v="4"/>
    <n v="80"/>
    <n v="2"/>
    <n v="7"/>
    <n v="0"/>
    <n v="3"/>
    <n v="3"/>
    <n v="2"/>
    <n v="0"/>
    <n v="1"/>
    <s v="LAB-178"/>
    <x v="3"/>
    <x v="1"/>
    <x v="1"/>
    <n v="3"/>
    <x v="0"/>
  </r>
  <r>
    <n v="51"/>
    <s v="Yes"/>
    <s v="Travel_Frequently"/>
    <n v="1150"/>
    <x v="1"/>
    <n v="8"/>
    <n v="4"/>
    <s v="Life Sciences"/>
    <n v="1"/>
    <n v="179"/>
    <n v="1"/>
    <s v="Male"/>
    <n v="53"/>
    <n v="1"/>
    <n v="3"/>
    <s v="Manufacturing Director"/>
    <n v="4"/>
    <s v="Single"/>
    <n v="10650"/>
    <n v="25150"/>
    <n v="2"/>
    <s v="Y"/>
    <s v="No"/>
    <n v="15"/>
    <n v="3"/>
    <n v="4"/>
    <n v="80"/>
    <n v="0"/>
    <n v="18"/>
    <n v="2"/>
    <n v="3"/>
    <n v="4"/>
    <n v="2"/>
    <n v="0"/>
    <n v="3"/>
    <s v="LAB-179"/>
    <x v="3"/>
    <x v="1"/>
    <x v="0"/>
    <n v="4"/>
    <x v="0"/>
  </r>
  <r>
    <n v="39"/>
    <s v="No"/>
    <s v="Travel_Rarely"/>
    <n v="1329"/>
    <x v="0"/>
    <n v="4"/>
    <n v="4"/>
    <s v="Life Sciences"/>
    <n v="1"/>
    <n v="182"/>
    <n v="4"/>
    <s v="Female"/>
    <n v="47"/>
    <n v="2"/>
    <n v="2"/>
    <s v="Sales Executive"/>
    <n v="3"/>
    <s v="Married"/>
    <n v="5902"/>
    <n v="14590"/>
    <n v="4"/>
    <s v="Y"/>
    <s v="No"/>
    <n v="14"/>
    <n v="3"/>
    <n v="3"/>
    <n v="80"/>
    <n v="1"/>
    <n v="17"/>
    <n v="1"/>
    <n v="4"/>
    <n v="15"/>
    <n v="11"/>
    <n v="5"/>
    <n v="9"/>
    <s v="LAB-182"/>
    <x v="0"/>
    <x v="0"/>
    <x v="1"/>
    <n v="15"/>
    <x v="0"/>
  </r>
  <r>
    <n v="25"/>
    <s v="No"/>
    <s v="Travel_Rarely"/>
    <n v="959"/>
    <x v="0"/>
    <n v="28"/>
    <n v="3"/>
    <s v="Life Sciences"/>
    <n v="1"/>
    <n v="183"/>
    <n v="1"/>
    <s v="Male"/>
    <n v="41"/>
    <n v="2"/>
    <n v="2"/>
    <s v="Sales Executive"/>
    <n v="3"/>
    <s v="Married"/>
    <n v="8639"/>
    <n v="24835"/>
    <n v="2"/>
    <s v="Y"/>
    <s v="No"/>
    <n v="18"/>
    <n v="3"/>
    <n v="4"/>
    <n v="80"/>
    <n v="0"/>
    <n v="6"/>
    <n v="3"/>
    <n v="3"/>
    <n v="2"/>
    <n v="2"/>
    <n v="2"/>
    <n v="2"/>
    <s v="LAB-183"/>
    <x v="0"/>
    <x v="0"/>
    <x v="1"/>
    <n v="2"/>
    <x v="0"/>
  </r>
  <r>
    <n v="30"/>
    <s v="No"/>
    <s v="Travel_Rarely"/>
    <n v="1240"/>
    <x v="2"/>
    <n v="9"/>
    <n v="3"/>
    <s v="Human Resources"/>
    <n v="1"/>
    <n v="184"/>
    <n v="3"/>
    <s v="Male"/>
    <n v="48"/>
    <n v="3"/>
    <n v="2"/>
    <s v="Human Resources"/>
    <n v="4"/>
    <s v="Married"/>
    <n v="6347"/>
    <n v="13982"/>
    <n v="0"/>
    <s v="Y"/>
    <s v="Yes"/>
    <n v="19"/>
    <n v="3"/>
    <n v="4"/>
    <n v="80"/>
    <n v="0"/>
    <n v="12"/>
    <n v="2"/>
    <n v="1"/>
    <n v="11"/>
    <n v="9"/>
    <n v="4"/>
    <n v="7"/>
    <s v="LAB-184"/>
    <x v="8"/>
    <x v="2"/>
    <x v="1"/>
    <n v="11"/>
    <x v="0"/>
  </r>
  <r>
    <n v="32"/>
    <s v="Yes"/>
    <s v="Travel_Rarely"/>
    <n v="1033"/>
    <x v="1"/>
    <n v="9"/>
    <n v="3"/>
    <s v="Medical"/>
    <n v="1"/>
    <n v="190"/>
    <n v="1"/>
    <s v="Female"/>
    <n v="41"/>
    <n v="3"/>
    <n v="1"/>
    <s v="Laboratory Technician"/>
    <n v="1"/>
    <s v="Single"/>
    <n v="4200"/>
    <n v="10224"/>
    <n v="7"/>
    <s v="Y"/>
    <s v="No"/>
    <n v="22"/>
    <n v="4"/>
    <n v="1"/>
    <n v="80"/>
    <n v="0"/>
    <n v="10"/>
    <n v="2"/>
    <n v="4"/>
    <n v="5"/>
    <n v="4"/>
    <n v="0"/>
    <n v="4"/>
    <s v="LAB-190"/>
    <x v="2"/>
    <x v="1"/>
    <x v="0"/>
    <n v="5"/>
    <x v="0"/>
  </r>
  <r>
    <n v="45"/>
    <s v="No"/>
    <s v="Travel_Rarely"/>
    <n v="1316"/>
    <x v="1"/>
    <n v="29"/>
    <n v="3"/>
    <s v="Medical"/>
    <n v="1"/>
    <n v="192"/>
    <n v="3"/>
    <s v="Male"/>
    <n v="83"/>
    <n v="3"/>
    <n v="1"/>
    <s v="Research Scientist"/>
    <n v="4"/>
    <s v="Single"/>
    <n v="3452"/>
    <n v="9752"/>
    <n v="5"/>
    <s v="Y"/>
    <s v="No"/>
    <n v="13"/>
    <n v="3"/>
    <n v="2"/>
    <n v="80"/>
    <n v="0"/>
    <n v="9"/>
    <n v="2"/>
    <n v="2"/>
    <n v="6"/>
    <n v="5"/>
    <n v="0"/>
    <n v="3"/>
    <s v="LAB-192"/>
    <x v="1"/>
    <x v="1"/>
    <x v="1"/>
    <n v="6"/>
    <x v="0"/>
  </r>
  <r>
    <n v="38"/>
    <s v="No"/>
    <s v="Travel_Rarely"/>
    <n v="364"/>
    <x v="1"/>
    <n v="3"/>
    <n v="5"/>
    <s v="Technical Degree"/>
    <n v="1"/>
    <n v="193"/>
    <n v="4"/>
    <s v="Female"/>
    <n v="32"/>
    <n v="3"/>
    <n v="2"/>
    <s v="Research Scientist"/>
    <n v="3"/>
    <s v="Single"/>
    <n v="4317"/>
    <n v="2302"/>
    <n v="3"/>
    <s v="Y"/>
    <s v="Yes"/>
    <n v="20"/>
    <n v="4"/>
    <n v="2"/>
    <n v="80"/>
    <n v="0"/>
    <n v="19"/>
    <n v="2"/>
    <n v="3"/>
    <n v="3"/>
    <n v="2"/>
    <n v="2"/>
    <n v="2"/>
    <s v="LAB-193"/>
    <x v="1"/>
    <x v="1"/>
    <x v="1"/>
    <n v="3"/>
    <x v="0"/>
  </r>
  <r>
    <n v="30"/>
    <s v="No"/>
    <s v="Travel_Rarely"/>
    <n v="438"/>
    <x v="1"/>
    <n v="18"/>
    <n v="3"/>
    <s v="Life Sciences"/>
    <n v="1"/>
    <n v="194"/>
    <n v="1"/>
    <s v="Female"/>
    <n v="75"/>
    <n v="3"/>
    <n v="1"/>
    <s v="Research Scientist"/>
    <n v="3"/>
    <s v="Single"/>
    <n v="2632"/>
    <n v="23910"/>
    <n v="1"/>
    <s v="Y"/>
    <s v="No"/>
    <n v="14"/>
    <n v="3"/>
    <n v="3"/>
    <n v="80"/>
    <n v="0"/>
    <n v="5"/>
    <n v="4"/>
    <n v="2"/>
    <n v="5"/>
    <n v="4"/>
    <n v="0"/>
    <n v="4"/>
    <s v="LAB-194"/>
    <x v="1"/>
    <x v="1"/>
    <x v="1"/>
    <n v="5"/>
    <x v="0"/>
  </r>
  <r>
    <n v="32"/>
    <s v="No"/>
    <s v="Travel_Frequently"/>
    <n v="689"/>
    <x v="0"/>
    <n v="9"/>
    <n v="2"/>
    <s v="Medical"/>
    <n v="1"/>
    <n v="195"/>
    <n v="4"/>
    <s v="Male"/>
    <n v="35"/>
    <n v="1"/>
    <n v="2"/>
    <s v="Sales Executive"/>
    <n v="4"/>
    <s v="Divorced"/>
    <n v="4668"/>
    <n v="22812"/>
    <n v="0"/>
    <s v="Y"/>
    <s v="No"/>
    <n v="17"/>
    <n v="3"/>
    <n v="4"/>
    <n v="80"/>
    <n v="3"/>
    <n v="9"/>
    <n v="2"/>
    <n v="4"/>
    <n v="8"/>
    <n v="7"/>
    <n v="0"/>
    <n v="7"/>
    <s v="LAB-195"/>
    <x v="0"/>
    <x v="0"/>
    <x v="1"/>
    <n v="8"/>
    <x v="0"/>
  </r>
  <r>
    <n v="30"/>
    <s v="No"/>
    <s v="Travel_Rarely"/>
    <n v="201"/>
    <x v="1"/>
    <n v="5"/>
    <n v="3"/>
    <s v="Technical Degree"/>
    <n v="1"/>
    <n v="197"/>
    <n v="4"/>
    <s v="Female"/>
    <n v="84"/>
    <n v="3"/>
    <n v="1"/>
    <s v="Research Scientist"/>
    <n v="1"/>
    <s v="Divorced"/>
    <n v="3204"/>
    <n v="10415"/>
    <n v="5"/>
    <s v="Y"/>
    <s v="No"/>
    <n v="14"/>
    <n v="3"/>
    <n v="4"/>
    <n v="80"/>
    <n v="1"/>
    <n v="8"/>
    <n v="3"/>
    <n v="3"/>
    <n v="3"/>
    <n v="2"/>
    <n v="2"/>
    <n v="2"/>
    <s v="LAB-197"/>
    <x v="1"/>
    <x v="1"/>
    <x v="1"/>
    <n v="3"/>
    <x v="0"/>
  </r>
  <r>
    <n v="30"/>
    <s v="No"/>
    <s v="Travel_Rarely"/>
    <n v="1427"/>
    <x v="1"/>
    <n v="2"/>
    <n v="1"/>
    <s v="Medical"/>
    <n v="1"/>
    <n v="198"/>
    <n v="2"/>
    <s v="Male"/>
    <n v="35"/>
    <n v="2"/>
    <n v="1"/>
    <s v="Laboratory Technician"/>
    <n v="4"/>
    <s v="Single"/>
    <n v="2720"/>
    <n v="11162"/>
    <n v="0"/>
    <s v="Y"/>
    <s v="No"/>
    <n v="13"/>
    <n v="3"/>
    <n v="4"/>
    <n v="80"/>
    <n v="0"/>
    <n v="6"/>
    <n v="3"/>
    <n v="3"/>
    <n v="5"/>
    <n v="3"/>
    <n v="1"/>
    <n v="2"/>
    <s v="LAB-198"/>
    <x v="2"/>
    <x v="1"/>
    <x v="1"/>
    <n v="5"/>
    <x v="0"/>
  </r>
  <r>
    <n v="41"/>
    <s v="No"/>
    <s v="Travel_Frequently"/>
    <n v="857"/>
    <x v="1"/>
    <n v="10"/>
    <n v="3"/>
    <s v="Life Sciences"/>
    <n v="1"/>
    <n v="199"/>
    <n v="4"/>
    <s v="Male"/>
    <n v="91"/>
    <n v="2"/>
    <n v="4"/>
    <s v="Manager"/>
    <n v="1"/>
    <s v="Divorced"/>
    <n v="17181"/>
    <n v="12888"/>
    <n v="4"/>
    <s v="Y"/>
    <s v="No"/>
    <n v="13"/>
    <n v="3"/>
    <n v="2"/>
    <n v="80"/>
    <n v="1"/>
    <n v="21"/>
    <n v="2"/>
    <n v="2"/>
    <n v="7"/>
    <n v="6"/>
    <n v="7"/>
    <n v="7"/>
    <s v="LAB-199"/>
    <x v="5"/>
    <x v="1"/>
    <x v="1"/>
    <n v="7"/>
    <x v="0"/>
  </r>
  <r>
    <n v="41"/>
    <s v="No"/>
    <s v="Travel_Rarely"/>
    <n v="933"/>
    <x v="1"/>
    <n v="9"/>
    <n v="4"/>
    <s v="Life Sciences"/>
    <n v="1"/>
    <n v="200"/>
    <n v="3"/>
    <s v="Male"/>
    <n v="94"/>
    <n v="3"/>
    <n v="1"/>
    <s v="Laboratory Technician"/>
    <n v="1"/>
    <s v="Married"/>
    <n v="2238"/>
    <n v="6961"/>
    <n v="2"/>
    <s v="Y"/>
    <s v="No"/>
    <n v="21"/>
    <n v="4"/>
    <n v="4"/>
    <n v="80"/>
    <n v="1"/>
    <n v="7"/>
    <n v="2"/>
    <n v="3"/>
    <n v="5"/>
    <n v="0"/>
    <n v="1"/>
    <n v="4"/>
    <s v="LAB-200"/>
    <x v="2"/>
    <x v="1"/>
    <x v="1"/>
    <n v="5"/>
    <x v="0"/>
  </r>
  <r>
    <n v="19"/>
    <s v="No"/>
    <s v="Travel_Rarely"/>
    <n v="1181"/>
    <x v="1"/>
    <n v="3"/>
    <n v="1"/>
    <s v="Medical"/>
    <n v="1"/>
    <n v="201"/>
    <n v="2"/>
    <s v="Female"/>
    <n v="79"/>
    <n v="3"/>
    <n v="1"/>
    <s v="Laboratory Technician"/>
    <n v="2"/>
    <s v="Single"/>
    <n v="1483"/>
    <n v="16102"/>
    <n v="1"/>
    <s v="Y"/>
    <s v="No"/>
    <n v="14"/>
    <n v="3"/>
    <n v="4"/>
    <n v="80"/>
    <n v="0"/>
    <n v="1"/>
    <n v="3"/>
    <n v="3"/>
    <n v="1"/>
    <n v="0"/>
    <n v="0"/>
    <n v="0"/>
    <s v="LAB-201"/>
    <x v="2"/>
    <x v="1"/>
    <x v="1"/>
    <n v="1"/>
    <x v="0"/>
  </r>
  <r>
    <n v="40"/>
    <s v="No"/>
    <s v="Travel_Frequently"/>
    <n v="1395"/>
    <x v="1"/>
    <n v="26"/>
    <n v="3"/>
    <s v="Medical"/>
    <n v="1"/>
    <n v="202"/>
    <n v="2"/>
    <s v="Female"/>
    <n v="54"/>
    <n v="3"/>
    <n v="2"/>
    <s v="Research Scientist"/>
    <n v="2"/>
    <s v="Divorced"/>
    <n v="5605"/>
    <n v="8504"/>
    <n v="1"/>
    <s v="Y"/>
    <s v="No"/>
    <n v="11"/>
    <n v="3"/>
    <n v="1"/>
    <n v="80"/>
    <n v="1"/>
    <n v="20"/>
    <n v="2"/>
    <n v="3"/>
    <n v="20"/>
    <n v="7"/>
    <n v="2"/>
    <n v="13"/>
    <s v="LAB-202"/>
    <x v="1"/>
    <x v="1"/>
    <x v="1"/>
    <n v="20"/>
    <x v="0"/>
  </r>
  <r>
    <n v="35"/>
    <s v="No"/>
    <s v="Travel_Rarely"/>
    <n v="662"/>
    <x v="0"/>
    <n v="1"/>
    <n v="5"/>
    <s v="Marketing"/>
    <n v="1"/>
    <n v="204"/>
    <n v="3"/>
    <s v="Male"/>
    <n v="94"/>
    <n v="3"/>
    <n v="3"/>
    <s v="Sales Executive"/>
    <n v="2"/>
    <s v="Married"/>
    <n v="7295"/>
    <n v="11439"/>
    <n v="1"/>
    <s v="Y"/>
    <s v="No"/>
    <n v="13"/>
    <n v="3"/>
    <n v="1"/>
    <n v="80"/>
    <n v="2"/>
    <n v="10"/>
    <n v="3"/>
    <n v="3"/>
    <n v="10"/>
    <n v="8"/>
    <n v="0"/>
    <n v="6"/>
    <s v="LAB-204"/>
    <x v="0"/>
    <x v="0"/>
    <x v="1"/>
    <n v="10"/>
    <x v="0"/>
  </r>
  <r>
    <n v="53"/>
    <s v="No"/>
    <s v="Travel_Rarely"/>
    <n v="1436"/>
    <x v="0"/>
    <n v="6"/>
    <n v="2"/>
    <s v="Marketing"/>
    <n v="1"/>
    <n v="205"/>
    <n v="2"/>
    <s v="Male"/>
    <n v="34"/>
    <n v="3"/>
    <n v="2"/>
    <s v="Sales Representative"/>
    <n v="3"/>
    <s v="Married"/>
    <n v="2306"/>
    <n v="16047"/>
    <n v="2"/>
    <s v="Y"/>
    <s v="Yes"/>
    <n v="20"/>
    <n v="4"/>
    <n v="4"/>
    <n v="80"/>
    <n v="1"/>
    <n v="13"/>
    <n v="3"/>
    <n v="1"/>
    <n v="7"/>
    <n v="7"/>
    <n v="4"/>
    <n v="5"/>
    <s v="LAB-205"/>
    <x v="6"/>
    <x v="0"/>
    <x v="1"/>
    <n v="7"/>
    <x v="0"/>
  </r>
  <r>
    <n v="45"/>
    <s v="No"/>
    <s v="Travel_Rarely"/>
    <n v="194"/>
    <x v="1"/>
    <n v="9"/>
    <n v="3"/>
    <s v="Life Sciences"/>
    <n v="1"/>
    <n v="206"/>
    <n v="2"/>
    <s v="Male"/>
    <n v="60"/>
    <n v="3"/>
    <n v="2"/>
    <s v="Laboratory Technician"/>
    <n v="2"/>
    <s v="Divorced"/>
    <n v="2348"/>
    <n v="10901"/>
    <n v="8"/>
    <s v="Y"/>
    <s v="No"/>
    <n v="18"/>
    <n v="3"/>
    <n v="3"/>
    <n v="80"/>
    <n v="1"/>
    <n v="20"/>
    <n v="2"/>
    <n v="1"/>
    <n v="17"/>
    <n v="9"/>
    <n v="0"/>
    <n v="15"/>
    <s v="LAB-206"/>
    <x v="2"/>
    <x v="1"/>
    <x v="1"/>
    <n v="17"/>
    <x v="0"/>
  </r>
  <r>
    <n v="32"/>
    <s v="No"/>
    <s v="Travel_Frequently"/>
    <n v="967"/>
    <x v="0"/>
    <n v="8"/>
    <n v="3"/>
    <s v="Marketing"/>
    <n v="1"/>
    <n v="207"/>
    <n v="2"/>
    <s v="Female"/>
    <n v="43"/>
    <n v="3"/>
    <n v="3"/>
    <s v="Sales Executive"/>
    <n v="4"/>
    <s v="Single"/>
    <n v="8998"/>
    <n v="15589"/>
    <n v="1"/>
    <s v="Y"/>
    <s v="No"/>
    <n v="14"/>
    <n v="3"/>
    <n v="4"/>
    <n v="80"/>
    <n v="0"/>
    <n v="9"/>
    <n v="2"/>
    <n v="3"/>
    <n v="9"/>
    <n v="8"/>
    <n v="3"/>
    <n v="7"/>
    <s v="LAB-207"/>
    <x v="0"/>
    <x v="0"/>
    <x v="1"/>
    <n v="9"/>
    <x v="0"/>
  </r>
  <r>
    <n v="29"/>
    <s v="No"/>
    <s v="Non-Travel"/>
    <n v="1496"/>
    <x v="1"/>
    <n v="1"/>
    <n v="1"/>
    <s v="Technical Degree"/>
    <n v="1"/>
    <n v="208"/>
    <n v="4"/>
    <s v="Male"/>
    <n v="41"/>
    <n v="3"/>
    <n v="2"/>
    <s v="Manufacturing Director"/>
    <n v="3"/>
    <s v="Married"/>
    <n v="4319"/>
    <n v="26283"/>
    <n v="1"/>
    <s v="Y"/>
    <s v="No"/>
    <n v="13"/>
    <n v="3"/>
    <n v="1"/>
    <n v="80"/>
    <n v="1"/>
    <n v="10"/>
    <n v="1"/>
    <n v="3"/>
    <n v="10"/>
    <n v="7"/>
    <n v="0"/>
    <n v="9"/>
    <s v="LAB-208"/>
    <x v="3"/>
    <x v="1"/>
    <x v="1"/>
    <n v="10"/>
    <x v="0"/>
  </r>
  <r>
    <n v="51"/>
    <s v="No"/>
    <s v="Travel_Rarely"/>
    <n v="1169"/>
    <x v="1"/>
    <n v="7"/>
    <n v="4"/>
    <s v="Medical"/>
    <n v="1"/>
    <n v="211"/>
    <n v="2"/>
    <s v="Male"/>
    <n v="34"/>
    <n v="2"/>
    <n v="2"/>
    <s v="Manufacturing Director"/>
    <n v="3"/>
    <s v="Married"/>
    <n v="6132"/>
    <n v="13983"/>
    <n v="2"/>
    <s v="Y"/>
    <s v="No"/>
    <n v="17"/>
    <n v="3"/>
    <n v="3"/>
    <n v="80"/>
    <n v="0"/>
    <n v="10"/>
    <n v="2"/>
    <n v="3"/>
    <n v="1"/>
    <n v="0"/>
    <n v="0"/>
    <n v="0"/>
    <s v="LAB-211"/>
    <x v="3"/>
    <x v="1"/>
    <x v="1"/>
    <n v="1"/>
    <x v="0"/>
  </r>
  <r>
    <n v="58"/>
    <s v="No"/>
    <s v="Travel_Rarely"/>
    <n v="1145"/>
    <x v="1"/>
    <n v="9"/>
    <n v="3"/>
    <s v="Medical"/>
    <n v="1"/>
    <n v="214"/>
    <n v="2"/>
    <s v="Female"/>
    <n v="75"/>
    <n v="2"/>
    <n v="1"/>
    <s v="Research Scientist"/>
    <n v="2"/>
    <s v="Married"/>
    <n v="3346"/>
    <n v="11873"/>
    <n v="4"/>
    <s v="Y"/>
    <s v="Yes"/>
    <n v="20"/>
    <n v="4"/>
    <n v="2"/>
    <n v="80"/>
    <n v="1"/>
    <n v="9"/>
    <n v="3"/>
    <n v="2"/>
    <n v="1"/>
    <n v="0"/>
    <n v="0"/>
    <n v="0"/>
    <s v="LAB-214"/>
    <x v="1"/>
    <x v="1"/>
    <x v="1"/>
    <n v="1"/>
    <x v="0"/>
  </r>
  <r>
    <n v="40"/>
    <s v="No"/>
    <s v="Travel_Rarely"/>
    <n v="630"/>
    <x v="0"/>
    <n v="4"/>
    <n v="4"/>
    <s v="Marketing"/>
    <n v="1"/>
    <n v="215"/>
    <n v="3"/>
    <s v="Male"/>
    <n v="67"/>
    <n v="2"/>
    <n v="3"/>
    <s v="Sales Executive"/>
    <n v="4"/>
    <s v="Married"/>
    <n v="10855"/>
    <n v="8552"/>
    <n v="7"/>
    <s v="Y"/>
    <s v="No"/>
    <n v="11"/>
    <n v="3"/>
    <n v="1"/>
    <n v="80"/>
    <n v="1"/>
    <n v="15"/>
    <n v="2"/>
    <n v="2"/>
    <n v="12"/>
    <n v="11"/>
    <n v="2"/>
    <n v="11"/>
    <s v="LAB-215"/>
    <x v="0"/>
    <x v="0"/>
    <x v="1"/>
    <n v="12"/>
    <x v="0"/>
  </r>
  <r>
    <n v="34"/>
    <s v="No"/>
    <s v="Travel_Frequently"/>
    <n v="303"/>
    <x v="0"/>
    <n v="2"/>
    <n v="4"/>
    <s v="Marketing"/>
    <n v="1"/>
    <n v="216"/>
    <n v="3"/>
    <s v="Female"/>
    <n v="75"/>
    <n v="3"/>
    <n v="1"/>
    <s v="Sales Representative"/>
    <n v="3"/>
    <s v="Married"/>
    <n v="2231"/>
    <n v="11314"/>
    <n v="6"/>
    <s v="Y"/>
    <s v="No"/>
    <n v="18"/>
    <n v="3"/>
    <n v="4"/>
    <n v="80"/>
    <n v="1"/>
    <n v="6"/>
    <n v="3"/>
    <n v="3"/>
    <n v="4"/>
    <n v="3"/>
    <n v="1"/>
    <n v="2"/>
    <s v="LAB-216"/>
    <x v="6"/>
    <x v="0"/>
    <x v="1"/>
    <n v="4"/>
    <x v="0"/>
  </r>
  <r>
    <n v="22"/>
    <s v="No"/>
    <s v="Travel_Rarely"/>
    <n v="1256"/>
    <x v="1"/>
    <n v="19"/>
    <n v="1"/>
    <s v="Medical"/>
    <n v="1"/>
    <n v="217"/>
    <n v="3"/>
    <s v="Male"/>
    <n v="80"/>
    <n v="3"/>
    <n v="1"/>
    <s v="Research Scientist"/>
    <n v="4"/>
    <s v="Married"/>
    <n v="2323"/>
    <n v="11992"/>
    <n v="1"/>
    <s v="Y"/>
    <s v="No"/>
    <n v="24"/>
    <n v="4"/>
    <n v="1"/>
    <n v="80"/>
    <n v="2"/>
    <n v="2"/>
    <n v="6"/>
    <n v="3"/>
    <n v="2"/>
    <n v="2"/>
    <n v="2"/>
    <n v="2"/>
    <s v="LAB-217"/>
    <x v="1"/>
    <x v="1"/>
    <x v="1"/>
    <n v="2"/>
    <x v="0"/>
  </r>
  <r>
    <n v="27"/>
    <s v="No"/>
    <s v="Non-Travel"/>
    <n v="691"/>
    <x v="1"/>
    <n v="9"/>
    <n v="3"/>
    <s v="Medical"/>
    <n v="1"/>
    <n v="218"/>
    <n v="4"/>
    <s v="Male"/>
    <n v="57"/>
    <n v="3"/>
    <n v="1"/>
    <s v="Research Scientist"/>
    <n v="2"/>
    <s v="Divorced"/>
    <n v="2024"/>
    <n v="5970"/>
    <n v="6"/>
    <s v="Y"/>
    <s v="No"/>
    <n v="18"/>
    <n v="3"/>
    <n v="4"/>
    <n v="80"/>
    <n v="1"/>
    <n v="6"/>
    <n v="1"/>
    <n v="1"/>
    <n v="2"/>
    <n v="2"/>
    <n v="2"/>
    <n v="2"/>
    <s v="LAB-218"/>
    <x v="1"/>
    <x v="1"/>
    <x v="1"/>
    <n v="2"/>
    <x v="0"/>
  </r>
  <r>
    <n v="28"/>
    <s v="No"/>
    <s v="Travel_Rarely"/>
    <n v="440"/>
    <x v="1"/>
    <n v="21"/>
    <n v="3"/>
    <s v="Medical"/>
    <n v="1"/>
    <n v="221"/>
    <n v="3"/>
    <s v="Male"/>
    <n v="42"/>
    <n v="3"/>
    <n v="1"/>
    <s v="Research Scientist"/>
    <n v="4"/>
    <s v="Married"/>
    <n v="2713"/>
    <n v="6672"/>
    <n v="1"/>
    <s v="Y"/>
    <s v="No"/>
    <n v="11"/>
    <n v="3"/>
    <n v="3"/>
    <n v="80"/>
    <n v="1"/>
    <n v="5"/>
    <n v="2"/>
    <n v="1"/>
    <n v="5"/>
    <n v="2"/>
    <n v="0"/>
    <n v="2"/>
    <s v="LAB-221"/>
    <x v="1"/>
    <x v="1"/>
    <x v="1"/>
    <n v="5"/>
    <x v="0"/>
  </r>
  <r>
    <n v="57"/>
    <s v="No"/>
    <s v="Travel_Rarely"/>
    <n v="334"/>
    <x v="1"/>
    <n v="24"/>
    <n v="2"/>
    <s v="Life Sciences"/>
    <n v="1"/>
    <n v="223"/>
    <n v="3"/>
    <s v="Male"/>
    <n v="83"/>
    <n v="4"/>
    <n v="3"/>
    <s v="Healthcare Representative"/>
    <n v="4"/>
    <s v="Divorced"/>
    <n v="9439"/>
    <n v="23402"/>
    <n v="3"/>
    <s v="Y"/>
    <s v="Yes"/>
    <n v="16"/>
    <n v="3"/>
    <n v="2"/>
    <n v="80"/>
    <n v="1"/>
    <n v="12"/>
    <n v="2"/>
    <n v="1"/>
    <n v="5"/>
    <n v="3"/>
    <n v="1"/>
    <n v="4"/>
    <s v="LAB-223"/>
    <x v="4"/>
    <x v="1"/>
    <x v="1"/>
    <n v="5"/>
    <x v="0"/>
  </r>
  <r>
    <n v="27"/>
    <s v="No"/>
    <s v="Non-Travel"/>
    <n v="1450"/>
    <x v="1"/>
    <n v="3"/>
    <n v="3"/>
    <s v="Medical"/>
    <n v="1"/>
    <n v="224"/>
    <n v="3"/>
    <s v="Male"/>
    <n v="79"/>
    <n v="2"/>
    <n v="1"/>
    <s v="Research Scientist"/>
    <n v="3"/>
    <s v="Divorced"/>
    <n v="2566"/>
    <n v="25326"/>
    <n v="1"/>
    <s v="Y"/>
    <s v="Yes"/>
    <n v="15"/>
    <n v="3"/>
    <n v="4"/>
    <n v="80"/>
    <n v="1"/>
    <n v="1"/>
    <n v="2"/>
    <n v="2"/>
    <n v="1"/>
    <n v="1"/>
    <n v="0"/>
    <n v="1"/>
    <s v="LAB-224"/>
    <x v="1"/>
    <x v="1"/>
    <x v="1"/>
    <n v="1"/>
    <x v="0"/>
  </r>
  <r>
    <n v="50"/>
    <s v="No"/>
    <s v="Travel_Rarely"/>
    <n v="1452"/>
    <x v="1"/>
    <n v="11"/>
    <n v="3"/>
    <s v="Life Sciences"/>
    <n v="1"/>
    <n v="226"/>
    <n v="3"/>
    <s v="Female"/>
    <n v="53"/>
    <n v="3"/>
    <n v="5"/>
    <s v="Manager"/>
    <n v="2"/>
    <s v="Single"/>
    <n v="19926"/>
    <n v="17053"/>
    <n v="3"/>
    <s v="Y"/>
    <s v="No"/>
    <n v="15"/>
    <n v="3"/>
    <n v="2"/>
    <n v="80"/>
    <n v="0"/>
    <n v="21"/>
    <n v="5"/>
    <n v="3"/>
    <n v="5"/>
    <n v="4"/>
    <n v="4"/>
    <n v="4"/>
    <s v="LAB-226"/>
    <x v="5"/>
    <x v="1"/>
    <x v="1"/>
    <n v="5"/>
    <x v="0"/>
  </r>
  <r>
    <n v="41"/>
    <s v="No"/>
    <s v="Travel_Rarely"/>
    <n v="465"/>
    <x v="1"/>
    <n v="14"/>
    <n v="3"/>
    <s v="Life Sciences"/>
    <n v="1"/>
    <n v="227"/>
    <n v="1"/>
    <s v="Male"/>
    <n v="56"/>
    <n v="3"/>
    <n v="1"/>
    <s v="Research Scientist"/>
    <n v="3"/>
    <s v="Divorced"/>
    <n v="2451"/>
    <n v="4609"/>
    <n v="4"/>
    <s v="Y"/>
    <s v="No"/>
    <n v="12"/>
    <n v="3"/>
    <n v="1"/>
    <n v="80"/>
    <n v="1"/>
    <n v="13"/>
    <n v="2"/>
    <n v="3"/>
    <n v="9"/>
    <n v="8"/>
    <n v="1"/>
    <n v="8"/>
    <s v="LAB-227"/>
    <x v="1"/>
    <x v="1"/>
    <x v="1"/>
    <n v="9"/>
    <x v="0"/>
  </r>
  <r>
    <n v="30"/>
    <s v="No"/>
    <s v="Travel_Rarely"/>
    <n v="1339"/>
    <x v="0"/>
    <n v="5"/>
    <n v="3"/>
    <s v="Life Sciences"/>
    <n v="1"/>
    <n v="228"/>
    <n v="2"/>
    <s v="Female"/>
    <n v="41"/>
    <n v="3"/>
    <n v="3"/>
    <s v="Sales Executive"/>
    <n v="4"/>
    <s v="Married"/>
    <n v="9419"/>
    <n v="8053"/>
    <n v="2"/>
    <s v="Y"/>
    <s v="No"/>
    <n v="12"/>
    <n v="3"/>
    <n v="3"/>
    <n v="80"/>
    <n v="1"/>
    <n v="12"/>
    <n v="2"/>
    <n v="3"/>
    <n v="10"/>
    <n v="9"/>
    <n v="7"/>
    <n v="4"/>
    <s v="LAB-228"/>
    <x v="0"/>
    <x v="0"/>
    <x v="1"/>
    <n v="10"/>
    <x v="0"/>
  </r>
  <r>
    <n v="38"/>
    <s v="No"/>
    <s v="Travel_Rarely"/>
    <n v="702"/>
    <x v="0"/>
    <n v="1"/>
    <n v="4"/>
    <s v="Life Sciences"/>
    <n v="1"/>
    <n v="230"/>
    <n v="1"/>
    <s v="Female"/>
    <n v="59"/>
    <n v="2"/>
    <n v="2"/>
    <s v="Sales Executive"/>
    <n v="4"/>
    <s v="Single"/>
    <n v="8686"/>
    <n v="12930"/>
    <n v="4"/>
    <s v="Y"/>
    <s v="No"/>
    <n v="22"/>
    <n v="4"/>
    <n v="3"/>
    <n v="80"/>
    <n v="0"/>
    <n v="12"/>
    <n v="2"/>
    <n v="4"/>
    <n v="8"/>
    <n v="3"/>
    <n v="0"/>
    <n v="7"/>
    <s v="LAB-230"/>
    <x v="0"/>
    <x v="0"/>
    <x v="1"/>
    <n v="8"/>
    <x v="0"/>
  </r>
  <r>
    <n v="32"/>
    <s v="No"/>
    <s v="Travel_Rarely"/>
    <n v="120"/>
    <x v="1"/>
    <n v="6"/>
    <n v="5"/>
    <s v="Life Sciences"/>
    <n v="1"/>
    <n v="231"/>
    <n v="3"/>
    <s v="Male"/>
    <n v="43"/>
    <n v="3"/>
    <n v="1"/>
    <s v="Research Scientist"/>
    <n v="3"/>
    <s v="Single"/>
    <n v="3038"/>
    <n v="12430"/>
    <n v="3"/>
    <s v="Y"/>
    <s v="No"/>
    <n v="20"/>
    <n v="4"/>
    <n v="1"/>
    <n v="80"/>
    <n v="0"/>
    <n v="8"/>
    <n v="2"/>
    <n v="3"/>
    <n v="5"/>
    <n v="4"/>
    <n v="1"/>
    <n v="4"/>
    <s v="LAB-231"/>
    <x v="1"/>
    <x v="1"/>
    <x v="1"/>
    <n v="5"/>
    <x v="0"/>
  </r>
  <r>
    <n v="27"/>
    <s v="No"/>
    <s v="Travel_Rarely"/>
    <n v="1157"/>
    <x v="1"/>
    <n v="17"/>
    <n v="3"/>
    <s v="Technical Degree"/>
    <n v="1"/>
    <n v="233"/>
    <n v="3"/>
    <s v="Male"/>
    <n v="51"/>
    <n v="3"/>
    <n v="1"/>
    <s v="Research Scientist"/>
    <n v="2"/>
    <s v="Married"/>
    <n v="3058"/>
    <n v="13364"/>
    <n v="0"/>
    <s v="Y"/>
    <s v="Yes"/>
    <n v="16"/>
    <n v="3"/>
    <n v="4"/>
    <n v="80"/>
    <n v="1"/>
    <n v="6"/>
    <n v="3"/>
    <n v="2"/>
    <n v="5"/>
    <n v="2"/>
    <n v="1"/>
    <n v="1"/>
    <s v="LAB-233"/>
    <x v="1"/>
    <x v="1"/>
    <x v="1"/>
    <n v="5"/>
    <x v="0"/>
  </r>
  <r>
    <n v="19"/>
    <s v="Yes"/>
    <s v="Travel_Frequently"/>
    <n v="602"/>
    <x v="0"/>
    <n v="1"/>
    <n v="1"/>
    <s v="Technical Degree"/>
    <n v="1"/>
    <n v="235"/>
    <n v="3"/>
    <s v="Female"/>
    <n v="100"/>
    <n v="1"/>
    <n v="1"/>
    <s v="Sales Representative"/>
    <n v="1"/>
    <s v="Single"/>
    <n v="2325"/>
    <n v="20989"/>
    <n v="0"/>
    <s v="Y"/>
    <s v="No"/>
    <n v="21"/>
    <n v="4"/>
    <n v="1"/>
    <n v="80"/>
    <n v="0"/>
    <n v="1"/>
    <n v="5"/>
    <n v="4"/>
    <n v="0"/>
    <n v="0"/>
    <n v="0"/>
    <n v="0"/>
    <s v="LAB-235"/>
    <x v="6"/>
    <x v="0"/>
    <x v="0"/>
    <n v="0"/>
    <x v="0"/>
  </r>
  <r>
    <n v="36"/>
    <s v="No"/>
    <s v="Travel_Frequently"/>
    <n v="1480"/>
    <x v="1"/>
    <n v="3"/>
    <n v="2"/>
    <s v="Medical"/>
    <n v="1"/>
    <n v="238"/>
    <n v="4"/>
    <s v="Male"/>
    <n v="30"/>
    <n v="3"/>
    <n v="1"/>
    <s v="Laboratory Technician"/>
    <n v="2"/>
    <s v="Single"/>
    <n v="2088"/>
    <n v="15062"/>
    <n v="4"/>
    <s v="Y"/>
    <s v="No"/>
    <n v="12"/>
    <n v="3"/>
    <n v="3"/>
    <n v="80"/>
    <n v="0"/>
    <n v="13"/>
    <n v="3"/>
    <n v="2"/>
    <n v="8"/>
    <n v="7"/>
    <n v="7"/>
    <n v="2"/>
    <s v="LAB-238"/>
    <x v="2"/>
    <x v="1"/>
    <x v="1"/>
    <n v="8"/>
    <x v="0"/>
  </r>
  <r>
    <n v="30"/>
    <s v="No"/>
    <s v="Non-Travel"/>
    <n v="111"/>
    <x v="1"/>
    <n v="9"/>
    <n v="3"/>
    <s v="Medical"/>
    <n v="1"/>
    <n v="239"/>
    <n v="3"/>
    <s v="Male"/>
    <n v="66"/>
    <n v="3"/>
    <n v="2"/>
    <s v="Laboratory Technician"/>
    <n v="1"/>
    <s v="Divorced"/>
    <n v="3072"/>
    <n v="11012"/>
    <n v="1"/>
    <s v="Y"/>
    <s v="No"/>
    <n v="11"/>
    <n v="3"/>
    <n v="3"/>
    <n v="80"/>
    <n v="2"/>
    <n v="12"/>
    <n v="4"/>
    <n v="3"/>
    <n v="12"/>
    <n v="9"/>
    <n v="6"/>
    <n v="10"/>
    <s v="LAB-239"/>
    <x v="2"/>
    <x v="1"/>
    <x v="1"/>
    <n v="12"/>
    <x v="0"/>
  </r>
  <r>
    <n v="45"/>
    <s v="No"/>
    <s v="Travel_Rarely"/>
    <n v="1268"/>
    <x v="0"/>
    <n v="4"/>
    <n v="2"/>
    <s v="Life Sciences"/>
    <n v="1"/>
    <n v="240"/>
    <n v="3"/>
    <s v="Female"/>
    <n v="30"/>
    <n v="3"/>
    <n v="2"/>
    <s v="Sales Executive"/>
    <n v="1"/>
    <s v="Divorced"/>
    <n v="5006"/>
    <n v="6319"/>
    <n v="4"/>
    <s v="Y"/>
    <s v="Yes"/>
    <n v="11"/>
    <n v="3"/>
    <n v="1"/>
    <n v="80"/>
    <n v="1"/>
    <n v="9"/>
    <n v="3"/>
    <n v="4"/>
    <n v="5"/>
    <n v="4"/>
    <n v="0"/>
    <n v="3"/>
    <s v="LAB-240"/>
    <x v="0"/>
    <x v="0"/>
    <x v="1"/>
    <n v="5"/>
    <x v="0"/>
  </r>
  <r>
    <n v="56"/>
    <s v="No"/>
    <s v="Travel_Rarely"/>
    <n v="713"/>
    <x v="1"/>
    <n v="8"/>
    <n v="3"/>
    <s v="Life Sciences"/>
    <n v="1"/>
    <n v="241"/>
    <n v="3"/>
    <s v="Female"/>
    <n v="67"/>
    <n v="3"/>
    <n v="1"/>
    <s v="Research Scientist"/>
    <n v="1"/>
    <s v="Divorced"/>
    <n v="4257"/>
    <n v="13939"/>
    <n v="4"/>
    <s v="Y"/>
    <s v="Yes"/>
    <n v="18"/>
    <n v="3"/>
    <n v="3"/>
    <n v="80"/>
    <n v="1"/>
    <n v="19"/>
    <n v="3"/>
    <n v="3"/>
    <n v="2"/>
    <n v="2"/>
    <n v="2"/>
    <n v="2"/>
    <s v="LAB-241"/>
    <x v="1"/>
    <x v="1"/>
    <x v="1"/>
    <n v="2"/>
    <x v="0"/>
  </r>
  <r>
    <n v="33"/>
    <s v="No"/>
    <s v="Travel_Rarely"/>
    <n v="134"/>
    <x v="1"/>
    <n v="2"/>
    <n v="3"/>
    <s v="Life Sciences"/>
    <n v="1"/>
    <n v="242"/>
    <n v="3"/>
    <s v="Male"/>
    <n v="90"/>
    <n v="3"/>
    <n v="1"/>
    <s v="Research Scientist"/>
    <n v="4"/>
    <s v="Single"/>
    <n v="2500"/>
    <n v="10515"/>
    <n v="0"/>
    <s v="Y"/>
    <s v="No"/>
    <n v="14"/>
    <n v="3"/>
    <n v="1"/>
    <n v="80"/>
    <n v="0"/>
    <n v="4"/>
    <n v="2"/>
    <n v="4"/>
    <n v="3"/>
    <n v="1"/>
    <n v="0"/>
    <n v="2"/>
    <s v="LAB-242"/>
    <x v="1"/>
    <x v="1"/>
    <x v="1"/>
    <n v="3"/>
    <x v="0"/>
  </r>
  <r>
    <n v="19"/>
    <s v="Yes"/>
    <s v="Travel_Rarely"/>
    <n v="303"/>
    <x v="1"/>
    <n v="2"/>
    <n v="3"/>
    <s v="Life Sciences"/>
    <n v="1"/>
    <n v="243"/>
    <n v="2"/>
    <s v="Male"/>
    <n v="47"/>
    <n v="2"/>
    <n v="1"/>
    <s v="Laboratory Technician"/>
    <n v="4"/>
    <s v="Single"/>
    <n v="1102"/>
    <n v="9241"/>
    <n v="1"/>
    <s v="Y"/>
    <s v="No"/>
    <n v="22"/>
    <n v="4"/>
    <n v="3"/>
    <n v="80"/>
    <n v="0"/>
    <n v="1"/>
    <n v="3"/>
    <n v="2"/>
    <n v="1"/>
    <n v="0"/>
    <n v="1"/>
    <n v="0"/>
    <s v="LAB-243"/>
    <x v="2"/>
    <x v="1"/>
    <x v="0"/>
    <n v="1"/>
    <x v="0"/>
  </r>
  <r>
    <n v="46"/>
    <s v="No"/>
    <s v="Travel_Rarely"/>
    <n v="526"/>
    <x v="0"/>
    <n v="1"/>
    <n v="2"/>
    <s v="Marketing"/>
    <n v="1"/>
    <n v="244"/>
    <n v="2"/>
    <s v="Female"/>
    <n v="92"/>
    <n v="3"/>
    <n v="3"/>
    <s v="Sales Executive"/>
    <n v="1"/>
    <s v="Divorced"/>
    <n v="10453"/>
    <n v="2137"/>
    <n v="1"/>
    <s v="Y"/>
    <s v="No"/>
    <n v="25"/>
    <n v="4"/>
    <n v="3"/>
    <n v="80"/>
    <n v="3"/>
    <n v="24"/>
    <n v="2"/>
    <n v="3"/>
    <n v="24"/>
    <n v="13"/>
    <n v="15"/>
    <n v="7"/>
    <s v="LAB-244"/>
    <x v="0"/>
    <x v="0"/>
    <x v="1"/>
    <n v="24"/>
    <x v="0"/>
  </r>
  <r>
    <n v="38"/>
    <s v="No"/>
    <s v="Travel_Rarely"/>
    <n v="1380"/>
    <x v="1"/>
    <n v="9"/>
    <n v="2"/>
    <s v="Life Sciences"/>
    <n v="1"/>
    <n v="245"/>
    <n v="3"/>
    <s v="Female"/>
    <n v="75"/>
    <n v="3"/>
    <n v="1"/>
    <s v="Laboratory Technician"/>
    <n v="4"/>
    <s v="Single"/>
    <n v="2288"/>
    <n v="6319"/>
    <n v="1"/>
    <s v="Y"/>
    <s v="No"/>
    <n v="12"/>
    <n v="3"/>
    <n v="3"/>
    <n v="80"/>
    <n v="0"/>
    <n v="2"/>
    <n v="3"/>
    <n v="3"/>
    <n v="2"/>
    <n v="2"/>
    <n v="2"/>
    <n v="1"/>
    <s v="LAB-245"/>
    <x v="2"/>
    <x v="1"/>
    <x v="1"/>
    <n v="2"/>
    <x v="0"/>
  </r>
  <r>
    <n v="31"/>
    <s v="No"/>
    <s v="Travel_Rarely"/>
    <n v="140"/>
    <x v="1"/>
    <n v="12"/>
    <n v="1"/>
    <s v="Medical"/>
    <n v="1"/>
    <n v="246"/>
    <n v="3"/>
    <s v="Female"/>
    <n v="95"/>
    <n v="3"/>
    <n v="1"/>
    <s v="Research Scientist"/>
    <n v="4"/>
    <s v="Married"/>
    <n v="3929"/>
    <n v="6984"/>
    <n v="8"/>
    <s v="Y"/>
    <s v="Yes"/>
    <n v="23"/>
    <n v="4"/>
    <n v="3"/>
    <n v="80"/>
    <n v="1"/>
    <n v="7"/>
    <n v="0"/>
    <n v="3"/>
    <n v="4"/>
    <n v="2"/>
    <n v="0"/>
    <n v="2"/>
    <s v="LAB-246"/>
    <x v="1"/>
    <x v="1"/>
    <x v="1"/>
    <n v="4"/>
    <x v="0"/>
  </r>
  <r>
    <n v="34"/>
    <s v="No"/>
    <s v="Travel_Rarely"/>
    <n v="629"/>
    <x v="1"/>
    <n v="27"/>
    <n v="2"/>
    <s v="Medical"/>
    <n v="1"/>
    <n v="247"/>
    <n v="4"/>
    <s v="Female"/>
    <n v="95"/>
    <n v="3"/>
    <n v="1"/>
    <s v="Research Scientist"/>
    <n v="2"/>
    <s v="Single"/>
    <n v="2311"/>
    <n v="5711"/>
    <n v="2"/>
    <s v="Y"/>
    <s v="No"/>
    <n v="15"/>
    <n v="3"/>
    <n v="4"/>
    <n v="80"/>
    <n v="0"/>
    <n v="9"/>
    <n v="3"/>
    <n v="3"/>
    <n v="3"/>
    <n v="2"/>
    <n v="1"/>
    <n v="2"/>
    <s v="LAB-247"/>
    <x v="1"/>
    <x v="1"/>
    <x v="1"/>
    <n v="3"/>
    <x v="0"/>
  </r>
  <r>
    <n v="41"/>
    <s v="Yes"/>
    <s v="Travel_Rarely"/>
    <n v="1356"/>
    <x v="0"/>
    <n v="20"/>
    <n v="2"/>
    <s v="Marketing"/>
    <n v="1"/>
    <n v="248"/>
    <n v="2"/>
    <s v="Female"/>
    <n v="70"/>
    <n v="3"/>
    <n v="1"/>
    <s v="Sales Representative"/>
    <n v="2"/>
    <s v="Single"/>
    <n v="3140"/>
    <n v="21728"/>
    <n v="1"/>
    <s v="Y"/>
    <s v="Yes"/>
    <n v="22"/>
    <n v="4"/>
    <n v="4"/>
    <n v="80"/>
    <n v="0"/>
    <n v="4"/>
    <n v="5"/>
    <n v="2"/>
    <n v="4"/>
    <n v="3"/>
    <n v="0"/>
    <n v="2"/>
    <s v="LAB-248"/>
    <x v="6"/>
    <x v="0"/>
    <x v="0"/>
    <n v="4"/>
    <x v="0"/>
  </r>
  <r>
    <n v="50"/>
    <s v="No"/>
    <s v="Travel_Rarely"/>
    <n v="328"/>
    <x v="1"/>
    <n v="1"/>
    <n v="3"/>
    <s v="Medical"/>
    <n v="1"/>
    <n v="249"/>
    <n v="3"/>
    <s v="Male"/>
    <n v="86"/>
    <n v="2"/>
    <n v="1"/>
    <s v="Laboratory Technician"/>
    <n v="3"/>
    <s v="Married"/>
    <n v="3690"/>
    <n v="3425"/>
    <n v="2"/>
    <s v="Y"/>
    <s v="No"/>
    <n v="15"/>
    <n v="3"/>
    <n v="4"/>
    <n v="80"/>
    <n v="1"/>
    <n v="5"/>
    <n v="2"/>
    <n v="2"/>
    <n v="3"/>
    <n v="2"/>
    <n v="0"/>
    <n v="2"/>
    <s v="LAB-249"/>
    <x v="2"/>
    <x v="1"/>
    <x v="1"/>
    <n v="3"/>
    <x v="0"/>
  </r>
  <r>
    <n v="53"/>
    <s v="No"/>
    <s v="Travel_Rarely"/>
    <n v="1084"/>
    <x v="1"/>
    <n v="13"/>
    <n v="2"/>
    <s v="Medical"/>
    <n v="1"/>
    <n v="250"/>
    <n v="4"/>
    <s v="Female"/>
    <n v="57"/>
    <n v="4"/>
    <n v="2"/>
    <s v="Manufacturing Director"/>
    <n v="1"/>
    <s v="Divorced"/>
    <n v="4450"/>
    <n v="26250"/>
    <n v="1"/>
    <s v="Y"/>
    <s v="No"/>
    <n v="11"/>
    <n v="3"/>
    <n v="3"/>
    <n v="80"/>
    <n v="2"/>
    <n v="5"/>
    <n v="3"/>
    <n v="3"/>
    <n v="4"/>
    <n v="2"/>
    <n v="1"/>
    <n v="3"/>
    <s v="LAB-250"/>
    <x v="3"/>
    <x v="1"/>
    <x v="1"/>
    <n v="4"/>
    <x v="0"/>
  </r>
  <r>
    <n v="33"/>
    <s v="No"/>
    <s v="Travel_Rarely"/>
    <n v="931"/>
    <x v="1"/>
    <n v="14"/>
    <n v="3"/>
    <s v="Medical"/>
    <n v="1"/>
    <n v="252"/>
    <n v="4"/>
    <s v="Female"/>
    <n v="72"/>
    <n v="3"/>
    <n v="1"/>
    <s v="Research Scientist"/>
    <n v="2"/>
    <s v="Married"/>
    <n v="2756"/>
    <n v="4673"/>
    <n v="1"/>
    <s v="Y"/>
    <s v="No"/>
    <n v="13"/>
    <n v="3"/>
    <n v="4"/>
    <n v="80"/>
    <n v="1"/>
    <n v="8"/>
    <n v="5"/>
    <n v="3"/>
    <n v="8"/>
    <n v="7"/>
    <n v="1"/>
    <n v="6"/>
    <s v="LAB-252"/>
    <x v="1"/>
    <x v="1"/>
    <x v="1"/>
    <n v="8"/>
    <x v="0"/>
  </r>
  <r>
    <n v="40"/>
    <s v="No"/>
    <s v="Travel_Rarely"/>
    <n v="989"/>
    <x v="1"/>
    <n v="4"/>
    <n v="1"/>
    <s v="Medical"/>
    <n v="1"/>
    <n v="253"/>
    <n v="4"/>
    <s v="Female"/>
    <n v="46"/>
    <n v="3"/>
    <n v="5"/>
    <s v="Manager"/>
    <n v="3"/>
    <s v="Married"/>
    <n v="19033"/>
    <n v="6499"/>
    <n v="1"/>
    <s v="Y"/>
    <s v="No"/>
    <n v="14"/>
    <n v="3"/>
    <n v="2"/>
    <n v="80"/>
    <n v="1"/>
    <n v="21"/>
    <n v="2"/>
    <n v="3"/>
    <n v="20"/>
    <n v="8"/>
    <n v="9"/>
    <n v="9"/>
    <s v="LAB-253"/>
    <x v="5"/>
    <x v="1"/>
    <x v="1"/>
    <n v="20"/>
    <x v="0"/>
  </r>
  <r>
    <n v="55"/>
    <s v="No"/>
    <s v="Travel_Rarely"/>
    <n v="692"/>
    <x v="1"/>
    <n v="14"/>
    <n v="4"/>
    <s v="Medical"/>
    <n v="1"/>
    <n v="254"/>
    <n v="3"/>
    <s v="Male"/>
    <n v="61"/>
    <n v="4"/>
    <n v="5"/>
    <s v="Research Director"/>
    <n v="2"/>
    <s v="Single"/>
    <n v="18722"/>
    <n v="13339"/>
    <n v="8"/>
    <s v="Y"/>
    <s v="No"/>
    <n v="11"/>
    <n v="3"/>
    <n v="4"/>
    <n v="80"/>
    <n v="0"/>
    <n v="36"/>
    <n v="3"/>
    <n v="3"/>
    <n v="24"/>
    <n v="15"/>
    <n v="2"/>
    <n v="15"/>
    <s v="LAB-254"/>
    <x v="7"/>
    <x v="1"/>
    <x v="1"/>
    <n v="24"/>
    <x v="0"/>
  </r>
  <r>
    <n v="34"/>
    <s v="No"/>
    <s v="Travel_Frequently"/>
    <n v="1069"/>
    <x v="1"/>
    <n v="2"/>
    <n v="1"/>
    <s v="Life Sciences"/>
    <n v="1"/>
    <n v="256"/>
    <n v="4"/>
    <s v="Male"/>
    <n v="45"/>
    <n v="2"/>
    <n v="2"/>
    <s v="Manufacturing Director"/>
    <n v="3"/>
    <s v="Married"/>
    <n v="9547"/>
    <n v="14074"/>
    <n v="1"/>
    <s v="Y"/>
    <s v="No"/>
    <n v="17"/>
    <n v="3"/>
    <n v="3"/>
    <n v="80"/>
    <n v="0"/>
    <n v="10"/>
    <n v="2"/>
    <n v="2"/>
    <n v="10"/>
    <n v="9"/>
    <n v="1"/>
    <n v="9"/>
    <s v="LAB-256"/>
    <x v="3"/>
    <x v="1"/>
    <x v="1"/>
    <n v="10"/>
    <x v="0"/>
  </r>
  <r>
    <n v="51"/>
    <s v="No"/>
    <s v="Travel_Rarely"/>
    <n v="313"/>
    <x v="1"/>
    <n v="3"/>
    <n v="3"/>
    <s v="Medical"/>
    <n v="1"/>
    <n v="258"/>
    <n v="4"/>
    <s v="Female"/>
    <n v="98"/>
    <n v="3"/>
    <n v="4"/>
    <s v="Healthcare Representative"/>
    <n v="2"/>
    <s v="Single"/>
    <n v="13734"/>
    <n v="7192"/>
    <n v="3"/>
    <s v="Y"/>
    <s v="No"/>
    <n v="18"/>
    <n v="3"/>
    <n v="3"/>
    <n v="80"/>
    <n v="0"/>
    <n v="21"/>
    <n v="6"/>
    <n v="3"/>
    <n v="7"/>
    <n v="7"/>
    <n v="1"/>
    <n v="0"/>
    <s v="LAB-258"/>
    <x v="4"/>
    <x v="1"/>
    <x v="1"/>
    <n v="7"/>
    <x v="0"/>
  </r>
  <r>
    <n v="52"/>
    <s v="No"/>
    <s v="Travel_Rarely"/>
    <n v="699"/>
    <x v="1"/>
    <n v="1"/>
    <n v="4"/>
    <s v="Life Sciences"/>
    <n v="1"/>
    <n v="259"/>
    <n v="3"/>
    <s v="Male"/>
    <n v="65"/>
    <n v="2"/>
    <n v="5"/>
    <s v="Manager"/>
    <n v="3"/>
    <s v="Married"/>
    <n v="19999"/>
    <n v="5678"/>
    <n v="0"/>
    <s v="Y"/>
    <s v="No"/>
    <n v="14"/>
    <n v="3"/>
    <n v="1"/>
    <n v="80"/>
    <n v="1"/>
    <n v="34"/>
    <n v="5"/>
    <n v="3"/>
    <n v="33"/>
    <n v="18"/>
    <n v="11"/>
    <n v="9"/>
    <s v="LAB-259"/>
    <x v="5"/>
    <x v="1"/>
    <x v="1"/>
    <n v="33"/>
    <x v="0"/>
  </r>
  <r>
    <n v="27"/>
    <s v="No"/>
    <s v="Travel_Rarely"/>
    <n v="894"/>
    <x v="1"/>
    <n v="9"/>
    <n v="3"/>
    <s v="Medical"/>
    <n v="1"/>
    <n v="260"/>
    <n v="4"/>
    <s v="Female"/>
    <n v="99"/>
    <n v="3"/>
    <n v="1"/>
    <s v="Research Scientist"/>
    <n v="2"/>
    <s v="Single"/>
    <n v="2279"/>
    <n v="11781"/>
    <n v="1"/>
    <s v="Y"/>
    <s v="No"/>
    <n v="16"/>
    <n v="3"/>
    <n v="4"/>
    <n v="80"/>
    <n v="0"/>
    <n v="7"/>
    <n v="2"/>
    <n v="2"/>
    <n v="7"/>
    <n v="7"/>
    <n v="0"/>
    <n v="3"/>
    <s v="LAB-260"/>
    <x v="1"/>
    <x v="1"/>
    <x v="1"/>
    <n v="7"/>
    <x v="0"/>
  </r>
  <r>
    <n v="35"/>
    <s v="Yes"/>
    <s v="Travel_Rarely"/>
    <n v="556"/>
    <x v="1"/>
    <n v="23"/>
    <n v="2"/>
    <s v="Life Sciences"/>
    <n v="1"/>
    <n v="261"/>
    <n v="2"/>
    <s v="Male"/>
    <n v="50"/>
    <n v="2"/>
    <n v="2"/>
    <s v="Manufacturing Director"/>
    <n v="3"/>
    <s v="Married"/>
    <n v="5916"/>
    <n v="15497"/>
    <n v="3"/>
    <s v="Y"/>
    <s v="Yes"/>
    <n v="13"/>
    <n v="3"/>
    <n v="1"/>
    <n v="80"/>
    <n v="0"/>
    <n v="8"/>
    <n v="1"/>
    <n v="3"/>
    <n v="1"/>
    <n v="0"/>
    <n v="0"/>
    <n v="1"/>
    <s v="LAB-261"/>
    <x v="3"/>
    <x v="1"/>
    <x v="0"/>
    <n v="1"/>
    <x v="0"/>
  </r>
  <r>
    <n v="43"/>
    <s v="No"/>
    <s v="Non-Travel"/>
    <n v="1344"/>
    <x v="1"/>
    <n v="7"/>
    <n v="3"/>
    <s v="Medical"/>
    <n v="1"/>
    <n v="262"/>
    <n v="4"/>
    <s v="Male"/>
    <n v="37"/>
    <n v="4"/>
    <n v="1"/>
    <s v="Research Scientist"/>
    <n v="4"/>
    <s v="Divorced"/>
    <n v="2089"/>
    <n v="5228"/>
    <n v="4"/>
    <s v="Y"/>
    <s v="No"/>
    <n v="14"/>
    <n v="3"/>
    <n v="4"/>
    <n v="80"/>
    <n v="3"/>
    <n v="7"/>
    <n v="3"/>
    <n v="4"/>
    <n v="5"/>
    <n v="4"/>
    <n v="2"/>
    <n v="2"/>
    <s v="LAB-262"/>
    <x v="1"/>
    <x v="1"/>
    <x v="1"/>
    <n v="5"/>
    <x v="0"/>
  </r>
  <r>
    <n v="45"/>
    <s v="No"/>
    <s v="Non-Travel"/>
    <n v="1195"/>
    <x v="1"/>
    <n v="2"/>
    <n v="2"/>
    <s v="Medical"/>
    <n v="1"/>
    <n v="264"/>
    <n v="1"/>
    <s v="Male"/>
    <n v="65"/>
    <n v="2"/>
    <n v="4"/>
    <s v="Manager"/>
    <n v="4"/>
    <s v="Married"/>
    <n v="16792"/>
    <n v="20462"/>
    <n v="9"/>
    <s v="Y"/>
    <s v="No"/>
    <n v="23"/>
    <n v="4"/>
    <n v="4"/>
    <n v="80"/>
    <n v="1"/>
    <n v="22"/>
    <n v="1"/>
    <n v="3"/>
    <n v="20"/>
    <n v="8"/>
    <n v="11"/>
    <n v="8"/>
    <s v="LAB-264"/>
    <x v="5"/>
    <x v="1"/>
    <x v="1"/>
    <n v="20"/>
    <x v="0"/>
  </r>
  <r>
    <n v="37"/>
    <s v="No"/>
    <s v="Travel_Rarely"/>
    <n v="290"/>
    <x v="1"/>
    <n v="21"/>
    <n v="3"/>
    <s v="Life Sciences"/>
    <n v="1"/>
    <n v="267"/>
    <n v="2"/>
    <s v="Male"/>
    <n v="65"/>
    <n v="4"/>
    <n v="1"/>
    <s v="Research Scientist"/>
    <n v="1"/>
    <s v="Married"/>
    <n v="3564"/>
    <n v="22977"/>
    <n v="1"/>
    <s v="Y"/>
    <s v="Yes"/>
    <n v="12"/>
    <n v="3"/>
    <n v="1"/>
    <n v="80"/>
    <n v="1"/>
    <n v="8"/>
    <n v="3"/>
    <n v="2"/>
    <n v="8"/>
    <n v="7"/>
    <n v="1"/>
    <n v="7"/>
    <s v="LAB-267"/>
    <x v="1"/>
    <x v="1"/>
    <x v="1"/>
    <n v="8"/>
    <x v="0"/>
  </r>
  <r>
    <n v="35"/>
    <s v="No"/>
    <s v="Travel_Frequently"/>
    <n v="138"/>
    <x v="1"/>
    <n v="2"/>
    <n v="3"/>
    <s v="Medical"/>
    <n v="1"/>
    <n v="269"/>
    <n v="2"/>
    <s v="Female"/>
    <n v="37"/>
    <n v="3"/>
    <n v="2"/>
    <s v="Laboratory Technician"/>
    <n v="2"/>
    <s v="Single"/>
    <n v="4425"/>
    <n v="15986"/>
    <n v="5"/>
    <s v="Y"/>
    <s v="No"/>
    <n v="11"/>
    <n v="3"/>
    <n v="4"/>
    <n v="80"/>
    <n v="0"/>
    <n v="10"/>
    <n v="5"/>
    <n v="3"/>
    <n v="6"/>
    <n v="2"/>
    <n v="1"/>
    <n v="2"/>
    <s v="LAB-269"/>
    <x v="2"/>
    <x v="1"/>
    <x v="1"/>
    <n v="6"/>
    <x v="0"/>
  </r>
  <r>
    <n v="42"/>
    <s v="No"/>
    <s v="Non-Travel"/>
    <n v="926"/>
    <x v="1"/>
    <n v="21"/>
    <n v="2"/>
    <s v="Medical"/>
    <n v="1"/>
    <n v="270"/>
    <n v="3"/>
    <s v="Female"/>
    <n v="36"/>
    <n v="3"/>
    <n v="2"/>
    <s v="Manufacturing Director"/>
    <n v="3"/>
    <s v="Divorced"/>
    <n v="5265"/>
    <n v="16439"/>
    <n v="2"/>
    <s v="Y"/>
    <s v="No"/>
    <n v="16"/>
    <n v="3"/>
    <n v="2"/>
    <n v="80"/>
    <n v="1"/>
    <n v="11"/>
    <n v="5"/>
    <n v="3"/>
    <n v="5"/>
    <n v="3"/>
    <n v="0"/>
    <n v="2"/>
    <s v="LAB-270"/>
    <x v="3"/>
    <x v="1"/>
    <x v="1"/>
    <n v="5"/>
    <x v="0"/>
  </r>
  <r>
    <n v="38"/>
    <s v="No"/>
    <s v="Travel_Rarely"/>
    <n v="1261"/>
    <x v="1"/>
    <n v="2"/>
    <n v="4"/>
    <s v="Life Sciences"/>
    <n v="1"/>
    <n v="271"/>
    <n v="4"/>
    <s v="Male"/>
    <n v="88"/>
    <n v="3"/>
    <n v="2"/>
    <s v="Manufacturing Director"/>
    <n v="3"/>
    <s v="Married"/>
    <n v="6553"/>
    <n v="7259"/>
    <n v="9"/>
    <s v="Y"/>
    <s v="No"/>
    <n v="14"/>
    <n v="3"/>
    <n v="2"/>
    <n v="80"/>
    <n v="0"/>
    <n v="14"/>
    <n v="3"/>
    <n v="3"/>
    <n v="1"/>
    <n v="0"/>
    <n v="0"/>
    <n v="0"/>
    <s v="LAB-271"/>
    <x v="3"/>
    <x v="1"/>
    <x v="1"/>
    <n v="1"/>
    <x v="0"/>
  </r>
  <r>
    <n v="38"/>
    <s v="No"/>
    <s v="Travel_Rarely"/>
    <n v="1084"/>
    <x v="1"/>
    <n v="29"/>
    <n v="3"/>
    <s v="Technical Degree"/>
    <n v="1"/>
    <n v="273"/>
    <n v="4"/>
    <s v="Male"/>
    <n v="54"/>
    <n v="3"/>
    <n v="2"/>
    <s v="Manufacturing Director"/>
    <n v="4"/>
    <s v="Married"/>
    <n v="6261"/>
    <n v="4185"/>
    <n v="3"/>
    <s v="Y"/>
    <s v="No"/>
    <n v="18"/>
    <n v="3"/>
    <n v="1"/>
    <n v="80"/>
    <n v="1"/>
    <n v="9"/>
    <n v="3"/>
    <n v="1"/>
    <n v="7"/>
    <n v="7"/>
    <n v="1"/>
    <n v="7"/>
    <s v="LAB-273"/>
    <x v="3"/>
    <x v="1"/>
    <x v="1"/>
    <n v="7"/>
    <x v="0"/>
  </r>
  <r>
    <n v="27"/>
    <s v="No"/>
    <s v="Travel_Frequently"/>
    <n v="472"/>
    <x v="1"/>
    <n v="1"/>
    <n v="1"/>
    <s v="Technical Degree"/>
    <n v="1"/>
    <n v="274"/>
    <n v="3"/>
    <s v="Male"/>
    <n v="60"/>
    <n v="2"/>
    <n v="2"/>
    <s v="Manufacturing Director"/>
    <n v="1"/>
    <s v="Married"/>
    <n v="4298"/>
    <n v="9679"/>
    <n v="5"/>
    <s v="Y"/>
    <s v="No"/>
    <n v="19"/>
    <n v="3"/>
    <n v="3"/>
    <n v="80"/>
    <n v="1"/>
    <n v="6"/>
    <n v="1"/>
    <n v="3"/>
    <n v="2"/>
    <n v="2"/>
    <n v="2"/>
    <n v="0"/>
    <s v="LAB-274"/>
    <x v="3"/>
    <x v="1"/>
    <x v="1"/>
    <n v="2"/>
    <x v="0"/>
  </r>
  <r>
    <n v="49"/>
    <s v="No"/>
    <s v="Non-Travel"/>
    <n v="1002"/>
    <x v="1"/>
    <n v="18"/>
    <n v="4"/>
    <s v="Life Sciences"/>
    <n v="1"/>
    <n v="275"/>
    <n v="4"/>
    <s v="Male"/>
    <n v="92"/>
    <n v="3"/>
    <n v="2"/>
    <s v="Manufacturing Director"/>
    <n v="4"/>
    <s v="Divorced"/>
    <n v="6804"/>
    <n v="23793"/>
    <n v="1"/>
    <s v="Y"/>
    <s v="Yes"/>
    <n v="15"/>
    <n v="3"/>
    <n v="1"/>
    <n v="80"/>
    <n v="2"/>
    <n v="7"/>
    <n v="0"/>
    <n v="3"/>
    <n v="7"/>
    <n v="7"/>
    <n v="1"/>
    <n v="7"/>
    <s v="LAB-275"/>
    <x v="3"/>
    <x v="1"/>
    <x v="1"/>
    <n v="7"/>
    <x v="0"/>
  </r>
  <r>
    <n v="34"/>
    <s v="No"/>
    <s v="Travel_Frequently"/>
    <n v="878"/>
    <x v="1"/>
    <n v="10"/>
    <n v="4"/>
    <s v="Medical"/>
    <n v="1"/>
    <n v="277"/>
    <n v="4"/>
    <s v="Male"/>
    <n v="43"/>
    <n v="3"/>
    <n v="1"/>
    <s v="Research Scientist"/>
    <n v="3"/>
    <s v="Divorced"/>
    <n v="3815"/>
    <n v="5972"/>
    <n v="1"/>
    <s v="Y"/>
    <s v="Yes"/>
    <n v="17"/>
    <n v="3"/>
    <n v="4"/>
    <n v="80"/>
    <n v="1"/>
    <n v="5"/>
    <n v="4"/>
    <n v="4"/>
    <n v="5"/>
    <n v="3"/>
    <n v="2"/>
    <n v="0"/>
    <s v="LAB-277"/>
    <x v="1"/>
    <x v="1"/>
    <x v="1"/>
    <n v="5"/>
    <x v="0"/>
  </r>
  <r>
    <n v="40"/>
    <s v="No"/>
    <s v="Travel_Rarely"/>
    <n v="905"/>
    <x v="1"/>
    <n v="19"/>
    <n v="2"/>
    <s v="Medical"/>
    <n v="1"/>
    <n v="281"/>
    <n v="3"/>
    <s v="Male"/>
    <n v="99"/>
    <n v="3"/>
    <n v="2"/>
    <s v="Laboratory Technician"/>
    <n v="4"/>
    <s v="Married"/>
    <n v="2741"/>
    <n v="16523"/>
    <n v="8"/>
    <s v="Y"/>
    <s v="Yes"/>
    <n v="15"/>
    <n v="3"/>
    <n v="3"/>
    <n v="80"/>
    <n v="1"/>
    <n v="15"/>
    <n v="2"/>
    <n v="4"/>
    <n v="7"/>
    <n v="2"/>
    <n v="3"/>
    <n v="7"/>
    <s v="LAB-281"/>
    <x v="2"/>
    <x v="1"/>
    <x v="1"/>
    <n v="7"/>
    <x v="0"/>
  </r>
  <r>
    <n v="38"/>
    <s v="Yes"/>
    <s v="Travel_Rarely"/>
    <n v="1180"/>
    <x v="1"/>
    <n v="29"/>
    <n v="1"/>
    <s v="Medical"/>
    <n v="1"/>
    <n v="282"/>
    <n v="2"/>
    <s v="Male"/>
    <n v="70"/>
    <n v="3"/>
    <n v="2"/>
    <s v="Healthcare Representative"/>
    <n v="1"/>
    <s v="Married"/>
    <n v="6673"/>
    <n v="11354"/>
    <n v="7"/>
    <s v="Y"/>
    <s v="Yes"/>
    <n v="19"/>
    <n v="3"/>
    <n v="2"/>
    <n v="80"/>
    <n v="0"/>
    <n v="17"/>
    <n v="2"/>
    <n v="3"/>
    <n v="1"/>
    <n v="0"/>
    <n v="0"/>
    <n v="0"/>
    <s v="LAB-282"/>
    <x v="4"/>
    <x v="1"/>
    <x v="0"/>
    <n v="1"/>
    <x v="0"/>
  </r>
  <r>
    <n v="29"/>
    <s v="Yes"/>
    <s v="Travel_Rarely"/>
    <n v="121"/>
    <x v="0"/>
    <n v="27"/>
    <n v="3"/>
    <s v="Marketing"/>
    <n v="1"/>
    <n v="283"/>
    <n v="2"/>
    <s v="Female"/>
    <n v="35"/>
    <n v="3"/>
    <n v="3"/>
    <s v="Sales Executive"/>
    <n v="4"/>
    <s v="Married"/>
    <n v="7639"/>
    <n v="24525"/>
    <n v="1"/>
    <s v="Y"/>
    <s v="No"/>
    <n v="22"/>
    <n v="4"/>
    <n v="4"/>
    <n v="80"/>
    <n v="3"/>
    <n v="10"/>
    <n v="3"/>
    <n v="2"/>
    <n v="10"/>
    <n v="4"/>
    <n v="1"/>
    <n v="9"/>
    <s v="LAB-283"/>
    <x v="0"/>
    <x v="0"/>
    <x v="0"/>
    <n v="10"/>
    <x v="0"/>
  </r>
  <r>
    <n v="22"/>
    <s v="No"/>
    <s v="Travel_Rarely"/>
    <n v="1136"/>
    <x v="1"/>
    <n v="5"/>
    <n v="3"/>
    <s v="Life Sciences"/>
    <n v="1"/>
    <n v="284"/>
    <n v="4"/>
    <s v="Male"/>
    <n v="60"/>
    <n v="4"/>
    <n v="1"/>
    <s v="Research Scientist"/>
    <n v="2"/>
    <s v="Divorced"/>
    <n v="2328"/>
    <n v="12392"/>
    <n v="1"/>
    <s v="Y"/>
    <s v="Yes"/>
    <n v="16"/>
    <n v="3"/>
    <n v="1"/>
    <n v="80"/>
    <n v="1"/>
    <n v="4"/>
    <n v="2"/>
    <n v="2"/>
    <n v="4"/>
    <n v="2"/>
    <n v="2"/>
    <n v="2"/>
    <s v="LAB-284"/>
    <x v="1"/>
    <x v="1"/>
    <x v="1"/>
    <n v="4"/>
    <x v="0"/>
  </r>
  <r>
    <n v="36"/>
    <s v="No"/>
    <s v="Travel_Frequently"/>
    <n v="635"/>
    <x v="1"/>
    <n v="18"/>
    <n v="1"/>
    <s v="Medical"/>
    <n v="1"/>
    <n v="286"/>
    <n v="2"/>
    <s v="Female"/>
    <n v="73"/>
    <n v="3"/>
    <n v="1"/>
    <s v="Laboratory Technician"/>
    <n v="4"/>
    <s v="Single"/>
    <n v="2153"/>
    <n v="7703"/>
    <n v="1"/>
    <s v="Y"/>
    <s v="No"/>
    <n v="13"/>
    <n v="3"/>
    <n v="1"/>
    <n v="80"/>
    <n v="0"/>
    <n v="8"/>
    <n v="2"/>
    <n v="3"/>
    <n v="8"/>
    <n v="1"/>
    <n v="1"/>
    <n v="7"/>
    <s v="LAB-286"/>
    <x v="2"/>
    <x v="1"/>
    <x v="1"/>
    <n v="8"/>
    <x v="0"/>
  </r>
  <r>
    <n v="40"/>
    <s v="No"/>
    <s v="Non-Travel"/>
    <n v="1151"/>
    <x v="1"/>
    <n v="9"/>
    <n v="5"/>
    <s v="Life Sciences"/>
    <n v="1"/>
    <n v="287"/>
    <n v="4"/>
    <s v="Male"/>
    <n v="63"/>
    <n v="2"/>
    <n v="2"/>
    <s v="Healthcare Representative"/>
    <n v="4"/>
    <s v="Married"/>
    <n v="4876"/>
    <n v="14242"/>
    <n v="9"/>
    <s v="Y"/>
    <s v="No"/>
    <n v="14"/>
    <n v="3"/>
    <n v="4"/>
    <n v="80"/>
    <n v="1"/>
    <n v="5"/>
    <n v="5"/>
    <n v="1"/>
    <n v="3"/>
    <n v="2"/>
    <n v="0"/>
    <n v="2"/>
    <s v="LAB-287"/>
    <x v="4"/>
    <x v="1"/>
    <x v="1"/>
    <n v="3"/>
    <x v="0"/>
  </r>
  <r>
    <n v="46"/>
    <s v="No"/>
    <s v="Travel_Rarely"/>
    <n v="644"/>
    <x v="1"/>
    <n v="1"/>
    <n v="4"/>
    <s v="Medical"/>
    <n v="1"/>
    <n v="288"/>
    <n v="4"/>
    <s v="Male"/>
    <n v="97"/>
    <n v="3"/>
    <n v="3"/>
    <s v="Healthcare Representative"/>
    <n v="1"/>
    <s v="Divorced"/>
    <n v="9396"/>
    <n v="12368"/>
    <n v="7"/>
    <s v="Y"/>
    <s v="No"/>
    <n v="16"/>
    <n v="3"/>
    <n v="3"/>
    <n v="80"/>
    <n v="1"/>
    <n v="17"/>
    <n v="3"/>
    <n v="3"/>
    <n v="4"/>
    <n v="2"/>
    <n v="0"/>
    <n v="3"/>
    <s v="LAB-288"/>
    <x v="4"/>
    <x v="1"/>
    <x v="1"/>
    <n v="4"/>
    <x v="0"/>
  </r>
  <r>
    <n v="32"/>
    <s v="Yes"/>
    <s v="Travel_Rarely"/>
    <n v="1045"/>
    <x v="0"/>
    <n v="4"/>
    <n v="4"/>
    <s v="Medical"/>
    <n v="1"/>
    <n v="291"/>
    <n v="4"/>
    <s v="Male"/>
    <n v="32"/>
    <n v="1"/>
    <n v="3"/>
    <s v="Sales Executive"/>
    <n v="4"/>
    <s v="Married"/>
    <n v="10400"/>
    <n v="25812"/>
    <n v="1"/>
    <s v="Y"/>
    <s v="No"/>
    <n v="11"/>
    <n v="3"/>
    <n v="3"/>
    <n v="80"/>
    <n v="0"/>
    <n v="14"/>
    <n v="2"/>
    <n v="2"/>
    <n v="14"/>
    <n v="8"/>
    <n v="9"/>
    <n v="8"/>
    <s v="LAB-291"/>
    <x v="0"/>
    <x v="0"/>
    <x v="0"/>
    <n v="14"/>
    <x v="0"/>
  </r>
  <r>
    <n v="30"/>
    <s v="No"/>
    <s v="Non-Travel"/>
    <n v="829"/>
    <x v="1"/>
    <n v="1"/>
    <n v="1"/>
    <s v="Life Sciences"/>
    <n v="1"/>
    <n v="292"/>
    <n v="3"/>
    <s v="Male"/>
    <n v="88"/>
    <n v="2"/>
    <n v="3"/>
    <s v="Manufacturing Director"/>
    <n v="3"/>
    <s v="Single"/>
    <n v="8474"/>
    <n v="20925"/>
    <n v="1"/>
    <s v="Y"/>
    <s v="No"/>
    <n v="22"/>
    <n v="4"/>
    <n v="3"/>
    <n v="80"/>
    <n v="0"/>
    <n v="12"/>
    <n v="2"/>
    <n v="3"/>
    <n v="11"/>
    <n v="8"/>
    <n v="5"/>
    <n v="8"/>
    <s v="LAB-292"/>
    <x v="3"/>
    <x v="1"/>
    <x v="1"/>
    <n v="11"/>
    <x v="0"/>
  </r>
  <r>
    <n v="27"/>
    <s v="No"/>
    <s v="Travel_Frequently"/>
    <n v="1242"/>
    <x v="0"/>
    <n v="20"/>
    <n v="3"/>
    <s v="Life Sciences"/>
    <n v="1"/>
    <n v="293"/>
    <n v="4"/>
    <s v="Female"/>
    <n v="90"/>
    <n v="3"/>
    <n v="2"/>
    <s v="Sales Executive"/>
    <n v="3"/>
    <s v="Single"/>
    <n v="9981"/>
    <n v="12916"/>
    <n v="1"/>
    <s v="Y"/>
    <s v="No"/>
    <n v="14"/>
    <n v="3"/>
    <n v="4"/>
    <n v="80"/>
    <n v="0"/>
    <n v="7"/>
    <n v="2"/>
    <n v="3"/>
    <n v="7"/>
    <n v="7"/>
    <n v="0"/>
    <n v="7"/>
    <s v="LAB-293"/>
    <x v="0"/>
    <x v="0"/>
    <x v="1"/>
    <n v="7"/>
    <x v="0"/>
  </r>
  <r>
    <n v="51"/>
    <s v="No"/>
    <s v="Travel_Rarely"/>
    <n v="1469"/>
    <x v="1"/>
    <n v="8"/>
    <n v="4"/>
    <s v="Life Sciences"/>
    <n v="1"/>
    <n v="296"/>
    <n v="2"/>
    <s v="Male"/>
    <n v="81"/>
    <n v="2"/>
    <n v="3"/>
    <s v="Research Director"/>
    <n v="2"/>
    <s v="Married"/>
    <n v="12490"/>
    <n v="15736"/>
    <n v="5"/>
    <s v="Y"/>
    <s v="No"/>
    <n v="16"/>
    <n v="3"/>
    <n v="4"/>
    <n v="80"/>
    <n v="2"/>
    <n v="16"/>
    <n v="5"/>
    <n v="1"/>
    <n v="10"/>
    <n v="9"/>
    <n v="4"/>
    <n v="7"/>
    <s v="LAB-296"/>
    <x v="7"/>
    <x v="1"/>
    <x v="1"/>
    <n v="10"/>
    <x v="0"/>
  </r>
  <r>
    <n v="30"/>
    <s v="Yes"/>
    <s v="Travel_Rarely"/>
    <n v="1005"/>
    <x v="1"/>
    <n v="3"/>
    <n v="3"/>
    <s v="Technical Degree"/>
    <n v="1"/>
    <n v="297"/>
    <n v="4"/>
    <s v="Female"/>
    <n v="88"/>
    <n v="3"/>
    <n v="1"/>
    <s v="Research Scientist"/>
    <n v="1"/>
    <s v="Single"/>
    <n v="2657"/>
    <n v="8556"/>
    <n v="5"/>
    <s v="Y"/>
    <s v="Yes"/>
    <n v="11"/>
    <n v="3"/>
    <n v="3"/>
    <n v="80"/>
    <n v="0"/>
    <n v="8"/>
    <n v="5"/>
    <n v="3"/>
    <n v="5"/>
    <n v="2"/>
    <n v="0"/>
    <n v="4"/>
    <s v="LAB-297"/>
    <x v="1"/>
    <x v="1"/>
    <x v="0"/>
    <n v="5"/>
    <x v="0"/>
  </r>
  <r>
    <n v="41"/>
    <s v="No"/>
    <s v="Travel_Rarely"/>
    <n v="896"/>
    <x v="0"/>
    <n v="6"/>
    <n v="3"/>
    <s v="Life Sciences"/>
    <n v="1"/>
    <n v="298"/>
    <n v="4"/>
    <s v="Female"/>
    <n v="75"/>
    <n v="3"/>
    <n v="3"/>
    <s v="Manager"/>
    <n v="4"/>
    <s v="Single"/>
    <n v="13591"/>
    <n v="14674"/>
    <n v="3"/>
    <s v="Y"/>
    <s v="Yes"/>
    <n v="18"/>
    <n v="3"/>
    <n v="3"/>
    <n v="80"/>
    <n v="0"/>
    <n v="16"/>
    <n v="3"/>
    <n v="3"/>
    <n v="1"/>
    <n v="0"/>
    <n v="0"/>
    <n v="0"/>
    <s v="LAB-298"/>
    <x v="5"/>
    <x v="0"/>
    <x v="1"/>
    <n v="1"/>
    <x v="0"/>
  </r>
  <r>
    <n v="30"/>
    <s v="Yes"/>
    <s v="Travel_Frequently"/>
    <n v="334"/>
    <x v="0"/>
    <n v="26"/>
    <n v="4"/>
    <s v="Marketing"/>
    <n v="1"/>
    <n v="299"/>
    <n v="3"/>
    <s v="Female"/>
    <n v="52"/>
    <n v="2"/>
    <n v="2"/>
    <s v="Sales Executive"/>
    <n v="1"/>
    <s v="Single"/>
    <n v="6696"/>
    <n v="22967"/>
    <n v="5"/>
    <s v="Y"/>
    <s v="No"/>
    <n v="15"/>
    <n v="3"/>
    <n v="3"/>
    <n v="80"/>
    <n v="0"/>
    <n v="9"/>
    <n v="5"/>
    <n v="2"/>
    <n v="6"/>
    <n v="3"/>
    <n v="0"/>
    <n v="1"/>
    <s v="LAB-299"/>
    <x v="0"/>
    <x v="0"/>
    <x v="0"/>
    <n v="6"/>
    <x v="0"/>
  </r>
  <r>
    <n v="29"/>
    <s v="Yes"/>
    <s v="Travel_Rarely"/>
    <n v="992"/>
    <x v="1"/>
    <n v="1"/>
    <n v="3"/>
    <s v="Technical Degree"/>
    <n v="1"/>
    <n v="300"/>
    <n v="3"/>
    <s v="Male"/>
    <n v="85"/>
    <n v="3"/>
    <n v="1"/>
    <s v="Research Scientist"/>
    <n v="3"/>
    <s v="Single"/>
    <n v="2058"/>
    <n v="19757"/>
    <n v="0"/>
    <s v="Y"/>
    <s v="No"/>
    <n v="14"/>
    <n v="3"/>
    <n v="4"/>
    <n v="80"/>
    <n v="0"/>
    <n v="7"/>
    <n v="1"/>
    <n v="2"/>
    <n v="6"/>
    <n v="2"/>
    <n v="1"/>
    <n v="5"/>
    <s v="LAB-300"/>
    <x v="1"/>
    <x v="1"/>
    <x v="0"/>
    <n v="6"/>
    <x v="0"/>
  </r>
  <r>
    <n v="45"/>
    <s v="No"/>
    <s v="Non-Travel"/>
    <n v="1052"/>
    <x v="0"/>
    <n v="6"/>
    <n v="3"/>
    <s v="Medical"/>
    <n v="1"/>
    <n v="302"/>
    <n v="4"/>
    <s v="Female"/>
    <n v="57"/>
    <n v="2"/>
    <n v="3"/>
    <s v="Sales Executive"/>
    <n v="4"/>
    <s v="Single"/>
    <n v="8865"/>
    <n v="16840"/>
    <n v="6"/>
    <s v="Y"/>
    <s v="No"/>
    <n v="12"/>
    <n v="3"/>
    <n v="4"/>
    <n v="80"/>
    <n v="0"/>
    <n v="23"/>
    <n v="2"/>
    <n v="3"/>
    <n v="19"/>
    <n v="7"/>
    <n v="12"/>
    <n v="8"/>
    <s v="LAB-302"/>
    <x v="0"/>
    <x v="0"/>
    <x v="1"/>
    <n v="19"/>
    <x v="0"/>
  </r>
  <r>
    <n v="54"/>
    <s v="No"/>
    <s v="Travel_Rarely"/>
    <n v="1147"/>
    <x v="0"/>
    <n v="3"/>
    <n v="3"/>
    <s v="Marketing"/>
    <n v="1"/>
    <n v="303"/>
    <n v="4"/>
    <s v="Female"/>
    <n v="52"/>
    <n v="3"/>
    <n v="2"/>
    <s v="Sales Executive"/>
    <n v="1"/>
    <s v="Married"/>
    <n v="5940"/>
    <n v="17011"/>
    <n v="2"/>
    <s v="Y"/>
    <s v="No"/>
    <n v="14"/>
    <n v="3"/>
    <n v="4"/>
    <n v="80"/>
    <n v="1"/>
    <n v="16"/>
    <n v="4"/>
    <n v="3"/>
    <n v="6"/>
    <n v="2"/>
    <n v="0"/>
    <n v="5"/>
    <s v="LAB-303"/>
    <x v="0"/>
    <x v="0"/>
    <x v="1"/>
    <n v="6"/>
    <x v="0"/>
  </r>
  <r>
    <n v="36"/>
    <s v="No"/>
    <s v="Travel_Rarely"/>
    <n v="1396"/>
    <x v="1"/>
    <n v="5"/>
    <n v="2"/>
    <s v="Life Sciences"/>
    <n v="1"/>
    <n v="304"/>
    <n v="4"/>
    <s v="Male"/>
    <n v="62"/>
    <n v="3"/>
    <n v="2"/>
    <s v="Laboratory Technician"/>
    <n v="2"/>
    <s v="Single"/>
    <n v="5914"/>
    <n v="9945"/>
    <n v="8"/>
    <s v="Y"/>
    <s v="No"/>
    <n v="16"/>
    <n v="3"/>
    <n v="4"/>
    <n v="80"/>
    <n v="0"/>
    <n v="16"/>
    <n v="3"/>
    <n v="4"/>
    <n v="13"/>
    <n v="11"/>
    <n v="3"/>
    <n v="7"/>
    <s v="LAB-304"/>
    <x v="2"/>
    <x v="1"/>
    <x v="1"/>
    <n v="13"/>
    <x v="0"/>
  </r>
  <r>
    <n v="33"/>
    <s v="No"/>
    <s v="Travel_Rarely"/>
    <n v="147"/>
    <x v="1"/>
    <n v="4"/>
    <n v="4"/>
    <s v="Medical"/>
    <n v="1"/>
    <n v="305"/>
    <n v="3"/>
    <s v="Female"/>
    <n v="47"/>
    <n v="2"/>
    <n v="1"/>
    <s v="Research Scientist"/>
    <n v="2"/>
    <s v="Married"/>
    <n v="2622"/>
    <n v="13248"/>
    <n v="6"/>
    <s v="Y"/>
    <s v="No"/>
    <n v="21"/>
    <n v="4"/>
    <n v="4"/>
    <n v="80"/>
    <n v="0"/>
    <n v="7"/>
    <n v="3"/>
    <n v="3"/>
    <n v="3"/>
    <n v="2"/>
    <n v="1"/>
    <n v="1"/>
    <s v="LAB-305"/>
    <x v="1"/>
    <x v="1"/>
    <x v="1"/>
    <n v="3"/>
    <x v="0"/>
  </r>
  <r>
    <n v="37"/>
    <s v="No"/>
    <s v="Travel_Frequently"/>
    <n v="663"/>
    <x v="1"/>
    <n v="11"/>
    <n v="3"/>
    <s v="Other"/>
    <n v="1"/>
    <n v="306"/>
    <n v="2"/>
    <s v="Male"/>
    <n v="47"/>
    <n v="3"/>
    <n v="3"/>
    <s v="Research Director"/>
    <n v="4"/>
    <s v="Divorced"/>
    <n v="12185"/>
    <n v="10056"/>
    <n v="1"/>
    <s v="Y"/>
    <s v="Yes"/>
    <n v="14"/>
    <n v="3"/>
    <n v="3"/>
    <n v="80"/>
    <n v="3"/>
    <n v="10"/>
    <n v="1"/>
    <n v="3"/>
    <n v="10"/>
    <n v="8"/>
    <n v="0"/>
    <n v="7"/>
    <s v="LAB-306"/>
    <x v="7"/>
    <x v="1"/>
    <x v="1"/>
    <n v="10"/>
    <x v="0"/>
  </r>
  <r>
    <n v="38"/>
    <s v="No"/>
    <s v="Travel_Rarely"/>
    <n v="119"/>
    <x v="0"/>
    <n v="3"/>
    <n v="3"/>
    <s v="Life Sciences"/>
    <n v="1"/>
    <n v="307"/>
    <n v="1"/>
    <s v="Male"/>
    <n v="76"/>
    <n v="3"/>
    <n v="3"/>
    <s v="Sales Executive"/>
    <n v="3"/>
    <s v="Divorced"/>
    <n v="10609"/>
    <n v="9647"/>
    <n v="0"/>
    <s v="Y"/>
    <s v="No"/>
    <n v="12"/>
    <n v="3"/>
    <n v="3"/>
    <n v="80"/>
    <n v="2"/>
    <n v="17"/>
    <n v="6"/>
    <n v="2"/>
    <n v="16"/>
    <n v="10"/>
    <n v="5"/>
    <n v="13"/>
    <s v="LAB-307"/>
    <x v="0"/>
    <x v="0"/>
    <x v="1"/>
    <n v="16"/>
    <x v="0"/>
  </r>
  <r>
    <n v="31"/>
    <s v="No"/>
    <s v="Non-Travel"/>
    <n v="979"/>
    <x v="1"/>
    <n v="1"/>
    <n v="4"/>
    <s v="Medical"/>
    <n v="1"/>
    <n v="308"/>
    <n v="3"/>
    <s v="Male"/>
    <n v="90"/>
    <n v="1"/>
    <n v="2"/>
    <s v="Manufacturing Director"/>
    <n v="3"/>
    <s v="Married"/>
    <n v="4345"/>
    <n v="4381"/>
    <n v="0"/>
    <s v="Y"/>
    <s v="No"/>
    <n v="12"/>
    <n v="3"/>
    <n v="4"/>
    <n v="80"/>
    <n v="1"/>
    <n v="6"/>
    <n v="2"/>
    <n v="3"/>
    <n v="5"/>
    <n v="4"/>
    <n v="1"/>
    <n v="4"/>
    <s v="LAB-308"/>
    <x v="3"/>
    <x v="1"/>
    <x v="1"/>
    <n v="5"/>
    <x v="0"/>
  </r>
  <r>
    <n v="59"/>
    <s v="No"/>
    <s v="Travel_Rarely"/>
    <n v="142"/>
    <x v="1"/>
    <n v="3"/>
    <n v="3"/>
    <s v="Life Sciences"/>
    <n v="1"/>
    <n v="309"/>
    <n v="3"/>
    <s v="Male"/>
    <n v="70"/>
    <n v="2"/>
    <n v="1"/>
    <s v="Research Scientist"/>
    <n v="4"/>
    <s v="Married"/>
    <n v="2177"/>
    <n v="8456"/>
    <n v="3"/>
    <s v="Y"/>
    <s v="No"/>
    <n v="17"/>
    <n v="3"/>
    <n v="1"/>
    <n v="80"/>
    <n v="1"/>
    <n v="7"/>
    <n v="6"/>
    <n v="3"/>
    <n v="1"/>
    <n v="0"/>
    <n v="0"/>
    <n v="0"/>
    <s v="LAB-309"/>
    <x v="1"/>
    <x v="1"/>
    <x v="1"/>
    <n v="1"/>
    <x v="0"/>
  </r>
  <r>
    <n v="37"/>
    <s v="No"/>
    <s v="Travel_Frequently"/>
    <n v="319"/>
    <x v="0"/>
    <n v="4"/>
    <n v="4"/>
    <s v="Marketing"/>
    <n v="1"/>
    <n v="311"/>
    <n v="1"/>
    <s v="Male"/>
    <n v="41"/>
    <n v="3"/>
    <n v="1"/>
    <s v="Sales Representative"/>
    <n v="4"/>
    <s v="Divorced"/>
    <n v="2793"/>
    <n v="2539"/>
    <n v="4"/>
    <s v="Y"/>
    <s v="No"/>
    <n v="17"/>
    <n v="3"/>
    <n v="3"/>
    <n v="80"/>
    <n v="1"/>
    <n v="13"/>
    <n v="2"/>
    <n v="3"/>
    <n v="9"/>
    <n v="8"/>
    <n v="5"/>
    <n v="8"/>
    <s v="LAB-311"/>
    <x v="6"/>
    <x v="0"/>
    <x v="1"/>
    <n v="9"/>
    <x v="0"/>
  </r>
  <r>
    <n v="29"/>
    <s v="No"/>
    <s v="Travel_Frequently"/>
    <n v="1413"/>
    <x v="0"/>
    <n v="1"/>
    <n v="1"/>
    <s v="Medical"/>
    <n v="1"/>
    <n v="312"/>
    <n v="2"/>
    <s v="Female"/>
    <n v="42"/>
    <n v="3"/>
    <n v="3"/>
    <s v="Sales Executive"/>
    <n v="4"/>
    <s v="Married"/>
    <n v="7918"/>
    <n v="6599"/>
    <n v="1"/>
    <s v="Y"/>
    <s v="No"/>
    <n v="14"/>
    <n v="3"/>
    <n v="4"/>
    <n v="80"/>
    <n v="1"/>
    <n v="11"/>
    <n v="5"/>
    <n v="3"/>
    <n v="11"/>
    <n v="10"/>
    <n v="4"/>
    <n v="1"/>
    <s v="LAB-312"/>
    <x v="0"/>
    <x v="0"/>
    <x v="1"/>
    <n v="11"/>
    <x v="0"/>
  </r>
  <r>
    <n v="35"/>
    <s v="No"/>
    <s v="Travel_Frequently"/>
    <n v="944"/>
    <x v="0"/>
    <n v="1"/>
    <n v="3"/>
    <s v="Marketing"/>
    <n v="1"/>
    <n v="314"/>
    <n v="3"/>
    <s v="Female"/>
    <n v="92"/>
    <n v="3"/>
    <n v="3"/>
    <s v="Sales Executive"/>
    <n v="3"/>
    <s v="Single"/>
    <n v="8789"/>
    <n v="9096"/>
    <n v="1"/>
    <s v="Y"/>
    <s v="No"/>
    <n v="14"/>
    <n v="3"/>
    <n v="1"/>
    <n v="80"/>
    <n v="0"/>
    <n v="10"/>
    <n v="3"/>
    <n v="4"/>
    <n v="10"/>
    <n v="7"/>
    <n v="0"/>
    <n v="8"/>
    <s v="LAB-314"/>
    <x v="0"/>
    <x v="0"/>
    <x v="1"/>
    <n v="10"/>
    <x v="0"/>
  </r>
  <r>
    <n v="29"/>
    <s v="Yes"/>
    <s v="Travel_Rarely"/>
    <n v="896"/>
    <x v="1"/>
    <n v="18"/>
    <n v="1"/>
    <s v="Medical"/>
    <n v="1"/>
    <n v="315"/>
    <n v="3"/>
    <s v="Male"/>
    <n v="86"/>
    <n v="2"/>
    <n v="1"/>
    <s v="Research Scientist"/>
    <n v="4"/>
    <s v="Single"/>
    <n v="2389"/>
    <n v="14961"/>
    <n v="1"/>
    <s v="Y"/>
    <s v="Yes"/>
    <n v="13"/>
    <n v="3"/>
    <n v="3"/>
    <n v="80"/>
    <n v="0"/>
    <n v="4"/>
    <n v="3"/>
    <n v="2"/>
    <n v="4"/>
    <n v="3"/>
    <n v="0"/>
    <n v="1"/>
    <s v="LAB-315"/>
    <x v="1"/>
    <x v="1"/>
    <x v="0"/>
    <n v="4"/>
    <x v="0"/>
  </r>
  <r>
    <n v="52"/>
    <s v="No"/>
    <s v="Travel_Rarely"/>
    <n v="1323"/>
    <x v="1"/>
    <n v="2"/>
    <n v="3"/>
    <s v="Life Sciences"/>
    <n v="1"/>
    <n v="316"/>
    <n v="3"/>
    <s v="Female"/>
    <n v="89"/>
    <n v="2"/>
    <n v="1"/>
    <s v="Laboratory Technician"/>
    <n v="4"/>
    <s v="Single"/>
    <n v="3212"/>
    <n v="3300"/>
    <n v="7"/>
    <s v="Y"/>
    <s v="No"/>
    <n v="15"/>
    <n v="3"/>
    <n v="2"/>
    <n v="80"/>
    <n v="0"/>
    <n v="6"/>
    <n v="3"/>
    <n v="2"/>
    <n v="2"/>
    <n v="2"/>
    <n v="2"/>
    <n v="2"/>
    <s v="LAB-316"/>
    <x v="2"/>
    <x v="1"/>
    <x v="1"/>
    <n v="2"/>
    <x v="0"/>
  </r>
  <r>
    <n v="42"/>
    <s v="No"/>
    <s v="Travel_Rarely"/>
    <n v="532"/>
    <x v="1"/>
    <n v="4"/>
    <n v="2"/>
    <s v="Technical Degree"/>
    <n v="1"/>
    <n v="319"/>
    <n v="3"/>
    <s v="Male"/>
    <n v="58"/>
    <n v="3"/>
    <n v="5"/>
    <s v="Manager"/>
    <n v="4"/>
    <s v="Married"/>
    <n v="19232"/>
    <n v="4933"/>
    <n v="1"/>
    <s v="Y"/>
    <s v="No"/>
    <n v="11"/>
    <n v="3"/>
    <n v="4"/>
    <n v="80"/>
    <n v="0"/>
    <n v="22"/>
    <n v="3"/>
    <n v="3"/>
    <n v="22"/>
    <n v="17"/>
    <n v="11"/>
    <n v="15"/>
    <s v="LAB-319"/>
    <x v="5"/>
    <x v="1"/>
    <x v="1"/>
    <n v="22"/>
    <x v="0"/>
  </r>
  <r>
    <n v="59"/>
    <s v="No"/>
    <s v="Travel_Rarely"/>
    <n v="818"/>
    <x v="2"/>
    <n v="6"/>
    <n v="2"/>
    <s v="Medical"/>
    <n v="1"/>
    <n v="321"/>
    <n v="2"/>
    <s v="Male"/>
    <n v="52"/>
    <n v="3"/>
    <n v="1"/>
    <s v="Human Resources"/>
    <n v="3"/>
    <s v="Married"/>
    <n v="2267"/>
    <n v="25657"/>
    <n v="8"/>
    <s v="Y"/>
    <s v="No"/>
    <n v="17"/>
    <n v="3"/>
    <n v="4"/>
    <n v="80"/>
    <n v="0"/>
    <n v="7"/>
    <n v="2"/>
    <n v="2"/>
    <n v="2"/>
    <n v="2"/>
    <n v="2"/>
    <n v="2"/>
    <s v="LAB-321"/>
    <x v="8"/>
    <x v="2"/>
    <x v="1"/>
    <n v="2"/>
    <x v="0"/>
  </r>
  <r>
    <n v="50"/>
    <s v="No"/>
    <s v="Travel_Rarely"/>
    <n v="854"/>
    <x v="0"/>
    <n v="1"/>
    <n v="4"/>
    <s v="Medical"/>
    <n v="1"/>
    <n v="323"/>
    <n v="4"/>
    <s v="Female"/>
    <n v="68"/>
    <n v="3"/>
    <n v="5"/>
    <s v="Manager"/>
    <n v="4"/>
    <s v="Divorced"/>
    <n v="19517"/>
    <n v="24118"/>
    <n v="3"/>
    <s v="Y"/>
    <s v="No"/>
    <n v="11"/>
    <n v="3"/>
    <n v="3"/>
    <n v="80"/>
    <n v="1"/>
    <n v="32"/>
    <n v="3"/>
    <n v="2"/>
    <n v="7"/>
    <n v="0"/>
    <n v="0"/>
    <n v="6"/>
    <s v="LAB-323"/>
    <x v="5"/>
    <x v="0"/>
    <x v="1"/>
    <n v="7"/>
    <x v="0"/>
  </r>
  <r>
    <n v="33"/>
    <s v="Yes"/>
    <s v="Travel_Rarely"/>
    <n v="813"/>
    <x v="1"/>
    <n v="14"/>
    <n v="3"/>
    <s v="Medical"/>
    <n v="1"/>
    <n v="325"/>
    <n v="3"/>
    <s v="Male"/>
    <n v="58"/>
    <n v="3"/>
    <n v="1"/>
    <s v="Laboratory Technician"/>
    <n v="4"/>
    <s v="Married"/>
    <n v="2436"/>
    <n v="22149"/>
    <n v="5"/>
    <s v="Y"/>
    <s v="Yes"/>
    <n v="13"/>
    <n v="3"/>
    <n v="3"/>
    <n v="80"/>
    <n v="1"/>
    <n v="8"/>
    <n v="2"/>
    <n v="1"/>
    <n v="5"/>
    <n v="4"/>
    <n v="0"/>
    <n v="4"/>
    <s v="LAB-325"/>
    <x v="2"/>
    <x v="1"/>
    <x v="0"/>
    <n v="5"/>
    <x v="0"/>
  </r>
  <r>
    <n v="43"/>
    <s v="No"/>
    <s v="Travel_Rarely"/>
    <n v="1034"/>
    <x v="0"/>
    <n v="16"/>
    <n v="3"/>
    <s v="Marketing"/>
    <n v="1"/>
    <n v="327"/>
    <n v="4"/>
    <s v="Female"/>
    <n v="80"/>
    <n v="3"/>
    <n v="4"/>
    <s v="Manager"/>
    <n v="4"/>
    <s v="Married"/>
    <n v="16064"/>
    <n v="7744"/>
    <n v="5"/>
    <s v="Y"/>
    <s v="Yes"/>
    <n v="22"/>
    <n v="4"/>
    <n v="3"/>
    <n v="80"/>
    <n v="1"/>
    <n v="22"/>
    <n v="3"/>
    <n v="3"/>
    <n v="17"/>
    <n v="13"/>
    <n v="1"/>
    <n v="9"/>
    <s v="LAB-327"/>
    <x v="5"/>
    <x v="0"/>
    <x v="1"/>
    <n v="17"/>
    <x v="0"/>
  </r>
  <r>
    <n v="33"/>
    <s v="Yes"/>
    <s v="Travel_Rarely"/>
    <n v="465"/>
    <x v="1"/>
    <n v="2"/>
    <n v="2"/>
    <s v="Life Sciences"/>
    <n v="1"/>
    <n v="328"/>
    <n v="1"/>
    <s v="Female"/>
    <n v="39"/>
    <n v="3"/>
    <n v="1"/>
    <s v="Laboratory Technician"/>
    <n v="1"/>
    <s v="Married"/>
    <n v="2707"/>
    <n v="21509"/>
    <n v="7"/>
    <s v="Y"/>
    <s v="No"/>
    <n v="20"/>
    <n v="4"/>
    <n v="1"/>
    <n v="80"/>
    <n v="0"/>
    <n v="13"/>
    <n v="3"/>
    <n v="4"/>
    <n v="9"/>
    <n v="7"/>
    <n v="1"/>
    <n v="7"/>
    <s v="LAB-328"/>
    <x v="2"/>
    <x v="1"/>
    <x v="0"/>
    <n v="9"/>
    <x v="0"/>
  </r>
  <r>
    <n v="52"/>
    <s v="No"/>
    <s v="Non-Travel"/>
    <n v="771"/>
    <x v="0"/>
    <n v="2"/>
    <n v="4"/>
    <s v="Life Sciences"/>
    <n v="1"/>
    <n v="329"/>
    <n v="1"/>
    <s v="Male"/>
    <n v="79"/>
    <n v="2"/>
    <n v="5"/>
    <s v="Manager"/>
    <n v="3"/>
    <s v="Single"/>
    <n v="19068"/>
    <n v="21030"/>
    <n v="1"/>
    <s v="Y"/>
    <s v="Yes"/>
    <n v="18"/>
    <n v="3"/>
    <n v="4"/>
    <n v="80"/>
    <n v="0"/>
    <n v="33"/>
    <n v="2"/>
    <n v="4"/>
    <n v="33"/>
    <n v="7"/>
    <n v="15"/>
    <n v="12"/>
    <s v="LAB-329"/>
    <x v="5"/>
    <x v="0"/>
    <x v="1"/>
    <n v="33"/>
    <x v="0"/>
  </r>
  <r>
    <n v="32"/>
    <s v="No"/>
    <s v="Travel_Rarely"/>
    <n v="1401"/>
    <x v="0"/>
    <n v="4"/>
    <n v="2"/>
    <s v="Life Sciences"/>
    <n v="1"/>
    <n v="330"/>
    <n v="3"/>
    <s v="Female"/>
    <n v="56"/>
    <n v="3"/>
    <n v="1"/>
    <s v="Sales Representative"/>
    <n v="2"/>
    <s v="Married"/>
    <n v="3931"/>
    <n v="20990"/>
    <n v="2"/>
    <s v="Y"/>
    <s v="No"/>
    <n v="11"/>
    <n v="3"/>
    <n v="1"/>
    <n v="80"/>
    <n v="1"/>
    <n v="6"/>
    <n v="5"/>
    <n v="3"/>
    <n v="4"/>
    <n v="3"/>
    <n v="1"/>
    <n v="2"/>
    <s v="LAB-330"/>
    <x v="6"/>
    <x v="0"/>
    <x v="1"/>
    <n v="4"/>
    <x v="0"/>
  </r>
  <r>
    <n v="32"/>
    <s v="Yes"/>
    <s v="Travel_Rarely"/>
    <n v="515"/>
    <x v="1"/>
    <n v="1"/>
    <n v="3"/>
    <s v="Life Sciences"/>
    <n v="1"/>
    <n v="331"/>
    <n v="4"/>
    <s v="Male"/>
    <n v="62"/>
    <n v="2"/>
    <n v="1"/>
    <s v="Laboratory Technician"/>
    <n v="3"/>
    <s v="Single"/>
    <n v="3730"/>
    <n v="9571"/>
    <n v="0"/>
    <s v="Y"/>
    <s v="Yes"/>
    <n v="14"/>
    <n v="3"/>
    <n v="4"/>
    <n v="80"/>
    <n v="0"/>
    <n v="4"/>
    <n v="2"/>
    <n v="1"/>
    <n v="3"/>
    <n v="2"/>
    <n v="1"/>
    <n v="2"/>
    <s v="LAB-331"/>
    <x v="2"/>
    <x v="1"/>
    <x v="0"/>
    <n v="3"/>
    <x v="0"/>
  </r>
  <r>
    <n v="39"/>
    <s v="No"/>
    <s v="Travel_Rarely"/>
    <n v="1431"/>
    <x v="1"/>
    <n v="1"/>
    <n v="4"/>
    <s v="Medical"/>
    <n v="1"/>
    <n v="332"/>
    <n v="3"/>
    <s v="Female"/>
    <n v="96"/>
    <n v="3"/>
    <n v="1"/>
    <s v="Laboratory Technician"/>
    <n v="3"/>
    <s v="Divorced"/>
    <n v="2232"/>
    <n v="15417"/>
    <n v="7"/>
    <s v="Y"/>
    <s v="No"/>
    <n v="14"/>
    <n v="3"/>
    <n v="3"/>
    <n v="80"/>
    <n v="3"/>
    <n v="7"/>
    <n v="1"/>
    <n v="3"/>
    <n v="3"/>
    <n v="2"/>
    <n v="1"/>
    <n v="2"/>
    <s v="LAB-332"/>
    <x v="2"/>
    <x v="1"/>
    <x v="1"/>
    <n v="3"/>
    <x v="0"/>
  </r>
  <r>
    <n v="32"/>
    <s v="No"/>
    <s v="Non-Travel"/>
    <n v="976"/>
    <x v="0"/>
    <n v="26"/>
    <n v="4"/>
    <s v="Marketing"/>
    <n v="1"/>
    <n v="333"/>
    <n v="3"/>
    <s v="Male"/>
    <n v="100"/>
    <n v="3"/>
    <n v="2"/>
    <s v="Sales Executive"/>
    <n v="4"/>
    <s v="Married"/>
    <n v="4465"/>
    <n v="12069"/>
    <n v="0"/>
    <s v="Y"/>
    <s v="No"/>
    <n v="18"/>
    <n v="3"/>
    <n v="1"/>
    <n v="80"/>
    <n v="0"/>
    <n v="4"/>
    <n v="2"/>
    <n v="3"/>
    <n v="3"/>
    <n v="2"/>
    <n v="2"/>
    <n v="2"/>
    <s v="LAB-333"/>
    <x v="0"/>
    <x v="0"/>
    <x v="1"/>
    <n v="3"/>
    <x v="0"/>
  </r>
  <r>
    <n v="41"/>
    <s v="No"/>
    <s v="Travel_Rarely"/>
    <n v="1411"/>
    <x v="1"/>
    <n v="19"/>
    <n v="2"/>
    <s v="Life Sciences"/>
    <n v="1"/>
    <n v="334"/>
    <n v="3"/>
    <s v="Male"/>
    <n v="36"/>
    <n v="3"/>
    <n v="2"/>
    <s v="Research Scientist"/>
    <n v="1"/>
    <s v="Divorced"/>
    <n v="3072"/>
    <n v="19877"/>
    <n v="2"/>
    <s v="Y"/>
    <s v="No"/>
    <n v="16"/>
    <n v="3"/>
    <n v="1"/>
    <n v="80"/>
    <n v="2"/>
    <n v="17"/>
    <n v="2"/>
    <n v="2"/>
    <n v="1"/>
    <n v="0"/>
    <n v="0"/>
    <n v="0"/>
    <s v="LAB-334"/>
    <x v="1"/>
    <x v="1"/>
    <x v="1"/>
    <n v="1"/>
    <x v="0"/>
  </r>
  <r>
    <n v="40"/>
    <s v="No"/>
    <s v="Travel_Rarely"/>
    <n v="1300"/>
    <x v="1"/>
    <n v="24"/>
    <n v="2"/>
    <s v="Technical Degree"/>
    <n v="1"/>
    <n v="335"/>
    <n v="1"/>
    <s v="Male"/>
    <n v="62"/>
    <n v="3"/>
    <n v="2"/>
    <s v="Research Scientist"/>
    <n v="4"/>
    <s v="Divorced"/>
    <n v="3319"/>
    <n v="24447"/>
    <n v="1"/>
    <s v="Y"/>
    <s v="No"/>
    <n v="17"/>
    <n v="3"/>
    <n v="1"/>
    <n v="80"/>
    <n v="2"/>
    <n v="9"/>
    <n v="3"/>
    <n v="3"/>
    <n v="9"/>
    <n v="8"/>
    <n v="4"/>
    <n v="7"/>
    <s v="LAB-335"/>
    <x v="1"/>
    <x v="1"/>
    <x v="1"/>
    <n v="9"/>
    <x v="0"/>
  </r>
  <r>
    <n v="45"/>
    <s v="No"/>
    <s v="Travel_Rarely"/>
    <n v="252"/>
    <x v="1"/>
    <n v="1"/>
    <n v="3"/>
    <s v="Other"/>
    <n v="1"/>
    <n v="336"/>
    <n v="3"/>
    <s v="Male"/>
    <n v="70"/>
    <n v="4"/>
    <n v="5"/>
    <s v="Manager"/>
    <n v="4"/>
    <s v="Married"/>
    <n v="19202"/>
    <n v="15970"/>
    <n v="0"/>
    <s v="Y"/>
    <s v="No"/>
    <n v="11"/>
    <n v="3"/>
    <n v="3"/>
    <n v="80"/>
    <n v="1"/>
    <n v="25"/>
    <n v="2"/>
    <n v="3"/>
    <n v="24"/>
    <n v="0"/>
    <n v="1"/>
    <n v="7"/>
    <s v="LAB-336"/>
    <x v="5"/>
    <x v="1"/>
    <x v="1"/>
    <n v="24"/>
    <x v="0"/>
  </r>
  <r>
    <n v="31"/>
    <s v="No"/>
    <s v="Travel_Frequently"/>
    <n v="1327"/>
    <x v="1"/>
    <n v="3"/>
    <n v="4"/>
    <s v="Medical"/>
    <n v="1"/>
    <n v="337"/>
    <n v="2"/>
    <s v="Male"/>
    <n v="73"/>
    <n v="3"/>
    <n v="3"/>
    <s v="Research Director"/>
    <n v="3"/>
    <s v="Divorced"/>
    <n v="13675"/>
    <n v="13523"/>
    <n v="9"/>
    <s v="Y"/>
    <s v="No"/>
    <n v="12"/>
    <n v="3"/>
    <n v="1"/>
    <n v="80"/>
    <n v="1"/>
    <n v="9"/>
    <n v="3"/>
    <n v="3"/>
    <n v="2"/>
    <n v="2"/>
    <n v="2"/>
    <n v="2"/>
    <s v="LAB-337"/>
    <x v="7"/>
    <x v="1"/>
    <x v="1"/>
    <n v="2"/>
    <x v="0"/>
  </r>
  <r>
    <n v="33"/>
    <s v="No"/>
    <s v="Travel_Rarely"/>
    <n v="832"/>
    <x v="1"/>
    <n v="5"/>
    <n v="4"/>
    <s v="Life Sciences"/>
    <n v="1"/>
    <n v="338"/>
    <n v="3"/>
    <s v="Female"/>
    <n v="63"/>
    <n v="2"/>
    <n v="1"/>
    <s v="Research Scientist"/>
    <n v="4"/>
    <s v="Married"/>
    <n v="2911"/>
    <n v="14776"/>
    <n v="1"/>
    <s v="Y"/>
    <s v="No"/>
    <n v="13"/>
    <n v="3"/>
    <n v="3"/>
    <n v="80"/>
    <n v="1"/>
    <n v="2"/>
    <n v="2"/>
    <n v="2"/>
    <n v="2"/>
    <n v="2"/>
    <n v="0"/>
    <n v="2"/>
    <s v="LAB-338"/>
    <x v="1"/>
    <x v="1"/>
    <x v="1"/>
    <n v="2"/>
    <x v="0"/>
  </r>
  <r>
    <n v="34"/>
    <s v="No"/>
    <s v="Travel_Rarely"/>
    <n v="470"/>
    <x v="1"/>
    <n v="2"/>
    <n v="4"/>
    <s v="Life Sciences"/>
    <n v="1"/>
    <n v="339"/>
    <n v="4"/>
    <s v="Male"/>
    <n v="84"/>
    <n v="2"/>
    <n v="2"/>
    <s v="Manufacturing Director"/>
    <n v="1"/>
    <s v="Married"/>
    <n v="5957"/>
    <n v="23687"/>
    <n v="6"/>
    <s v="Y"/>
    <s v="No"/>
    <n v="13"/>
    <n v="3"/>
    <n v="2"/>
    <n v="80"/>
    <n v="1"/>
    <n v="13"/>
    <n v="3"/>
    <n v="3"/>
    <n v="11"/>
    <n v="9"/>
    <n v="5"/>
    <n v="9"/>
    <s v="LAB-339"/>
    <x v="3"/>
    <x v="1"/>
    <x v="1"/>
    <n v="11"/>
    <x v="0"/>
  </r>
  <r>
    <n v="37"/>
    <s v="No"/>
    <s v="Travel_Rarely"/>
    <n v="1017"/>
    <x v="1"/>
    <n v="1"/>
    <n v="2"/>
    <s v="Medical"/>
    <n v="1"/>
    <n v="340"/>
    <n v="3"/>
    <s v="Female"/>
    <n v="83"/>
    <n v="2"/>
    <n v="1"/>
    <s v="Research Scientist"/>
    <n v="1"/>
    <s v="Married"/>
    <n v="3920"/>
    <n v="18697"/>
    <n v="2"/>
    <s v="Y"/>
    <s v="No"/>
    <n v="14"/>
    <n v="3"/>
    <n v="1"/>
    <n v="80"/>
    <n v="1"/>
    <n v="17"/>
    <n v="2"/>
    <n v="2"/>
    <n v="3"/>
    <n v="1"/>
    <n v="0"/>
    <n v="2"/>
    <s v="LAB-340"/>
    <x v="1"/>
    <x v="1"/>
    <x v="1"/>
    <n v="3"/>
    <x v="0"/>
  </r>
  <r>
    <n v="45"/>
    <s v="No"/>
    <s v="Travel_Frequently"/>
    <n v="1199"/>
    <x v="1"/>
    <n v="7"/>
    <n v="4"/>
    <s v="Life Sciences"/>
    <n v="1"/>
    <n v="341"/>
    <n v="1"/>
    <s v="Male"/>
    <n v="77"/>
    <n v="4"/>
    <n v="2"/>
    <s v="Manufacturing Director"/>
    <n v="3"/>
    <s v="Married"/>
    <n v="6434"/>
    <n v="5118"/>
    <n v="4"/>
    <s v="Y"/>
    <s v="No"/>
    <n v="17"/>
    <n v="3"/>
    <n v="4"/>
    <n v="80"/>
    <n v="1"/>
    <n v="9"/>
    <n v="1"/>
    <n v="3"/>
    <n v="3"/>
    <n v="2"/>
    <n v="0"/>
    <n v="2"/>
    <s v="LAB-341"/>
    <x v="3"/>
    <x v="1"/>
    <x v="1"/>
    <n v="3"/>
    <x v="0"/>
  </r>
  <r>
    <n v="37"/>
    <s v="Yes"/>
    <s v="Travel_Frequently"/>
    <n v="504"/>
    <x v="1"/>
    <n v="10"/>
    <n v="3"/>
    <s v="Medical"/>
    <n v="1"/>
    <n v="342"/>
    <n v="1"/>
    <s v="Male"/>
    <n v="61"/>
    <n v="3"/>
    <n v="3"/>
    <s v="Manufacturing Director"/>
    <n v="3"/>
    <s v="Divorced"/>
    <n v="10048"/>
    <n v="22573"/>
    <n v="6"/>
    <s v="Y"/>
    <s v="No"/>
    <n v="11"/>
    <n v="3"/>
    <n v="2"/>
    <n v="80"/>
    <n v="2"/>
    <n v="17"/>
    <n v="5"/>
    <n v="3"/>
    <n v="1"/>
    <n v="0"/>
    <n v="0"/>
    <n v="0"/>
    <s v="LAB-342"/>
    <x v="3"/>
    <x v="1"/>
    <x v="0"/>
    <n v="1"/>
    <x v="0"/>
  </r>
  <r>
    <n v="39"/>
    <s v="No"/>
    <s v="Travel_Frequently"/>
    <n v="505"/>
    <x v="1"/>
    <n v="2"/>
    <n v="4"/>
    <s v="Technical Degree"/>
    <n v="1"/>
    <n v="343"/>
    <n v="3"/>
    <s v="Female"/>
    <n v="64"/>
    <n v="3"/>
    <n v="3"/>
    <s v="Healthcare Representative"/>
    <n v="3"/>
    <s v="Single"/>
    <n v="10938"/>
    <n v="6420"/>
    <n v="0"/>
    <s v="Y"/>
    <s v="No"/>
    <n v="25"/>
    <n v="4"/>
    <n v="4"/>
    <n v="80"/>
    <n v="0"/>
    <n v="20"/>
    <n v="1"/>
    <n v="3"/>
    <n v="19"/>
    <n v="6"/>
    <n v="11"/>
    <n v="8"/>
    <s v="LAB-343"/>
    <x v="4"/>
    <x v="1"/>
    <x v="1"/>
    <n v="19"/>
    <x v="0"/>
  </r>
  <r>
    <n v="29"/>
    <s v="No"/>
    <s v="Travel_Rarely"/>
    <n v="665"/>
    <x v="1"/>
    <n v="15"/>
    <n v="3"/>
    <s v="Life Sciences"/>
    <n v="1"/>
    <n v="346"/>
    <n v="3"/>
    <s v="Male"/>
    <n v="60"/>
    <n v="3"/>
    <n v="1"/>
    <s v="Research Scientist"/>
    <n v="4"/>
    <s v="Single"/>
    <n v="2340"/>
    <n v="22673"/>
    <n v="1"/>
    <s v="Y"/>
    <s v="No"/>
    <n v="19"/>
    <n v="3"/>
    <n v="1"/>
    <n v="80"/>
    <n v="0"/>
    <n v="6"/>
    <n v="1"/>
    <n v="3"/>
    <n v="6"/>
    <n v="5"/>
    <n v="1"/>
    <n v="5"/>
    <s v="LAB-346"/>
    <x v="1"/>
    <x v="1"/>
    <x v="1"/>
    <n v="6"/>
    <x v="0"/>
  </r>
  <r>
    <n v="42"/>
    <s v="No"/>
    <s v="Travel_Rarely"/>
    <n v="916"/>
    <x v="1"/>
    <n v="17"/>
    <n v="2"/>
    <s v="Life Sciences"/>
    <n v="1"/>
    <n v="347"/>
    <n v="4"/>
    <s v="Female"/>
    <n v="82"/>
    <n v="4"/>
    <n v="2"/>
    <s v="Research Scientist"/>
    <n v="1"/>
    <s v="Single"/>
    <n v="6545"/>
    <n v="23016"/>
    <n v="3"/>
    <s v="Y"/>
    <s v="Yes"/>
    <n v="13"/>
    <n v="3"/>
    <n v="3"/>
    <n v="80"/>
    <n v="0"/>
    <n v="10"/>
    <n v="1"/>
    <n v="3"/>
    <n v="3"/>
    <n v="2"/>
    <n v="0"/>
    <n v="2"/>
    <s v="LAB-347"/>
    <x v="1"/>
    <x v="1"/>
    <x v="1"/>
    <n v="3"/>
    <x v="0"/>
  </r>
  <r>
    <n v="29"/>
    <s v="No"/>
    <s v="Travel_Rarely"/>
    <n v="1247"/>
    <x v="0"/>
    <n v="20"/>
    <n v="2"/>
    <s v="Marketing"/>
    <n v="1"/>
    <n v="349"/>
    <n v="4"/>
    <s v="Male"/>
    <n v="45"/>
    <n v="3"/>
    <n v="2"/>
    <s v="Sales Executive"/>
    <n v="4"/>
    <s v="Divorced"/>
    <n v="6931"/>
    <n v="10732"/>
    <n v="2"/>
    <s v="Y"/>
    <s v="No"/>
    <n v="14"/>
    <n v="3"/>
    <n v="4"/>
    <n v="80"/>
    <n v="1"/>
    <n v="10"/>
    <n v="2"/>
    <n v="3"/>
    <n v="3"/>
    <n v="2"/>
    <n v="0"/>
    <n v="2"/>
    <s v="LAB-349"/>
    <x v="0"/>
    <x v="0"/>
    <x v="1"/>
    <n v="3"/>
    <x v="0"/>
  </r>
  <r>
    <n v="25"/>
    <s v="No"/>
    <s v="Travel_Rarely"/>
    <n v="685"/>
    <x v="1"/>
    <n v="1"/>
    <n v="3"/>
    <s v="Life Sciences"/>
    <n v="1"/>
    <n v="350"/>
    <n v="1"/>
    <s v="Female"/>
    <n v="62"/>
    <n v="3"/>
    <n v="2"/>
    <s v="Manufacturing Director"/>
    <n v="3"/>
    <s v="Married"/>
    <n v="4898"/>
    <n v="7505"/>
    <n v="0"/>
    <s v="Y"/>
    <s v="No"/>
    <n v="12"/>
    <n v="3"/>
    <n v="4"/>
    <n v="80"/>
    <n v="2"/>
    <n v="5"/>
    <n v="3"/>
    <n v="3"/>
    <n v="4"/>
    <n v="2"/>
    <n v="1"/>
    <n v="2"/>
    <s v="LAB-350"/>
    <x v="3"/>
    <x v="1"/>
    <x v="1"/>
    <n v="4"/>
    <x v="0"/>
  </r>
  <r>
    <n v="42"/>
    <s v="No"/>
    <s v="Travel_Rarely"/>
    <n v="269"/>
    <x v="1"/>
    <n v="2"/>
    <n v="3"/>
    <s v="Medical"/>
    <n v="1"/>
    <n v="351"/>
    <n v="4"/>
    <s v="Female"/>
    <n v="56"/>
    <n v="2"/>
    <n v="1"/>
    <s v="Laboratory Technician"/>
    <n v="1"/>
    <s v="Divorced"/>
    <n v="2593"/>
    <n v="8007"/>
    <n v="0"/>
    <s v="Y"/>
    <s v="Yes"/>
    <n v="11"/>
    <n v="3"/>
    <n v="3"/>
    <n v="80"/>
    <n v="1"/>
    <n v="10"/>
    <n v="4"/>
    <n v="3"/>
    <n v="9"/>
    <n v="6"/>
    <n v="7"/>
    <n v="8"/>
    <s v="LAB-351"/>
    <x v="2"/>
    <x v="1"/>
    <x v="1"/>
    <n v="9"/>
    <x v="0"/>
  </r>
  <r>
    <n v="40"/>
    <s v="No"/>
    <s v="Travel_Rarely"/>
    <n v="1416"/>
    <x v="1"/>
    <n v="2"/>
    <n v="2"/>
    <s v="Medical"/>
    <n v="1"/>
    <n v="352"/>
    <n v="1"/>
    <s v="Male"/>
    <n v="49"/>
    <n v="3"/>
    <n v="5"/>
    <s v="Research Director"/>
    <n v="3"/>
    <s v="Divorced"/>
    <n v="19436"/>
    <n v="5949"/>
    <n v="0"/>
    <s v="Y"/>
    <s v="No"/>
    <n v="19"/>
    <n v="3"/>
    <n v="4"/>
    <n v="80"/>
    <n v="1"/>
    <n v="22"/>
    <n v="5"/>
    <n v="3"/>
    <n v="21"/>
    <n v="7"/>
    <n v="3"/>
    <n v="9"/>
    <s v="LAB-352"/>
    <x v="7"/>
    <x v="1"/>
    <x v="1"/>
    <n v="21"/>
    <x v="0"/>
  </r>
  <r>
    <n v="51"/>
    <s v="No"/>
    <s v="Travel_Rarely"/>
    <n v="833"/>
    <x v="1"/>
    <n v="1"/>
    <n v="3"/>
    <s v="Life Sciences"/>
    <n v="1"/>
    <n v="353"/>
    <n v="3"/>
    <s v="Male"/>
    <n v="96"/>
    <n v="3"/>
    <n v="1"/>
    <s v="Research Scientist"/>
    <n v="4"/>
    <s v="Married"/>
    <n v="2723"/>
    <n v="23231"/>
    <n v="1"/>
    <s v="Y"/>
    <s v="No"/>
    <n v="11"/>
    <n v="3"/>
    <n v="2"/>
    <n v="80"/>
    <n v="0"/>
    <n v="1"/>
    <n v="0"/>
    <n v="2"/>
    <n v="1"/>
    <n v="0"/>
    <n v="0"/>
    <n v="0"/>
    <s v="LAB-353"/>
    <x v="1"/>
    <x v="1"/>
    <x v="1"/>
    <n v="1"/>
    <x v="0"/>
  </r>
  <r>
    <n v="31"/>
    <s v="Yes"/>
    <s v="Travel_Frequently"/>
    <n v="307"/>
    <x v="1"/>
    <n v="29"/>
    <n v="2"/>
    <s v="Medical"/>
    <n v="1"/>
    <n v="355"/>
    <n v="3"/>
    <s v="Male"/>
    <n v="71"/>
    <n v="2"/>
    <n v="1"/>
    <s v="Laboratory Technician"/>
    <n v="2"/>
    <s v="Single"/>
    <n v="3479"/>
    <n v="11652"/>
    <n v="0"/>
    <s v="Y"/>
    <s v="No"/>
    <n v="11"/>
    <n v="3"/>
    <n v="2"/>
    <n v="80"/>
    <n v="0"/>
    <n v="6"/>
    <n v="2"/>
    <n v="4"/>
    <n v="5"/>
    <n v="4"/>
    <n v="1"/>
    <n v="4"/>
    <s v="LAB-355"/>
    <x v="2"/>
    <x v="1"/>
    <x v="0"/>
    <n v="5"/>
    <x v="0"/>
  </r>
  <r>
    <n v="32"/>
    <s v="No"/>
    <s v="Travel_Frequently"/>
    <n v="1311"/>
    <x v="1"/>
    <n v="7"/>
    <n v="3"/>
    <s v="Life Sciences"/>
    <n v="1"/>
    <n v="359"/>
    <n v="2"/>
    <s v="Male"/>
    <n v="100"/>
    <n v="4"/>
    <n v="1"/>
    <s v="Laboratory Technician"/>
    <n v="2"/>
    <s v="Married"/>
    <n v="2794"/>
    <n v="26062"/>
    <n v="1"/>
    <s v="Y"/>
    <s v="No"/>
    <n v="20"/>
    <n v="4"/>
    <n v="3"/>
    <n v="80"/>
    <n v="0"/>
    <n v="5"/>
    <n v="3"/>
    <n v="1"/>
    <n v="5"/>
    <n v="1"/>
    <n v="0"/>
    <n v="3"/>
    <s v="LAB-359"/>
    <x v="2"/>
    <x v="1"/>
    <x v="1"/>
    <n v="5"/>
    <x v="0"/>
  </r>
  <r>
    <n v="38"/>
    <s v="No"/>
    <s v="Non-Travel"/>
    <n v="1327"/>
    <x v="0"/>
    <n v="2"/>
    <n v="2"/>
    <s v="Life Sciences"/>
    <n v="1"/>
    <n v="361"/>
    <n v="4"/>
    <s v="Male"/>
    <n v="39"/>
    <n v="2"/>
    <n v="2"/>
    <s v="Sales Executive"/>
    <n v="4"/>
    <s v="Married"/>
    <n v="5249"/>
    <n v="19682"/>
    <n v="3"/>
    <s v="Y"/>
    <s v="No"/>
    <n v="18"/>
    <n v="3"/>
    <n v="4"/>
    <n v="80"/>
    <n v="1"/>
    <n v="13"/>
    <n v="0"/>
    <n v="3"/>
    <n v="8"/>
    <n v="7"/>
    <n v="7"/>
    <n v="5"/>
    <s v="LAB-361"/>
    <x v="0"/>
    <x v="0"/>
    <x v="1"/>
    <n v="8"/>
    <x v="0"/>
  </r>
  <r>
    <n v="32"/>
    <s v="No"/>
    <s v="Travel_Rarely"/>
    <n v="128"/>
    <x v="1"/>
    <n v="2"/>
    <n v="1"/>
    <s v="Technical Degree"/>
    <n v="1"/>
    <n v="362"/>
    <n v="4"/>
    <s v="Male"/>
    <n v="84"/>
    <n v="2"/>
    <n v="2"/>
    <s v="Laboratory Technician"/>
    <n v="1"/>
    <s v="Single"/>
    <n v="2176"/>
    <n v="19737"/>
    <n v="4"/>
    <s v="Y"/>
    <s v="No"/>
    <n v="13"/>
    <n v="3"/>
    <n v="4"/>
    <n v="80"/>
    <n v="0"/>
    <n v="9"/>
    <n v="5"/>
    <n v="3"/>
    <n v="6"/>
    <n v="2"/>
    <n v="0"/>
    <n v="4"/>
    <s v="LAB-362"/>
    <x v="2"/>
    <x v="1"/>
    <x v="1"/>
    <n v="6"/>
    <x v="0"/>
  </r>
  <r>
    <n v="46"/>
    <s v="No"/>
    <s v="Travel_Rarely"/>
    <n v="488"/>
    <x v="0"/>
    <n v="2"/>
    <n v="3"/>
    <s v="Technical Degree"/>
    <n v="1"/>
    <n v="363"/>
    <n v="3"/>
    <s v="Female"/>
    <n v="75"/>
    <n v="1"/>
    <n v="4"/>
    <s v="Manager"/>
    <n v="2"/>
    <s v="Married"/>
    <n v="16872"/>
    <n v="14977"/>
    <n v="3"/>
    <s v="Y"/>
    <s v="Yes"/>
    <n v="12"/>
    <n v="3"/>
    <n v="2"/>
    <n v="80"/>
    <n v="1"/>
    <n v="28"/>
    <n v="2"/>
    <n v="2"/>
    <n v="7"/>
    <n v="7"/>
    <n v="7"/>
    <n v="7"/>
    <s v="LAB-363"/>
    <x v="5"/>
    <x v="0"/>
    <x v="1"/>
    <n v="7"/>
    <x v="0"/>
  </r>
  <r>
    <n v="28"/>
    <s v="Yes"/>
    <s v="Travel_Rarely"/>
    <n v="529"/>
    <x v="1"/>
    <n v="2"/>
    <n v="4"/>
    <s v="Life Sciences"/>
    <n v="1"/>
    <n v="364"/>
    <n v="1"/>
    <s v="Male"/>
    <n v="79"/>
    <n v="3"/>
    <n v="1"/>
    <s v="Laboratory Technician"/>
    <n v="3"/>
    <s v="Single"/>
    <n v="3485"/>
    <n v="14935"/>
    <n v="2"/>
    <s v="Y"/>
    <s v="No"/>
    <n v="11"/>
    <n v="3"/>
    <n v="3"/>
    <n v="80"/>
    <n v="0"/>
    <n v="5"/>
    <n v="5"/>
    <n v="1"/>
    <n v="0"/>
    <n v="0"/>
    <n v="0"/>
    <n v="0"/>
    <s v="LAB-364"/>
    <x v="2"/>
    <x v="1"/>
    <x v="0"/>
    <n v="0"/>
    <x v="0"/>
  </r>
  <r>
    <n v="29"/>
    <s v="No"/>
    <s v="Travel_Rarely"/>
    <n v="1210"/>
    <x v="0"/>
    <n v="2"/>
    <n v="3"/>
    <s v="Medical"/>
    <n v="1"/>
    <n v="366"/>
    <n v="1"/>
    <s v="Male"/>
    <n v="78"/>
    <n v="2"/>
    <n v="2"/>
    <s v="Sales Executive"/>
    <n v="2"/>
    <s v="Married"/>
    <n v="6644"/>
    <n v="3687"/>
    <n v="2"/>
    <s v="Y"/>
    <s v="No"/>
    <n v="19"/>
    <n v="3"/>
    <n v="2"/>
    <n v="80"/>
    <n v="2"/>
    <n v="10"/>
    <n v="2"/>
    <n v="3"/>
    <n v="0"/>
    <n v="0"/>
    <n v="0"/>
    <n v="0"/>
    <s v="LAB-366"/>
    <x v="0"/>
    <x v="0"/>
    <x v="1"/>
    <n v="0"/>
    <x v="0"/>
  </r>
  <r>
    <n v="31"/>
    <s v="No"/>
    <s v="Travel_Rarely"/>
    <n v="1463"/>
    <x v="1"/>
    <n v="23"/>
    <n v="3"/>
    <s v="Medical"/>
    <n v="1"/>
    <n v="367"/>
    <n v="2"/>
    <s v="Male"/>
    <n v="64"/>
    <n v="2"/>
    <n v="2"/>
    <s v="Healthcare Representative"/>
    <n v="4"/>
    <s v="Married"/>
    <n v="5582"/>
    <n v="14408"/>
    <n v="0"/>
    <s v="Y"/>
    <s v="No"/>
    <n v="21"/>
    <n v="4"/>
    <n v="2"/>
    <n v="80"/>
    <n v="1"/>
    <n v="10"/>
    <n v="2"/>
    <n v="3"/>
    <n v="9"/>
    <n v="0"/>
    <n v="7"/>
    <n v="8"/>
    <s v="LAB-367"/>
    <x v="4"/>
    <x v="1"/>
    <x v="1"/>
    <n v="9"/>
    <x v="0"/>
  </r>
  <r>
    <n v="25"/>
    <s v="No"/>
    <s v="Non-Travel"/>
    <n v="675"/>
    <x v="1"/>
    <n v="5"/>
    <n v="2"/>
    <s v="Life Sciences"/>
    <n v="1"/>
    <n v="369"/>
    <n v="2"/>
    <s v="Male"/>
    <n v="85"/>
    <n v="4"/>
    <n v="2"/>
    <s v="Healthcare Representative"/>
    <n v="1"/>
    <s v="Divorced"/>
    <n v="4000"/>
    <n v="18384"/>
    <n v="1"/>
    <s v="Y"/>
    <s v="No"/>
    <n v="12"/>
    <n v="3"/>
    <n v="4"/>
    <n v="80"/>
    <n v="2"/>
    <n v="6"/>
    <n v="2"/>
    <n v="3"/>
    <n v="6"/>
    <n v="3"/>
    <n v="1"/>
    <n v="5"/>
    <s v="LAB-369"/>
    <x v="4"/>
    <x v="1"/>
    <x v="1"/>
    <n v="6"/>
    <x v="0"/>
  </r>
  <r>
    <n v="45"/>
    <s v="No"/>
    <s v="Travel_Rarely"/>
    <n v="1385"/>
    <x v="1"/>
    <n v="20"/>
    <n v="2"/>
    <s v="Medical"/>
    <n v="1"/>
    <n v="372"/>
    <n v="3"/>
    <s v="Male"/>
    <n v="79"/>
    <n v="3"/>
    <n v="4"/>
    <s v="Healthcare Representative"/>
    <n v="4"/>
    <s v="Married"/>
    <n v="13496"/>
    <n v="7501"/>
    <n v="0"/>
    <s v="Y"/>
    <s v="Yes"/>
    <n v="14"/>
    <n v="3"/>
    <n v="2"/>
    <n v="80"/>
    <n v="0"/>
    <n v="21"/>
    <n v="2"/>
    <n v="3"/>
    <n v="20"/>
    <n v="7"/>
    <n v="4"/>
    <n v="10"/>
    <s v="LAB-372"/>
    <x v="4"/>
    <x v="1"/>
    <x v="1"/>
    <n v="20"/>
    <x v="0"/>
  </r>
  <r>
    <n v="36"/>
    <s v="No"/>
    <s v="Travel_Rarely"/>
    <n v="1403"/>
    <x v="1"/>
    <n v="6"/>
    <n v="3"/>
    <s v="Life Sciences"/>
    <n v="1"/>
    <n v="373"/>
    <n v="4"/>
    <s v="Male"/>
    <n v="47"/>
    <n v="3"/>
    <n v="1"/>
    <s v="Laboratory Technician"/>
    <n v="4"/>
    <s v="Married"/>
    <n v="3210"/>
    <n v="20251"/>
    <n v="0"/>
    <s v="Y"/>
    <s v="No"/>
    <n v="11"/>
    <n v="3"/>
    <n v="3"/>
    <n v="80"/>
    <n v="1"/>
    <n v="16"/>
    <n v="4"/>
    <n v="3"/>
    <n v="15"/>
    <n v="13"/>
    <n v="10"/>
    <n v="11"/>
    <s v="LAB-373"/>
    <x v="2"/>
    <x v="1"/>
    <x v="1"/>
    <n v="15"/>
    <x v="0"/>
  </r>
  <r>
    <n v="55"/>
    <s v="No"/>
    <s v="Travel_Rarely"/>
    <n v="452"/>
    <x v="1"/>
    <n v="1"/>
    <n v="3"/>
    <s v="Medical"/>
    <n v="1"/>
    <n v="374"/>
    <n v="4"/>
    <s v="Male"/>
    <n v="81"/>
    <n v="3"/>
    <n v="5"/>
    <s v="Manager"/>
    <n v="1"/>
    <s v="Single"/>
    <n v="19045"/>
    <n v="18938"/>
    <n v="0"/>
    <s v="Y"/>
    <s v="Yes"/>
    <n v="14"/>
    <n v="3"/>
    <n v="3"/>
    <n v="80"/>
    <n v="0"/>
    <n v="37"/>
    <n v="2"/>
    <n v="3"/>
    <n v="36"/>
    <n v="10"/>
    <n v="4"/>
    <n v="13"/>
    <s v="LAB-374"/>
    <x v="5"/>
    <x v="1"/>
    <x v="1"/>
    <n v="36"/>
    <x v="0"/>
  </r>
  <r>
    <n v="47"/>
    <s v="Yes"/>
    <s v="Non-Travel"/>
    <n v="666"/>
    <x v="1"/>
    <n v="29"/>
    <n v="4"/>
    <s v="Life Sciences"/>
    <n v="1"/>
    <n v="376"/>
    <n v="1"/>
    <s v="Male"/>
    <n v="88"/>
    <n v="3"/>
    <n v="3"/>
    <s v="Manager"/>
    <n v="2"/>
    <s v="Married"/>
    <n v="11849"/>
    <n v="10268"/>
    <n v="1"/>
    <s v="Y"/>
    <s v="Yes"/>
    <n v="12"/>
    <n v="3"/>
    <n v="4"/>
    <n v="80"/>
    <n v="1"/>
    <n v="10"/>
    <n v="2"/>
    <n v="2"/>
    <n v="10"/>
    <n v="7"/>
    <n v="9"/>
    <n v="9"/>
    <s v="LAB-376"/>
    <x v="5"/>
    <x v="1"/>
    <x v="0"/>
    <n v="10"/>
    <x v="0"/>
  </r>
  <r>
    <n v="28"/>
    <s v="No"/>
    <s v="Travel_Rarely"/>
    <n v="1158"/>
    <x v="1"/>
    <n v="9"/>
    <n v="3"/>
    <s v="Medical"/>
    <n v="1"/>
    <n v="377"/>
    <n v="4"/>
    <s v="Male"/>
    <n v="94"/>
    <n v="3"/>
    <n v="1"/>
    <s v="Research Scientist"/>
    <n v="4"/>
    <s v="Married"/>
    <n v="2070"/>
    <n v="2613"/>
    <n v="1"/>
    <s v="Y"/>
    <s v="No"/>
    <n v="23"/>
    <n v="4"/>
    <n v="4"/>
    <n v="80"/>
    <n v="1"/>
    <n v="5"/>
    <n v="3"/>
    <n v="2"/>
    <n v="5"/>
    <n v="2"/>
    <n v="0"/>
    <n v="4"/>
    <s v="LAB-377"/>
    <x v="1"/>
    <x v="1"/>
    <x v="1"/>
    <n v="5"/>
    <x v="0"/>
  </r>
  <r>
    <n v="37"/>
    <s v="No"/>
    <s v="Travel_Rarely"/>
    <n v="228"/>
    <x v="0"/>
    <n v="6"/>
    <n v="4"/>
    <s v="Medical"/>
    <n v="1"/>
    <n v="378"/>
    <n v="3"/>
    <s v="Male"/>
    <n v="98"/>
    <n v="3"/>
    <n v="2"/>
    <s v="Sales Executive"/>
    <n v="4"/>
    <s v="Married"/>
    <n v="6502"/>
    <n v="22825"/>
    <n v="4"/>
    <s v="Y"/>
    <s v="No"/>
    <n v="14"/>
    <n v="3"/>
    <n v="2"/>
    <n v="80"/>
    <n v="1"/>
    <n v="7"/>
    <n v="5"/>
    <n v="4"/>
    <n v="5"/>
    <n v="4"/>
    <n v="0"/>
    <n v="1"/>
    <s v="LAB-378"/>
    <x v="0"/>
    <x v="0"/>
    <x v="1"/>
    <n v="5"/>
    <x v="0"/>
  </r>
  <r>
    <n v="21"/>
    <s v="No"/>
    <s v="Travel_Rarely"/>
    <n v="996"/>
    <x v="1"/>
    <n v="3"/>
    <n v="2"/>
    <s v="Medical"/>
    <n v="1"/>
    <n v="379"/>
    <n v="4"/>
    <s v="Male"/>
    <n v="100"/>
    <n v="2"/>
    <n v="1"/>
    <s v="Research Scientist"/>
    <n v="3"/>
    <s v="Single"/>
    <n v="3230"/>
    <n v="10531"/>
    <n v="1"/>
    <s v="Y"/>
    <s v="No"/>
    <n v="17"/>
    <n v="3"/>
    <n v="1"/>
    <n v="80"/>
    <n v="0"/>
    <n v="3"/>
    <n v="4"/>
    <n v="4"/>
    <n v="3"/>
    <n v="2"/>
    <n v="1"/>
    <n v="0"/>
    <s v="LAB-379"/>
    <x v="1"/>
    <x v="1"/>
    <x v="1"/>
    <n v="3"/>
    <x v="0"/>
  </r>
  <r>
    <n v="37"/>
    <s v="No"/>
    <s v="Non-Travel"/>
    <n v="728"/>
    <x v="1"/>
    <n v="1"/>
    <n v="4"/>
    <s v="Medical"/>
    <n v="1"/>
    <n v="380"/>
    <n v="1"/>
    <s v="Female"/>
    <n v="80"/>
    <n v="3"/>
    <n v="3"/>
    <s v="Research Director"/>
    <n v="4"/>
    <s v="Divorced"/>
    <n v="13603"/>
    <n v="11677"/>
    <n v="2"/>
    <s v="Y"/>
    <s v="Yes"/>
    <n v="18"/>
    <n v="3"/>
    <n v="1"/>
    <n v="80"/>
    <n v="2"/>
    <n v="15"/>
    <n v="2"/>
    <n v="3"/>
    <n v="5"/>
    <n v="2"/>
    <n v="0"/>
    <n v="2"/>
    <s v="LAB-380"/>
    <x v="7"/>
    <x v="1"/>
    <x v="1"/>
    <n v="5"/>
    <x v="0"/>
  </r>
  <r>
    <n v="35"/>
    <s v="No"/>
    <s v="Travel_Rarely"/>
    <n v="1315"/>
    <x v="1"/>
    <n v="22"/>
    <n v="3"/>
    <s v="Life Sciences"/>
    <n v="1"/>
    <n v="381"/>
    <n v="2"/>
    <s v="Female"/>
    <n v="71"/>
    <n v="4"/>
    <n v="3"/>
    <s v="Manager"/>
    <n v="2"/>
    <s v="Divorced"/>
    <n v="11996"/>
    <n v="19100"/>
    <n v="7"/>
    <s v="Y"/>
    <s v="No"/>
    <n v="18"/>
    <n v="3"/>
    <n v="2"/>
    <n v="80"/>
    <n v="1"/>
    <n v="10"/>
    <n v="6"/>
    <n v="2"/>
    <n v="7"/>
    <n v="7"/>
    <n v="6"/>
    <n v="2"/>
    <s v="LAB-381"/>
    <x v="5"/>
    <x v="1"/>
    <x v="1"/>
    <n v="7"/>
    <x v="0"/>
  </r>
  <r>
    <n v="38"/>
    <s v="No"/>
    <s v="Travel_Rarely"/>
    <n v="322"/>
    <x v="0"/>
    <n v="7"/>
    <n v="2"/>
    <s v="Medical"/>
    <n v="1"/>
    <n v="382"/>
    <n v="1"/>
    <s v="Female"/>
    <n v="44"/>
    <n v="4"/>
    <n v="2"/>
    <s v="Sales Executive"/>
    <n v="1"/>
    <s v="Divorced"/>
    <n v="5605"/>
    <n v="19191"/>
    <n v="1"/>
    <s v="Y"/>
    <s v="Yes"/>
    <n v="24"/>
    <n v="4"/>
    <n v="3"/>
    <n v="80"/>
    <n v="1"/>
    <n v="8"/>
    <n v="3"/>
    <n v="3"/>
    <n v="8"/>
    <n v="0"/>
    <n v="7"/>
    <n v="7"/>
    <s v="LAB-382"/>
    <x v="0"/>
    <x v="0"/>
    <x v="1"/>
    <n v="8"/>
    <x v="0"/>
  </r>
  <r>
    <n v="26"/>
    <s v="No"/>
    <s v="Travel_Frequently"/>
    <n v="1479"/>
    <x v="1"/>
    <n v="1"/>
    <n v="3"/>
    <s v="Life Sciences"/>
    <n v="1"/>
    <n v="384"/>
    <n v="3"/>
    <s v="Female"/>
    <n v="84"/>
    <n v="3"/>
    <n v="2"/>
    <s v="Manufacturing Director"/>
    <n v="2"/>
    <s v="Divorced"/>
    <n v="6397"/>
    <n v="26767"/>
    <n v="1"/>
    <s v="Y"/>
    <s v="No"/>
    <n v="20"/>
    <n v="4"/>
    <n v="1"/>
    <n v="80"/>
    <n v="1"/>
    <n v="6"/>
    <n v="6"/>
    <n v="1"/>
    <n v="6"/>
    <n v="5"/>
    <n v="1"/>
    <n v="4"/>
    <s v="LAB-384"/>
    <x v="3"/>
    <x v="1"/>
    <x v="1"/>
    <n v="6"/>
    <x v="0"/>
  </r>
  <r>
    <n v="50"/>
    <s v="No"/>
    <s v="Travel_Rarely"/>
    <n v="797"/>
    <x v="1"/>
    <n v="4"/>
    <n v="1"/>
    <s v="Life Sciences"/>
    <n v="1"/>
    <n v="385"/>
    <n v="1"/>
    <s v="Male"/>
    <n v="96"/>
    <n v="3"/>
    <n v="5"/>
    <s v="Research Director"/>
    <n v="2"/>
    <s v="Divorced"/>
    <n v="19144"/>
    <n v="15815"/>
    <n v="3"/>
    <s v="Y"/>
    <s v="No"/>
    <n v="14"/>
    <n v="3"/>
    <n v="1"/>
    <n v="80"/>
    <n v="2"/>
    <n v="28"/>
    <n v="4"/>
    <n v="2"/>
    <n v="10"/>
    <n v="4"/>
    <n v="1"/>
    <n v="6"/>
    <s v="LAB-385"/>
    <x v="7"/>
    <x v="1"/>
    <x v="1"/>
    <n v="10"/>
    <x v="0"/>
  </r>
  <r>
    <n v="53"/>
    <s v="No"/>
    <s v="Travel_Rarely"/>
    <n v="1070"/>
    <x v="1"/>
    <n v="3"/>
    <n v="4"/>
    <s v="Medical"/>
    <n v="1"/>
    <n v="386"/>
    <n v="3"/>
    <s v="Male"/>
    <n v="45"/>
    <n v="3"/>
    <n v="4"/>
    <s v="Research Director"/>
    <n v="3"/>
    <s v="Married"/>
    <n v="17584"/>
    <n v="21016"/>
    <n v="3"/>
    <s v="Y"/>
    <s v="Yes"/>
    <n v="16"/>
    <n v="3"/>
    <n v="4"/>
    <n v="80"/>
    <n v="3"/>
    <n v="21"/>
    <n v="5"/>
    <n v="2"/>
    <n v="5"/>
    <n v="3"/>
    <n v="1"/>
    <n v="3"/>
    <s v="LAB-386"/>
    <x v="7"/>
    <x v="1"/>
    <x v="1"/>
    <n v="5"/>
    <x v="0"/>
  </r>
  <r>
    <n v="42"/>
    <s v="No"/>
    <s v="Travel_Rarely"/>
    <n v="635"/>
    <x v="0"/>
    <n v="1"/>
    <n v="1"/>
    <s v="Life Sciences"/>
    <n v="1"/>
    <n v="387"/>
    <n v="2"/>
    <s v="Male"/>
    <n v="99"/>
    <n v="3"/>
    <n v="2"/>
    <s v="Sales Executive"/>
    <n v="3"/>
    <s v="Married"/>
    <n v="4907"/>
    <n v="24532"/>
    <n v="1"/>
    <s v="Y"/>
    <s v="No"/>
    <n v="25"/>
    <n v="4"/>
    <n v="3"/>
    <n v="80"/>
    <n v="0"/>
    <n v="20"/>
    <n v="3"/>
    <n v="3"/>
    <n v="20"/>
    <n v="16"/>
    <n v="11"/>
    <n v="6"/>
    <s v="LAB-387"/>
    <x v="0"/>
    <x v="0"/>
    <x v="1"/>
    <n v="20"/>
    <x v="0"/>
  </r>
  <r>
    <n v="29"/>
    <s v="No"/>
    <s v="Travel_Frequently"/>
    <n v="442"/>
    <x v="0"/>
    <n v="2"/>
    <n v="2"/>
    <s v="Life Sciences"/>
    <n v="1"/>
    <n v="388"/>
    <n v="2"/>
    <s v="Male"/>
    <n v="44"/>
    <n v="3"/>
    <n v="2"/>
    <s v="Sales Executive"/>
    <n v="4"/>
    <s v="Single"/>
    <n v="4554"/>
    <n v="20260"/>
    <n v="1"/>
    <s v="Y"/>
    <s v="No"/>
    <n v="18"/>
    <n v="3"/>
    <n v="1"/>
    <n v="80"/>
    <n v="0"/>
    <n v="10"/>
    <n v="3"/>
    <n v="2"/>
    <n v="10"/>
    <n v="7"/>
    <n v="0"/>
    <n v="9"/>
    <s v="LAB-388"/>
    <x v="0"/>
    <x v="0"/>
    <x v="1"/>
    <n v="10"/>
    <x v="0"/>
  </r>
  <r>
    <n v="55"/>
    <s v="No"/>
    <s v="Travel_Rarely"/>
    <n v="147"/>
    <x v="1"/>
    <n v="20"/>
    <n v="2"/>
    <s v="Technical Degree"/>
    <n v="1"/>
    <n v="389"/>
    <n v="2"/>
    <s v="Male"/>
    <n v="37"/>
    <n v="3"/>
    <n v="2"/>
    <s v="Laboratory Technician"/>
    <n v="4"/>
    <s v="Married"/>
    <n v="5415"/>
    <n v="15972"/>
    <n v="3"/>
    <s v="Y"/>
    <s v="Yes"/>
    <n v="19"/>
    <n v="3"/>
    <n v="4"/>
    <n v="80"/>
    <n v="1"/>
    <n v="12"/>
    <n v="4"/>
    <n v="3"/>
    <n v="10"/>
    <n v="7"/>
    <n v="0"/>
    <n v="8"/>
    <s v="LAB-389"/>
    <x v="2"/>
    <x v="1"/>
    <x v="1"/>
    <n v="10"/>
    <x v="0"/>
  </r>
  <r>
    <n v="26"/>
    <s v="No"/>
    <s v="Travel_Frequently"/>
    <n v="496"/>
    <x v="1"/>
    <n v="11"/>
    <n v="2"/>
    <s v="Medical"/>
    <n v="1"/>
    <n v="390"/>
    <n v="1"/>
    <s v="Male"/>
    <n v="60"/>
    <n v="3"/>
    <n v="2"/>
    <s v="Healthcare Representative"/>
    <n v="1"/>
    <s v="Married"/>
    <n v="4741"/>
    <n v="22722"/>
    <n v="1"/>
    <s v="Y"/>
    <s v="Yes"/>
    <n v="13"/>
    <n v="3"/>
    <n v="3"/>
    <n v="80"/>
    <n v="1"/>
    <n v="5"/>
    <n v="3"/>
    <n v="3"/>
    <n v="5"/>
    <n v="3"/>
    <n v="3"/>
    <n v="3"/>
    <s v="LAB-390"/>
    <x v="4"/>
    <x v="1"/>
    <x v="1"/>
    <n v="5"/>
    <x v="0"/>
  </r>
  <r>
    <n v="37"/>
    <s v="No"/>
    <s v="Travel_Rarely"/>
    <n v="1372"/>
    <x v="1"/>
    <n v="1"/>
    <n v="3"/>
    <s v="Life Sciences"/>
    <n v="1"/>
    <n v="391"/>
    <n v="4"/>
    <s v="Female"/>
    <n v="42"/>
    <n v="3"/>
    <n v="1"/>
    <s v="Research Scientist"/>
    <n v="4"/>
    <s v="Single"/>
    <n v="2115"/>
    <n v="15881"/>
    <n v="1"/>
    <s v="Y"/>
    <s v="No"/>
    <n v="12"/>
    <n v="3"/>
    <n v="2"/>
    <n v="80"/>
    <n v="0"/>
    <n v="17"/>
    <n v="3"/>
    <n v="3"/>
    <n v="17"/>
    <n v="12"/>
    <n v="5"/>
    <n v="7"/>
    <s v="LAB-391"/>
    <x v="1"/>
    <x v="1"/>
    <x v="1"/>
    <n v="17"/>
    <x v="0"/>
  </r>
  <r>
    <n v="44"/>
    <s v="Yes"/>
    <s v="Travel_Frequently"/>
    <n v="920"/>
    <x v="1"/>
    <n v="24"/>
    <n v="3"/>
    <s v="Life Sciences"/>
    <n v="1"/>
    <n v="392"/>
    <n v="4"/>
    <s v="Male"/>
    <n v="43"/>
    <n v="3"/>
    <n v="1"/>
    <s v="Laboratory Technician"/>
    <n v="3"/>
    <s v="Divorced"/>
    <n v="3161"/>
    <n v="19920"/>
    <n v="3"/>
    <s v="Y"/>
    <s v="Yes"/>
    <n v="22"/>
    <n v="4"/>
    <n v="4"/>
    <n v="80"/>
    <n v="1"/>
    <n v="19"/>
    <n v="0"/>
    <n v="1"/>
    <n v="1"/>
    <n v="0"/>
    <n v="0"/>
    <n v="0"/>
    <s v="LAB-392"/>
    <x v="2"/>
    <x v="1"/>
    <x v="0"/>
    <n v="1"/>
    <x v="0"/>
  </r>
  <r>
    <n v="38"/>
    <s v="No"/>
    <s v="Travel_Rarely"/>
    <n v="688"/>
    <x v="1"/>
    <n v="23"/>
    <n v="4"/>
    <s v="Life Sciences"/>
    <n v="1"/>
    <n v="393"/>
    <n v="4"/>
    <s v="Male"/>
    <n v="82"/>
    <n v="3"/>
    <n v="2"/>
    <s v="Healthcare Representative"/>
    <n v="4"/>
    <s v="Divorced"/>
    <n v="5745"/>
    <n v="18899"/>
    <n v="9"/>
    <s v="Y"/>
    <s v="No"/>
    <n v="14"/>
    <n v="3"/>
    <n v="2"/>
    <n v="80"/>
    <n v="1"/>
    <n v="10"/>
    <n v="2"/>
    <n v="3"/>
    <n v="2"/>
    <n v="2"/>
    <n v="1"/>
    <n v="2"/>
    <s v="LAB-393"/>
    <x v="4"/>
    <x v="1"/>
    <x v="1"/>
    <n v="2"/>
    <x v="0"/>
  </r>
  <r>
    <n v="26"/>
    <s v="Yes"/>
    <s v="Travel_Rarely"/>
    <n v="1449"/>
    <x v="1"/>
    <n v="16"/>
    <n v="4"/>
    <s v="Medical"/>
    <n v="1"/>
    <n v="394"/>
    <n v="1"/>
    <s v="Male"/>
    <n v="45"/>
    <n v="3"/>
    <n v="1"/>
    <s v="Laboratory Technician"/>
    <n v="2"/>
    <s v="Divorced"/>
    <n v="2373"/>
    <n v="14180"/>
    <n v="2"/>
    <s v="Y"/>
    <s v="Yes"/>
    <n v="13"/>
    <n v="3"/>
    <n v="4"/>
    <n v="80"/>
    <n v="1"/>
    <n v="5"/>
    <n v="2"/>
    <n v="3"/>
    <n v="3"/>
    <n v="2"/>
    <n v="0"/>
    <n v="2"/>
    <s v="LAB-394"/>
    <x v="2"/>
    <x v="1"/>
    <x v="0"/>
    <n v="3"/>
    <x v="0"/>
  </r>
  <r>
    <n v="28"/>
    <s v="No"/>
    <s v="Travel_Rarely"/>
    <n v="1117"/>
    <x v="1"/>
    <n v="8"/>
    <n v="2"/>
    <s v="Life Sciences"/>
    <n v="1"/>
    <n v="395"/>
    <n v="4"/>
    <s v="Female"/>
    <n v="66"/>
    <n v="3"/>
    <n v="1"/>
    <s v="Research Scientist"/>
    <n v="4"/>
    <s v="Single"/>
    <n v="3310"/>
    <n v="4488"/>
    <n v="1"/>
    <s v="Y"/>
    <s v="No"/>
    <n v="21"/>
    <n v="4"/>
    <n v="4"/>
    <n v="80"/>
    <n v="0"/>
    <n v="5"/>
    <n v="3"/>
    <n v="3"/>
    <n v="5"/>
    <n v="3"/>
    <n v="0"/>
    <n v="2"/>
    <s v="LAB-395"/>
    <x v="1"/>
    <x v="1"/>
    <x v="1"/>
    <n v="5"/>
    <x v="0"/>
  </r>
  <r>
    <n v="49"/>
    <s v="No"/>
    <s v="Travel_Frequently"/>
    <n v="636"/>
    <x v="1"/>
    <n v="10"/>
    <n v="4"/>
    <s v="Life Sciences"/>
    <n v="1"/>
    <n v="396"/>
    <n v="3"/>
    <s v="Female"/>
    <n v="35"/>
    <n v="3"/>
    <n v="5"/>
    <s v="Research Director"/>
    <n v="1"/>
    <s v="Single"/>
    <n v="18665"/>
    <n v="25594"/>
    <n v="9"/>
    <s v="Y"/>
    <s v="Yes"/>
    <n v="11"/>
    <n v="3"/>
    <n v="4"/>
    <n v="80"/>
    <n v="0"/>
    <n v="22"/>
    <n v="4"/>
    <n v="3"/>
    <n v="3"/>
    <n v="2"/>
    <n v="1"/>
    <n v="2"/>
    <s v="LAB-396"/>
    <x v="7"/>
    <x v="1"/>
    <x v="1"/>
    <n v="3"/>
    <x v="0"/>
  </r>
  <r>
    <n v="36"/>
    <s v="No"/>
    <s v="Travel_Rarely"/>
    <n v="506"/>
    <x v="1"/>
    <n v="3"/>
    <n v="3"/>
    <s v="Technical Degree"/>
    <n v="1"/>
    <n v="397"/>
    <n v="3"/>
    <s v="Male"/>
    <n v="30"/>
    <n v="3"/>
    <n v="2"/>
    <s v="Research Scientist"/>
    <n v="2"/>
    <s v="Single"/>
    <n v="4485"/>
    <n v="26285"/>
    <n v="4"/>
    <s v="Y"/>
    <s v="No"/>
    <n v="12"/>
    <n v="3"/>
    <n v="4"/>
    <n v="80"/>
    <n v="0"/>
    <n v="10"/>
    <n v="2"/>
    <n v="3"/>
    <n v="8"/>
    <n v="0"/>
    <n v="7"/>
    <n v="7"/>
    <s v="LAB-397"/>
    <x v="1"/>
    <x v="1"/>
    <x v="1"/>
    <n v="8"/>
    <x v="0"/>
  </r>
  <r>
    <n v="31"/>
    <s v="No"/>
    <s v="Travel_Frequently"/>
    <n v="444"/>
    <x v="0"/>
    <n v="5"/>
    <n v="3"/>
    <s v="Marketing"/>
    <n v="1"/>
    <n v="399"/>
    <n v="4"/>
    <s v="Female"/>
    <n v="84"/>
    <n v="3"/>
    <n v="1"/>
    <s v="Sales Representative"/>
    <n v="2"/>
    <s v="Divorced"/>
    <n v="2789"/>
    <n v="3909"/>
    <n v="1"/>
    <s v="Y"/>
    <s v="No"/>
    <n v="11"/>
    <n v="3"/>
    <n v="3"/>
    <n v="80"/>
    <n v="1"/>
    <n v="2"/>
    <n v="5"/>
    <n v="2"/>
    <n v="2"/>
    <n v="2"/>
    <n v="2"/>
    <n v="2"/>
    <s v="LAB-399"/>
    <x v="6"/>
    <x v="0"/>
    <x v="1"/>
    <n v="2"/>
    <x v="0"/>
  </r>
  <r>
    <n v="26"/>
    <s v="Yes"/>
    <s v="Travel_Rarely"/>
    <n v="950"/>
    <x v="0"/>
    <n v="4"/>
    <n v="4"/>
    <s v="Marketing"/>
    <n v="1"/>
    <n v="401"/>
    <n v="4"/>
    <s v="Male"/>
    <n v="48"/>
    <n v="2"/>
    <n v="2"/>
    <s v="Sales Executive"/>
    <n v="4"/>
    <s v="Single"/>
    <n v="5828"/>
    <n v="8450"/>
    <n v="1"/>
    <s v="Y"/>
    <s v="Yes"/>
    <n v="12"/>
    <n v="3"/>
    <n v="2"/>
    <n v="80"/>
    <n v="0"/>
    <n v="8"/>
    <n v="0"/>
    <n v="3"/>
    <n v="8"/>
    <n v="7"/>
    <n v="7"/>
    <n v="4"/>
    <s v="LAB-401"/>
    <x v="0"/>
    <x v="0"/>
    <x v="0"/>
    <n v="8"/>
    <x v="0"/>
  </r>
  <r>
    <n v="37"/>
    <s v="No"/>
    <s v="Travel_Frequently"/>
    <n v="889"/>
    <x v="1"/>
    <n v="9"/>
    <n v="3"/>
    <s v="Medical"/>
    <n v="1"/>
    <n v="403"/>
    <n v="2"/>
    <s v="Male"/>
    <n v="53"/>
    <n v="3"/>
    <n v="1"/>
    <s v="Research Scientist"/>
    <n v="4"/>
    <s v="Married"/>
    <n v="2326"/>
    <n v="11411"/>
    <n v="1"/>
    <s v="Y"/>
    <s v="Yes"/>
    <n v="12"/>
    <n v="3"/>
    <n v="3"/>
    <n v="80"/>
    <n v="3"/>
    <n v="4"/>
    <n v="3"/>
    <n v="2"/>
    <n v="4"/>
    <n v="2"/>
    <n v="1"/>
    <n v="2"/>
    <s v="LAB-403"/>
    <x v="1"/>
    <x v="1"/>
    <x v="1"/>
    <n v="4"/>
    <x v="0"/>
  </r>
  <r>
    <n v="42"/>
    <s v="No"/>
    <s v="Travel_Frequently"/>
    <n v="555"/>
    <x v="0"/>
    <n v="26"/>
    <n v="3"/>
    <s v="Marketing"/>
    <n v="1"/>
    <n v="404"/>
    <n v="3"/>
    <s v="Female"/>
    <n v="77"/>
    <n v="3"/>
    <n v="4"/>
    <s v="Sales Executive"/>
    <n v="2"/>
    <s v="Married"/>
    <n v="13525"/>
    <n v="14864"/>
    <n v="5"/>
    <s v="Y"/>
    <s v="No"/>
    <n v="14"/>
    <n v="3"/>
    <n v="4"/>
    <n v="80"/>
    <n v="1"/>
    <n v="23"/>
    <n v="2"/>
    <n v="4"/>
    <n v="20"/>
    <n v="4"/>
    <n v="4"/>
    <n v="8"/>
    <s v="LAB-404"/>
    <x v="0"/>
    <x v="0"/>
    <x v="1"/>
    <n v="20"/>
    <x v="0"/>
  </r>
  <r>
    <n v="18"/>
    <s v="Yes"/>
    <s v="Travel_Rarely"/>
    <n v="230"/>
    <x v="1"/>
    <n v="3"/>
    <n v="3"/>
    <s v="Life Sciences"/>
    <n v="1"/>
    <n v="405"/>
    <n v="3"/>
    <s v="Male"/>
    <n v="54"/>
    <n v="3"/>
    <n v="1"/>
    <s v="Laboratory Technician"/>
    <n v="3"/>
    <s v="Single"/>
    <n v="1420"/>
    <n v="25233"/>
    <n v="1"/>
    <s v="Y"/>
    <s v="No"/>
    <n v="13"/>
    <n v="3"/>
    <n v="3"/>
    <n v="80"/>
    <n v="0"/>
    <n v="0"/>
    <n v="2"/>
    <n v="3"/>
    <n v="0"/>
    <n v="0"/>
    <n v="0"/>
    <n v="0"/>
    <s v="LAB-405"/>
    <x v="2"/>
    <x v="1"/>
    <x v="0"/>
    <n v="0"/>
    <x v="0"/>
  </r>
  <r>
    <n v="35"/>
    <s v="No"/>
    <s v="Travel_Rarely"/>
    <n v="1232"/>
    <x v="0"/>
    <n v="16"/>
    <n v="3"/>
    <s v="Marketing"/>
    <n v="1"/>
    <n v="406"/>
    <n v="3"/>
    <s v="Male"/>
    <n v="96"/>
    <n v="3"/>
    <n v="3"/>
    <s v="Sales Executive"/>
    <n v="2"/>
    <s v="Married"/>
    <n v="8020"/>
    <n v="5100"/>
    <n v="0"/>
    <s v="Y"/>
    <s v="No"/>
    <n v="15"/>
    <n v="3"/>
    <n v="3"/>
    <n v="80"/>
    <n v="2"/>
    <n v="12"/>
    <n v="3"/>
    <n v="2"/>
    <n v="11"/>
    <n v="9"/>
    <n v="6"/>
    <n v="9"/>
    <s v="LAB-406"/>
    <x v="0"/>
    <x v="0"/>
    <x v="1"/>
    <n v="11"/>
    <x v="0"/>
  </r>
  <r>
    <n v="36"/>
    <s v="No"/>
    <s v="Travel_Frequently"/>
    <n v="566"/>
    <x v="1"/>
    <n v="18"/>
    <n v="4"/>
    <s v="Life Sciences"/>
    <n v="1"/>
    <n v="407"/>
    <n v="3"/>
    <s v="Male"/>
    <n v="81"/>
    <n v="4"/>
    <n v="1"/>
    <s v="Laboratory Technician"/>
    <n v="4"/>
    <s v="Married"/>
    <n v="3688"/>
    <n v="7122"/>
    <n v="4"/>
    <s v="Y"/>
    <s v="No"/>
    <n v="18"/>
    <n v="3"/>
    <n v="4"/>
    <n v="80"/>
    <n v="2"/>
    <n v="4"/>
    <n v="2"/>
    <n v="3"/>
    <n v="1"/>
    <n v="0"/>
    <n v="0"/>
    <n v="0"/>
    <s v="LAB-407"/>
    <x v="2"/>
    <x v="1"/>
    <x v="1"/>
    <n v="1"/>
    <x v="0"/>
  </r>
  <r>
    <n v="51"/>
    <s v="No"/>
    <s v="Travel_Rarely"/>
    <n v="1302"/>
    <x v="1"/>
    <n v="2"/>
    <n v="3"/>
    <s v="Medical"/>
    <n v="1"/>
    <n v="408"/>
    <n v="4"/>
    <s v="Male"/>
    <n v="84"/>
    <n v="1"/>
    <n v="2"/>
    <s v="Manufacturing Director"/>
    <n v="2"/>
    <s v="Divorced"/>
    <n v="5482"/>
    <n v="16321"/>
    <n v="5"/>
    <s v="Y"/>
    <s v="No"/>
    <n v="18"/>
    <n v="3"/>
    <n v="4"/>
    <n v="80"/>
    <n v="1"/>
    <n v="13"/>
    <n v="3"/>
    <n v="3"/>
    <n v="4"/>
    <n v="1"/>
    <n v="1"/>
    <n v="2"/>
    <s v="LAB-408"/>
    <x v="3"/>
    <x v="1"/>
    <x v="1"/>
    <n v="4"/>
    <x v="0"/>
  </r>
  <r>
    <n v="41"/>
    <s v="No"/>
    <s v="Travel_Rarely"/>
    <n v="334"/>
    <x v="0"/>
    <n v="2"/>
    <n v="4"/>
    <s v="Life Sciences"/>
    <n v="1"/>
    <n v="410"/>
    <n v="4"/>
    <s v="Male"/>
    <n v="88"/>
    <n v="3"/>
    <n v="4"/>
    <s v="Manager"/>
    <n v="2"/>
    <s v="Single"/>
    <n v="16015"/>
    <n v="15896"/>
    <n v="1"/>
    <s v="Y"/>
    <s v="No"/>
    <n v="19"/>
    <n v="3"/>
    <n v="2"/>
    <n v="80"/>
    <n v="0"/>
    <n v="22"/>
    <n v="2"/>
    <n v="3"/>
    <n v="22"/>
    <n v="10"/>
    <n v="0"/>
    <n v="4"/>
    <s v="LAB-410"/>
    <x v="5"/>
    <x v="0"/>
    <x v="1"/>
    <n v="22"/>
    <x v="0"/>
  </r>
  <r>
    <n v="18"/>
    <s v="No"/>
    <s v="Travel_Rarely"/>
    <n v="812"/>
    <x v="0"/>
    <n v="10"/>
    <n v="3"/>
    <s v="Medical"/>
    <n v="1"/>
    <n v="411"/>
    <n v="4"/>
    <s v="Female"/>
    <n v="69"/>
    <n v="2"/>
    <n v="1"/>
    <s v="Sales Representative"/>
    <n v="3"/>
    <s v="Single"/>
    <n v="1200"/>
    <n v="9724"/>
    <n v="1"/>
    <s v="Y"/>
    <s v="No"/>
    <n v="12"/>
    <n v="3"/>
    <n v="1"/>
    <n v="80"/>
    <n v="0"/>
    <n v="0"/>
    <n v="2"/>
    <n v="3"/>
    <n v="0"/>
    <n v="0"/>
    <n v="0"/>
    <n v="0"/>
    <s v="LAB-411"/>
    <x v="6"/>
    <x v="0"/>
    <x v="1"/>
    <n v="0"/>
    <x v="0"/>
  </r>
  <r>
    <n v="28"/>
    <s v="No"/>
    <s v="Travel_Rarely"/>
    <n v="1476"/>
    <x v="1"/>
    <n v="16"/>
    <n v="2"/>
    <s v="Medical"/>
    <n v="1"/>
    <n v="412"/>
    <n v="2"/>
    <s v="Male"/>
    <n v="68"/>
    <n v="4"/>
    <n v="2"/>
    <s v="Healthcare Representative"/>
    <n v="1"/>
    <s v="Single"/>
    <n v="5661"/>
    <n v="4824"/>
    <n v="0"/>
    <s v="Y"/>
    <s v="No"/>
    <n v="19"/>
    <n v="3"/>
    <n v="3"/>
    <n v="80"/>
    <n v="0"/>
    <n v="9"/>
    <n v="2"/>
    <n v="3"/>
    <n v="8"/>
    <n v="3"/>
    <n v="0"/>
    <n v="7"/>
    <s v="LAB-412"/>
    <x v="4"/>
    <x v="1"/>
    <x v="1"/>
    <n v="8"/>
    <x v="0"/>
  </r>
  <r>
    <n v="31"/>
    <s v="No"/>
    <s v="Travel_Rarely"/>
    <n v="218"/>
    <x v="0"/>
    <n v="7"/>
    <n v="3"/>
    <s v="Technical Degree"/>
    <n v="1"/>
    <n v="416"/>
    <n v="2"/>
    <s v="Male"/>
    <n v="100"/>
    <n v="4"/>
    <n v="2"/>
    <s v="Sales Executive"/>
    <n v="4"/>
    <s v="Married"/>
    <n v="6929"/>
    <n v="12241"/>
    <n v="4"/>
    <s v="Y"/>
    <s v="No"/>
    <n v="11"/>
    <n v="3"/>
    <n v="2"/>
    <n v="80"/>
    <n v="1"/>
    <n v="10"/>
    <n v="3"/>
    <n v="2"/>
    <n v="8"/>
    <n v="7"/>
    <n v="7"/>
    <n v="7"/>
    <s v="LAB-416"/>
    <x v="0"/>
    <x v="0"/>
    <x v="1"/>
    <n v="8"/>
    <x v="0"/>
  </r>
  <r>
    <n v="39"/>
    <s v="No"/>
    <s v="Travel_Rarely"/>
    <n v="1132"/>
    <x v="1"/>
    <n v="1"/>
    <n v="3"/>
    <s v="Medical"/>
    <n v="1"/>
    <n v="417"/>
    <n v="3"/>
    <s v="Male"/>
    <n v="48"/>
    <n v="4"/>
    <n v="3"/>
    <s v="Healthcare Representative"/>
    <n v="4"/>
    <s v="Divorced"/>
    <n v="9613"/>
    <n v="10942"/>
    <n v="0"/>
    <s v="Y"/>
    <s v="No"/>
    <n v="17"/>
    <n v="3"/>
    <n v="1"/>
    <n v="80"/>
    <n v="3"/>
    <n v="19"/>
    <n v="5"/>
    <n v="2"/>
    <n v="18"/>
    <n v="10"/>
    <n v="3"/>
    <n v="7"/>
    <s v="LAB-417"/>
    <x v="4"/>
    <x v="1"/>
    <x v="1"/>
    <n v="18"/>
    <x v="0"/>
  </r>
  <r>
    <n v="36"/>
    <s v="No"/>
    <s v="Non-Travel"/>
    <n v="1105"/>
    <x v="1"/>
    <n v="24"/>
    <n v="4"/>
    <s v="Life Sciences"/>
    <n v="1"/>
    <n v="419"/>
    <n v="2"/>
    <s v="Female"/>
    <n v="47"/>
    <n v="3"/>
    <n v="2"/>
    <s v="Laboratory Technician"/>
    <n v="2"/>
    <s v="Married"/>
    <n v="5674"/>
    <n v="6927"/>
    <n v="7"/>
    <s v="Y"/>
    <s v="No"/>
    <n v="15"/>
    <n v="3"/>
    <n v="3"/>
    <n v="80"/>
    <n v="1"/>
    <n v="11"/>
    <n v="3"/>
    <n v="3"/>
    <n v="9"/>
    <n v="8"/>
    <n v="0"/>
    <n v="8"/>
    <s v="LAB-419"/>
    <x v="2"/>
    <x v="1"/>
    <x v="1"/>
    <n v="9"/>
    <x v="0"/>
  </r>
  <r>
    <n v="32"/>
    <s v="No"/>
    <s v="Travel_Rarely"/>
    <n v="906"/>
    <x v="0"/>
    <n v="7"/>
    <n v="3"/>
    <s v="Life Sciences"/>
    <n v="1"/>
    <n v="420"/>
    <n v="4"/>
    <s v="Male"/>
    <n v="91"/>
    <n v="2"/>
    <n v="2"/>
    <s v="Sales Executive"/>
    <n v="3"/>
    <s v="Married"/>
    <n v="5484"/>
    <n v="16985"/>
    <n v="1"/>
    <s v="Y"/>
    <s v="No"/>
    <n v="14"/>
    <n v="3"/>
    <n v="3"/>
    <n v="80"/>
    <n v="1"/>
    <n v="13"/>
    <n v="3"/>
    <n v="2"/>
    <n v="13"/>
    <n v="8"/>
    <n v="4"/>
    <n v="8"/>
    <s v="LAB-420"/>
    <x v="0"/>
    <x v="0"/>
    <x v="1"/>
    <n v="13"/>
    <x v="0"/>
  </r>
  <r>
    <n v="38"/>
    <s v="No"/>
    <s v="Travel_Rarely"/>
    <n v="849"/>
    <x v="1"/>
    <n v="25"/>
    <n v="2"/>
    <s v="Life Sciences"/>
    <n v="1"/>
    <n v="421"/>
    <n v="1"/>
    <s v="Female"/>
    <n v="81"/>
    <n v="2"/>
    <n v="3"/>
    <s v="Research Director"/>
    <n v="2"/>
    <s v="Married"/>
    <n v="12061"/>
    <n v="26707"/>
    <n v="3"/>
    <s v="Y"/>
    <s v="No"/>
    <n v="17"/>
    <n v="3"/>
    <n v="3"/>
    <n v="80"/>
    <n v="1"/>
    <n v="19"/>
    <n v="2"/>
    <n v="3"/>
    <n v="10"/>
    <n v="8"/>
    <n v="0"/>
    <n v="1"/>
    <s v="LAB-421"/>
    <x v="7"/>
    <x v="1"/>
    <x v="1"/>
    <n v="10"/>
    <x v="0"/>
  </r>
  <r>
    <n v="58"/>
    <s v="No"/>
    <s v="Non-Travel"/>
    <n v="390"/>
    <x v="1"/>
    <n v="1"/>
    <n v="4"/>
    <s v="Life Sciences"/>
    <n v="1"/>
    <n v="422"/>
    <n v="4"/>
    <s v="Male"/>
    <n v="32"/>
    <n v="1"/>
    <n v="2"/>
    <s v="Healthcare Representative"/>
    <n v="3"/>
    <s v="Divorced"/>
    <n v="5660"/>
    <n v="17056"/>
    <n v="2"/>
    <s v="Y"/>
    <s v="Yes"/>
    <n v="13"/>
    <n v="3"/>
    <n v="4"/>
    <n v="80"/>
    <n v="1"/>
    <n v="12"/>
    <n v="2"/>
    <n v="3"/>
    <n v="5"/>
    <n v="3"/>
    <n v="1"/>
    <n v="2"/>
    <s v="LAB-422"/>
    <x v="4"/>
    <x v="1"/>
    <x v="1"/>
    <n v="5"/>
    <x v="0"/>
  </r>
  <r>
    <n v="31"/>
    <s v="No"/>
    <s v="Travel_Rarely"/>
    <n v="691"/>
    <x v="1"/>
    <n v="5"/>
    <n v="4"/>
    <s v="Technical Degree"/>
    <n v="1"/>
    <n v="423"/>
    <n v="3"/>
    <s v="Male"/>
    <n v="86"/>
    <n v="3"/>
    <n v="1"/>
    <s v="Research Scientist"/>
    <n v="4"/>
    <s v="Married"/>
    <n v="4821"/>
    <n v="10077"/>
    <n v="0"/>
    <s v="Y"/>
    <s v="Yes"/>
    <n v="12"/>
    <n v="3"/>
    <n v="3"/>
    <n v="80"/>
    <n v="1"/>
    <n v="6"/>
    <n v="4"/>
    <n v="3"/>
    <n v="5"/>
    <n v="2"/>
    <n v="0"/>
    <n v="3"/>
    <s v="LAB-423"/>
    <x v="1"/>
    <x v="1"/>
    <x v="1"/>
    <n v="5"/>
    <x v="0"/>
  </r>
  <r>
    <n v="31"/>
    <s v="No"/>
    <s v="Travel_Rarely"/>
    <n v="106"/>
    <x v="2"/>
    <n v="2"/>
    <n v="3"/>
    <s v="Human Resources"/>
    <n v="1"/>
    <n v="424"/>
    <n v="1"/>
    <s v="Male"/>
    <n v="62"/>
    <n v="2"/>
    <n v="2"/>
    <s v="Human Resources"/>
    <n v="1"/>
    <s v="Married"/>
    <n v="6410"/>
    <n v="17822"/>
    <n v="3"/>
    <s v="Y"/>
    <s v="No"/>
    <n v="12"/>
    <n v="3"/>
    <n v="4"/>
    <n v="80"/>
    <n v="0"/>
    <n v="9"/>
    <n v="1"/>
    <n v="3"/>
    <n v="2"/>
    <n v="2"/>
    <n v="1"/>
    <n v="0"/>
    <s v="LAB-424"/>
    <x v="8"/>
    <x v="2"/>
    <x v="1"/>
    <n v="2"/>
    <x v="0"/>
  </r>
  <r>
    <n v="45"/>
    <s v="No"/>
    <s v="Travel_Frequently"/>
    <n v="1249"/>
    <x v="1"/>
    <n v="7"/>
    <n v="3"/>
    <s v="Life Sciences"/>
    <n v="1"/>
    <n v="425"/>
    <n v="1"/>
    <s v="Male"/>
    <n v="97"/>
    <n v="3"/>
    <n v="3"/>
    <s v="Laboratory Technician"/>
    <n v="1"/>
    <s v="Divorced"/>
    <n v="5210"/>
    <n v="20308"/>
    <n v="1"/>
    <s v="Y"/>
    <s v="No"/>
    <n v="18"/>
    <n v="3"/>
    <n v="1"/>
    <n v="80"/>
    <n v="1"/>
    <n v="24"/>
    <n v="2"/>
    <n v="3"/>
    <n v="24"/>
    <n v="9"/>
    <n v="9"/>
    <n v="11"/>
    <s v="LAB-425"/>
    <x v="2"/>
    <x v="1"/>
    <x v="1"/>
    <n v="24"/>
    <x v="0"/>
  </r>
  <r>
    <n v="31"/>
    <s v="No"/>
    <s v="Travel_Rarely"/>
    <n v="192"/>
    <x v="1"/>
    <n v="2"/>
    <n v="4"/>
    <s v="Life Sciences"/>
    <n v="1"/>
    <n v="426"/>
    <n v="3"/>
    <s v="Male"/>
    <n v="32"/>
    <n v="3"/>
    <n v="1"/>
    <s v="Research Scientist"/>
    <n v="4"/>
    <s v="Divorced"/>
    <n v="2695"/>
    <n v="7747"/>
    <n v="0"/>
    <s v="Y"/>
    <s v="Yes"/>
    <n v="18"/>
    <n v="3"/>
    <n v="2"/>
    <n v="80"/>
    <n v="1"/>
    <n v="3"/>
    <n v="2"/>
    <n v="1"/>
    <n v="2"/>
    <n v="2"/>
    <n v="2"/>
    <n v="2"/>
    <s v="LAB-426"/>
    <x v="1"/>
    <x v="1"/>
    <x v="1"/>
    <n v="2"/>
    <x v="0"/>
  </r>
  <r>
    <n v="33"/>
    <s v="No"/>
    <s v="Travel_Frequently"/>
    <n v="553"/>
    <x v="1"/>
    <n v="5"/>
    <n v="4"/>
    <s v="Life Sciences"/>
    <n v="1"/>
    <n v="428"/>
    <n v="4"/>
    <s v="Female"/>
    <n v="74"/>
    <n v="3"/>
    <n v="3"/>
    <s v="Manager"/>
    <n v="2"/>
    <s v="Married"/>
    <n v="11878"/>
    <n v="23364"/>
    <n v="6"/>
    <s v="Y"/>
    <s v="No"/>
    <n v="11"/>
    <n v="3"/>
    <n v="2"/>
    <n v="80"/>
    <n v="2"/>
    <n v="12"/>
    <n v="2"/>
    <n v="3"/>
    <n v="10"/>
    <n v="6"/>
    <n v="8"/>
    <n v="8"/>
    <s v="LAB-428"/>
    <x v="5"/>
    <x v="1"/>
    <x v="1"/>
    <n v="10"/>
    <x v="0"/>
  </r>
  <r>
    <n v="39"/>
    <s v="No"/>
    <s v="Travel_Rarely"/>
    <n v="117"/>
    <x v="1"/>
    <n v="10"/>
    <n v="1"/>
    <s v="Medical"/>
    <n v="1"/>
    <n v="429"/>
    <n v="3"/>
    <s v="Male"/>
    <n v="99"/>
    <n v="3"/>
    <n v="4"/>
    <s v="Manager"/>
    <n v="1"/>
    <s v="Married"/>
    <n v="17068"/>
    <n v="5355"/>
    <n v="1"/>
    <s v="Y"/>
    <s v="Yes"/>
    <n v="14"/>
    <n v="3"/>
    <n v="4"/>
    <n v="80"/>
    <n v="0"/>
    <n v="21"/>
    <n v="3"/>
    <n v="3"/>
    <n v="21"/>
    <n v="9"/>
    <n v="11"/>
    <n v="10"/>
    <s v="LAB-429"/>
    <x v="5"/>
    <x v="1"/>
    <x v="1"/>
    <n v="21"/>
    <x v="0"/>
  </r>
  <r>
    <n v="43"/>
    <s v="No"/>
    <s v="Travel_Frequently"/>
    <n v="185"/>
    <x v="1"/>
    <n v="10"/>
    <n v="4"/>
    <s v="Life Sciences"/>
    <n v="1"/>
    <n v="430"/>
    <n v="3"/>
    <s v="Female"/>
    <n v="33"/>
    <n v="3"/>
    <n v="1"/>
    <s v="Laboratory Technician"/>
    <n v="4"/>
    <s v="Single"/>
    <n v="2455"/>
    <n v="10675"/>
    <n v="0"/>
    <s v="Y"/>
    <s v="No"/>
    <n v="19"/>
    <n v="3"/>
    <n v="1"/>
    <n v="80"/>
    <n v="0"/>
    <n v="9"/>
    <n v="5"/>
    <n v="3"/>
    <n v="8"/>
    <n v="7"/>
    <n v="1"/>
    <n v="7"/>
    <s v="LAB-430"/>
    <x v="2"/>
    <x v="1"/>
    <x v="1"/>
    <n v="8"/>
    <x v="0"/>
  </r>
  <r>
    <n v="49"/>
    <s v="No"/>
    <s v="Travel_Rarely"/>
    <n v="1091"/>
    <x v="1"/>
    <n v="1"/>
    <n v="2"/>
    <s v="Technical Degree"/>
    <n v="1"/>
    <n v="431"/>
    <n v="3"/>
    <s v="Female"/>
    <n v="90"/>
    <n v="2"/>
    <n v="4"/>
    <s v="Healthcare Representative"/>
    <n v="3"/>
    <s v="Single"/>
    <n v="13964"/>
    <n v="17810"/>
    <n v="7"/>
    <s v="Y"/>
    <s v="Yes"/>
    <n v="12"/>
    <n v="3"/>
    <n v="4"/>
    <n v="80"/>
    <n v="0"/>
    <n v="25"/>
    <n v="2"/>
    <n v="3"/>
    <n v="7"/>
    <n v="1"/>
    <n v="0"/>
    <n v="7"/>
    <s v="LAB-431"/>
    <x v="4"/>
    <x v="1"/>
    <x v="1"/>
    <n v="7"/>
    <x v="0"/>
  </r>
  <r>
    <n v="52"/>
    <s v="Yes"/>
    <s v="Travel_Rarely"/>
    <n v="723"/>
    <x v="1"/>
    <n v="8"/>
    <n v="4"/>
    <s v="Medical"/>
    <n v="1"/>
    <n v="433"/>
    <n v="3"/>
    <s v="Male"/>
    <n v="85"/>
    <n v="2"/>
    <n v="2"/>
    <s v="Research Scientist"/>
    <n v="2"/>
    <s v="Married"/>
    <n v="4941"/>
    <n v="17747"/>
    <n v="2"/>
    <s v="Y"/>
    <s v="No"/>
    <n v="15"/>
    <n v="3"/>
    <n v="1"/>
    <n v="80"/>
    <n v="0"/>
    <n v="11"/>
    <n v="3"/>
    <n v="2"/>
    <n v="8"/>
    <n v="2"/>
    <n v="7"/>
    <n v="7"/>
    <s v="LAB-433"/>
    <x v="1"/>
    <x v="1"/>
    <x v="0"/>
    <n v="8"/>
    <x v="0"/>
  </r>
  <r>
    <n v="27"/>
    <s v="No"/>
    <s v="Travel_Rarely"/>
    <n v="1220"/>
    <x v="1"/>
    <n v="5"/>
    <n v="3"/>
    <s v="Life Sciences"/>
    <n v="1"/>
    <n v="434"/>
    <n v="3"/>
    <s v="Female"/>
    <n v="85"/>
    <n v="3"/>
    <n v="1"/>
    <s v="Research Scientist"/>
    <n v="2"/>
    <s v="Single"/>
    <n v="2478"/>
    <n v="20938"/>
    <n v="1"/>
    <s v="Y"/>
    <s v="Yes"/>
    <n v="12"/>
    <n v="3"/>
    <n v="2"/>
    <n v="80"/>
    <n v="0"/>
    <n v="4"/>
    <n v="2"/>
    <n v="2"/>
    <n v="4"/>
    <n v="3"/>
    <n v="1"/>
    <n v="2"/>
    <s v="LAB-434"/>
    <x v="1"/>
    <x v="1"/>
    <x v="1"/>
    <n v="4"/>
    <x v="0"/>
  </r>
  <r>
    <n v="32"/>
    <s v="No"/>
    <s v="Travel_Rarely"/>
    <n v="588"/>
    <x v="0"/>
    <n v="8"/>
    <n v="2"/>
    <s v="Technical Degree"/>
    <n v="1"/>
    <n v="436"/>
    <n v="3"/>
    <s v="Female"/>
    <n v="65"/>
    <n v="2"/>
    <n v="2"/>
    <s v="Sales Executive"/>
    <n v="2"/>
    <s v="Married"/>
    <n v="5228"/>
    <n v="24624"/>
    <n v="1"/>
    <s v="Y"/>
    <s v="Yes"/>
    <n v="11"/>
    <n v="3"/>
    <n v="4"/>
    <n v="80"/>
    <n v="0"/>
    <n v="13"/>
    <n v="2"/>
    <n v="3"/>
    <n v="13"/>
    <n v="12"/>
    <n v="11"/>
    <n v="9"/>
    <s v="LAB-436"/>
    <x v="0"/>
    <x v="0"/>
    <x v="1"/>
    <n v="13"/>
    <x v="0"/>
  </r>
  <r>
    <n v="27"/>
    <s v="No"/>
    <s v="Travel_Rarely"/>
    <n v="1377"/>
    <x v="0"/>
    <n v="2"/>
    <n v="3"/>
    <s v="Life Sciences"/>
    <n v="1"/>
    <n v="437"/>
    <n v="4"/>
    <s v="Male"/>
    <n v="74"/>
    <n v="3"/>
    <n v="2"/>
    <s v="Sales Executive"/>
    <n v="3"/>
    <s v="Single"/>
    <n v="4478"/>
    <n v="5242"/>
    <n v="1"/>
    <s v="Y"/>
    <s v="Yes"/>
    <n v="11"/>
    <n v="3"/>
    <n v="1"/>
    <n v="80"/>
    <n v="0"/>
    <n v="5"/>
    <n v="3"/>
    <n v="3"/>
    <n v="5"/>
    <n v="4"/>
    <n v="0"/>
    <n v="4"/>
    <s v="LAB-437"/>
    <x v="0"/>
    <x v="0"/>
    <x v="1"/>
    <n v="5"/>
    <x v="0"/>
  </r>
  <r>
    <n v="31"/>
    <s v="No"/>
    <s v="Travel_Rarely"/>
    <n v="691"/>
    <x v="0"/>
    <n v="7"/>
    <n v="3"/>
    <s v="Marketing"/>
    <n v="1"/>
    <n v="438"/>
    <n v="4"/>
    <s v="Male"/>
    <n v="73"/>
    <n v="3"/>
    <n v="2"/>
    <s v="Sales Executive"/>
    <n v="4"/>
    <s v="Divorced"/>
    <n v="7547"/>
    <n v="7143"/>
    <n v="4"/>
    <s v="Y"/>
    <s v="No"/>
    <n v="12"/>
    <n v="3"/>
    <n v="4"/>
    <n v="80"/>
    <n v="3"/>
    <n v="13"/>
    <n v="3"/>
    <n v="3"/>
    <n v="7"/>
    <n v="7"/>
    <n v="1"/>
    <n v="7"/>
    <s v="LAB-438"/>
    <x v="0"/>
    <x v="0"/>
    <x v="1"/>
    <n v="7"/>
    <x v="0"/>
  </r>
  <r>
    <n v="32"/>
    <s v="No"/>
    <s v="Travel_Rarely"/>
    <n v="1018"/>
    <x v="1"/>
    <n v="2"/>
    <n v="4"/>
    <s v="Medical"/>
    <n v="1"/>
    <n v="439"/>
    <n v="1"/>
    <s v="Female"/>
    <n v="74"/>
    <n v="4"/>
    <n v="2"/>
    <s v="Research Scientist"/>
    <n v="4"/>
    <s v="Single"/>
    <n v="5055"/>
    <n v="10557"/>
    <n v="7"/>
    <s v="Y"/>
    <s v="No"/>
    <n v="16"/>
    <n v="3"/>
    <n v="3"/>
    <n v="80"/>
    <n v="0"/>
    <n v="10"/>
    <n v="0"/>
    <n v="2"/>
    <n v="7"/>
    <n v="7"/>
    <n v="0"/>
    <n v="7"/>
    <s v="LAB-439"/>
    <x v="1"/>
    <x v="1"/>
    <x v="1"/>
    <n v="7"/>
    <x v="0"/>
  </r>
  <r>
    <n v="28"/>
    <s v="Yes"/>
    <s v="Travel_Rarely"/>
    <n v="1157"/>
    <x v="1"/>
    <n v="2"/>
    <n v="4"/>
    <s v="Medical"/>
    <n v="1"/>
    <n v="440"/>
    <n v="1"/>
    <s v="Male"/>
    <n v="84"/>
    <n v="1"/>
    <n v="1"/>
    <s v="Research Scientist"/>
    <n v="4"/>
    <s v="Married"/>
    <n v="3464"/>
    <n v="24737"/>
    <n v="5"/>
    <s v="Y"/>
    <s v="Yes"/>
    <n v="13"/>
    <n v="3"/>
    <n v="4"/>
    <n v="80"/>
    <n v="0"/>
    <n v="5"/>
    <n v="4"/>
    <n v="2"/>
    <n v="3"/>
    <n v="2"/>
    <n v="2"/>
    <n v="2"/>
    <s v="LAB-440"/>
    <x v="1"/>
    <x v="1"/>
    <x v="0"/>
    <n v="3"/>
    <x v="0"/>
  </r>
  <r>
    <n v="30"/>
    <s v="No"/>
    <s v="Travel_Rarely"/>
    <n v="1275"/>
    <x v="1"/>
    <n v="28"/>
    <n v="2"/>
    <s v="Medical"/>
    <n v="1"/>
    <n v="441"/>
    <n v="4"/>
    <s v="Female"/>
    <n v="64"/>
    <n v="3"/>
    <n v="2"/>
    <s v="Research Scientist"/>
    <n v="4"/>
    <s v="Married"/>
    <n v="5775"/>
    <n v="11934"/>
    <n v="1"/>
    <s v="Y"/>
    <s v="No"/>
    <n v="13"/>
    <n v="3"/>
    <n v="4"/>
    <n v="80"/>
    <n v="2"/>
    <n v="11"/>
    <n v="2"/>
    <n v="3"/>
    <n v="10"/>
    <n v="8"/>
    <n v="1"/>
    <n v="9"/>
    <s v="LAB-441"/>
    <x v="1"/>
    <x v="1"/>
    <x v="1"/>
    <n v="10"/>
    <x v="0"/>
  </r>
  <r>
    <n v="31"/>
    <s v="No"/>
    <s v="Travel_Frequently"/>
    <n v="798"/>
    <x v="1"/>
    <n v="7"/>
    <n v="2"/>
    <s v="Life Sciences"/>
    <n v="1"/>
    <n v="442"/>
    <n v="3"/>
    <s v="Female"/>
    <n v="48"/>
    <n v="2"/>
    <n v="3"/>
    <s v="Manufacturing Director"/>
    <n v="3"/>
    <s v="Married"/>
    <n v="8943"/>
    <n v="14034"/>
    <n v="1"/>
    <s v="Y"/>
    <s v="No"/>
    <n v="24"/>
    <n v="4"/>
    <n v="1"/>
    <n v="80"/>
    <n v="1"/>
    <n v="10"/>
    <n v="2"/>
    <n v="3"/>
    <n v="10"/>
    <n v="9"/>
    <n v="8"/>
    <n v="9"/>
    <s v="LAB-442"/>
    <x v="3"/>
    <x v="1"/>
    <x v="1"/>
    <n v="10"/>
    <x v="0"/>
  </r>
  <r>
    <n v="39"/>
    <s v="No"/>
    <s v="Travel_Frequently"/>
    <n v="672"/>
    <x v="1"/>
    <n v="7"/>
    <n v="2"/>
    <s v="Medical"/>
    <n v="1"/>
    <n v="444"/>
    <n v="3"/>
    <s v="Male"/>
    <n v="54"/>
    <n v="2"/>
    <n v="5"/>
    <s v="Manager"/>
    <n v="4"/>
    <s v="Married"/>
    <n v="19272"/>
    <n v="21141"/>
    <n v="1"/>
    <s v="Y"/>
    <s v="No"/>
    <n v="15"/>
    <n v="3"/>
    <n v="1"/>
    <n v="80"/>
    <n v="1"/>
    <n v="21"/>
    <n v="2"/>
    <n v="3"/>
    <n v="21"/>
    <n v="9"/>
    <n v="13"/>
    <n v="3"/>
    <s v="LAB-444"/>
    <x v="5"/>
    <x v="1"/>
    <x v="1"/>
    <n v="21"/>
    <x v="0"/>
  </r>
  <r>
    <n v="39"/>
    <s v="Yes"/>
    <s v="Travel_Rarely"/>
    <n v="1162"/>
    <x v="0"/>
    <n v="3"/>
    <n v="2"/>
    <s v="Medical"/>
    <n v="1"/>
    <n v="445"/>
    <n v="4"/>
    <s v="Female"/>
    <n v="41"/>
    <n v="3"/>
    <n v="2"/>
    <s v="Sales Executive"/>
    <n v="3"/>
    <s v="Married"/>
    <n v="5238"/>
    <n v="17778"/>
    <n v="4"/>
    <s v="Y"/>
    <s v="Yes"/>
    <n v="18"/>
    <n v="3"/>
    <n v="1"/>
    <n v="80"/>
    <n v="0"/>
    <n v="12"/>
    <n v="3"/>
    <n v="2"/>
    <n v="1"/>
    <n v="0"/>
    <n v="0"/>
    <n v="0"/>
    <s v="LAB-445"/>
    <x v="0"/>
    <x v="0"/>
    <x v="0"/>
    <n v="1"/>
    <x v="0"/>
  </r>
  <r>
    <n v="33"/>
    <s v="No"/>
    <s v="Travel_Frequently"/>
    <n v="508"/>
    <x v="0"/>
    <n v="10"/>
    <n v="3"/>
    <s v="Marketing"/>
    <n v="1"/>
    <n v="446"/>
    <n v="2"/>
    <s v="Male"/>
    <n v="46"/>
    <n v="2"/>
    <n v="2"/>
    <s v="Sales Executive"/>
    <n v="4"/>
    <s v="Single"/>
    <n v="4682"/>
    <n v="4317"/>
    <n v="3"/>
    <s v="Y"/>
    <s v="No"/>
    <n v="14"/>
    <n v="3"/>
    <n v="3"/>
    <n v="80"/>
    <n v="0"/>
    <n v="9"/>
    <n v="6"/>
    <n v="2"/>
    <n v="7"/>
    <n v="7"/>
    <n v="0"/>
    <n v="1"/>
    <s v="LAB-446"/>
    <x v="0"/>
    <x v="0"/>
    <x v="1"/>
    <n v="7"/>
    <x v="0"/>
  </r>
  <r>
    <n v="47"/>
    <s v="No"/>
    <s v="Travel_Rarely"/>
    <n v="1482"/>
    <x v="1"/>
    <n v="5"/>
    <n v="5"/>
    <s v="Life Sciences"/>
    <n v="1"/>
    <n v="447"/>
    <n v="4"/>
    <s v="Male"/>
    <n v="42"/>
    <n v="3"/>
    <n v="5"/>
    <s v="Research Director"/>
    <n v="3"/>
    <s v="Married"/>
    <n v="18300"/>
    <n v="16375"/>
    <n v="4"/>
    <s v="Y"/>
    <s v="No"/>
    <n v="11"/>
    <n v="3"/>
    <n v="2"/>
    <n v="80"/>
    <n v="1"/>
    <n v="21"/>
    <n v="2"/>
    <n v="3"/>
    <n v="3"/>
    <n v="2"/>
    <n v="1"/>
    <n v="1"/>
    <s v="LAB-447"/>
    <x v="7"/>
    <x v="1"/>
    <x v="1"/>
    <n v="3"/>
    <x v="0"/>
  </r>
  <r>
    <n v="43"/>
    <s v="No"/>
    <s v="Travel_Frequently"/>
    <n v="559"/>
    <x v="1"/>
    <n v="10"/>
    <n v="4"/>
    <s v="Life Sciences"/>
    <n v="1"/>
    <n v="448"/>
    <n v="3"/>
    <s v="Female"/>
    <n v="82"/>
    <n v="2"/>
    <n v="2"/>
    <s v="Laboratory Technician"/>
    <n v="3"/>
    <s v="Divorced"/>
    <n v="5257"/>
    <n v="6227"/>
    <n v="1"/>
    <s v="Y"/>
    <s v="No"/>
    <n v="11"/>
    <n v="3"/>
    <n v="2"/>
    <n v="80"/>
    <n v="1"/>
    <n v="9"/>
    <n v="3"/>
    <n v="4"/>
    <n v="9"/>
    <n v="7"/>
    <n v="0"/>
    <n v="0"/>
    <s v="LAB-448"/>
    <x v="2"/>
    <x v="1"/>
    <x v="1"/>
    <n v="9"/>
    <x v="0"/>
  </r>
  <r>
    <n v="27"/>
    <s v="No"/>
    <s v="Non-Travel"/>
    <n v="210"/>
    <x v="0"/>
    <n v="1"/>
    <n v="1"/>
    <s v="Marketing"/>
    <n v="1"/>
    <n v="449"/>
    <n v="3"/>
    <s v="Male"/>
    <n v="73"/>
    <n v="3"/>
    <n v="2"/>
    <s v="Sales Executive"/>
    <n v="2"/>
    <s v="Married"/>
    <n v="6349"/>
    <n v="22107"/>
    <n v="0"/>
    <s v="Y"/>
    <s v="Yes"/>
    <n v="13"/>
    <n v="3"/>
    <n v="4"/>
    <n v="80"/>
    <n v="1"/>
    <n v="6"/>
    <n v="0"/>
    <n v="3"/>
    <n v="5"/>
    <n v="4"/>
    <n v="1"/>
    <n v="4"/>
    <s v="LAB-449"/>
    <x v="0"/>
    <x v="0"/>
    <x v="1"/>
    <n v="5"/>
    <x v="0"/>
  </r>
  <r>
    <n v="54"/>
    <s v="No"/>
    <s v="Travel_Frequently"/>
    <n v="928"/>
    <x v="1"/>
    <n v="20"/>
    <n v="4"/>
    <s v="Life Sciences"/>
    <n v="1"/>
    <n v="450"/>
    <n v="4"/>
    <s v="Female"/>
    <n v="31"/>
    <n v="3"/>
    <n v="2"/>
    <s v="Research Scientist"/>
    <n v="3"/>
    <s v="Single"/>
    <n v="4869"/>
    <n v="16885"/>
    <n v="3"/>
    <s v="Y"/>
    <s v="No"/>
    <n v="12"/>
    <n v="3"/>
    <n v="4"/>
    <n v="80"/>
    <n v="0"/>
    <n v="20"/>
    <n v="4"/>
    <n v="2"/>
    <n v="4"/>
    <n v="3"/>
    <n v="0"/>
    <n v="3"/>
    <s v="LAB-450"/>
    <x v="1"/>
    <x v="1"/>
    <x v="1"/>
    <n v="4"/>
    <x v="0"/>
  </r>
  <r>
    <n v="43"/>
    <s v="No"/>
    <s v="Travel_Rarely"/>
    <n v="1001"/>
    <x v="1"/>
    <n v="7"/>
    <n v="3"/>
    <s v="Life Sciences"/>
    <n v="1"/>
    <n v="451"/>
    <n v="3"/>
    <s v="Female"/>
    <n v="43"/>
    <n v="3"/>
    <n v="3"/>
    <s v="Healthcare Representative"/>
    <n v="1"/>
    <s v="Married"/>
    <n v="9985"/>
    <n v="9262"/>
    <n v="8"/>
    <s v="Y"/>
    <s v="No"/>
    <n v="16"/>
    <n v="3"/>
    <n v="1"/>
    <n v="80"/>
    <n v="1"/>
    <n v="10"/>
    <n v="1"/>
    <n v="2"/>
    <n v="1"/>
    <n v="0"/>
    <n v="0"/>
    <n v="0"/>
    <s v="LAB-451"/>
    <x v="4"/>
    <x v="1"/>
    <x v="1"/>
    <n v="1"/>
    <x v="0"/>
  </r>
  <r>
    <n v="45"/>
    <s v="No"/>
    <s v="Travel_Rarely"/>
    <n v="549"/>
    <x v="1"/>
    <n v="8"/>
    <n v="4"/>
    <s v="Other"/>
    <n v="1"/>
    <n v="452"/>
    <n v="4"/>
    <s v="Male"/>
    <n v="75"/>
    <n v="3"/>
    <n v="2"/>
    <s v="Research Scientist"/>
    <n v="4"/>
    <s v="Married"/>
    <n v="3697"/>
    <n v="9278"/>
    <n v="9"/>
    <s v="Y"/>
    <s v="No"/>
    <n v="14"/>
    <n v="3"/>
    <n v="1"/>
    <n v="80"/>
    <n v="2"/>
    <n v="12"/>
    <n v="3"/>
    <n v="3"/>
    <n v="10"/>
    <n v="9"/>
    <n v="9"/>
    <n v="8"/>
    <s v="LAB-452"/>
    <x v="1"/>
    <x v="1"/>
    <x v="1"/>
    <n v="10"/>
    <x v="0"/>
  </r>
  <r>
    <n v="40"/>
    <s v="No"/>
    <s v="Travel_Rarely"/>
    <n v="1124"/>
    <x v="0"/>
    <n v="1"/>
    <n v="2"/>
    <s v="Medical"/>
    <n v="1"/>
    <n v="453"/>
    <n v="2"/>
    <s v="Male"/>
    <n v="57"/>
    <n v="1"/>
    <n v="2"/>
    <s v="Sales Executive"/>
    <n v="4"/>
    <s v="Married"/>
    <n v="7457"/>
    <n v="13273"/>
    <n v="2"/>
    <s v="Y"/>
    <s v="Yes"/>
    <n v="22"/>
    <n v="4"/>
    <n v="3"/>
    <n v="80"/>
    <n v="3"/>
    <n v="6"/>
    <n v="2"/>
    <n v="2"/>
    <n v="4"/>
    <n v="3"/>
    <n v="0"/>
    <n v="2"/>
    <s v="LAB-453"/>
    <x v="0"/>
    <x v="0"/>
    <x v="1"/>
    <n v="4"/>
    <x v="0"/>
  </r>
  <r>
    <n v="29"/>
    <s v="Yes"/>
    <s v="Travel_Rarely"/>
    <n v="318"/>
    <x v="1"/>
    <n v="8"/>
    <n v="4"/>
    <s v="Other"/>
    <n v="1"/>
    <n v="454"/>
    <n v="2"/>
    <s v="Male"/>
    <n v="77"/>
    <n v="1"/>
    <n v="1"/>
    <s v="Laboratory Technician"/>
    <n v="1"/>
    <s v="Married"/>
    <n v="2119"/>
    <n v="4759"/>
    <n v="1"/>
    <s v="Y"/>
    <s v="Yes"/>
    <n v="11"/>
    <n v="3"/>
    <n v="4"/>
    <n v="80"/>
    <n v="0"/>
    <n v="7"/>
    <n v="4"/>
    <n v="2"/>
    <n v="7"/>
    <n v="7"/>
    <n v="0"/>
    <n v="7"/>
    <s v="LAB-454"/>
    <x v="2"/>
    <x v="1"/>
    <x v="0"/>
    <n v="7"/>
    <x v="0"/>
  </r>
  <r>
    <n v="29"/>
    <s v="No"/>
    <s v="Travel_Rarely"/>
    <n v="738"/>
    <x v="1"/>
    <n v="9"/>
    <n v="5"/>
    <s v="Other"/>
    <n v="1"/>
    <n v="455"/>
    <n v="2"/>
    <s v="Male"/>
    <n v="30"/>
    <n v="2"/>
    <n v="1"/>
    <s v="Laboratory Technician"/>
    <n v="4"/>
    <s v="Single"/>
    <n v="3983"/>
    <n v="7621"/>
    <n v="0"/>
    <s v="Y"/>
    <s v="No"/>
    <n v="17"/>
    <n v="3"/>
    <n v="3"/>
    <n v="80"/>
    <n v="0"/>
    <n v="4"/>
    <n v="2"/>
    <n v="3"/>
    <n v="3"/>
    <n v="2"/>
    <n v="2"/>
    <n v="2"/>
    <s v="LAB-455"/>
    <x v="2"/>
    <x v="1"/>
    <x v="1"/>
    <n v="3"/>
    <x v="0"/>
  </r>
  <r>
    <n v="30"/>
    <s v="No"/>
    <s v="Travel_Rarely"/>
    <n v="570"/>
    <x v="0"/>
    <n v="5"/>
    <n v="3"/>
    <s v="Marketing"/>
    <n v="1"/>
    <n v="456"/>
    <n v="4"/>
    <s v="Female"/>
    <n v="30"/>
    <n v="2"/>
    <n v="2"/>
    <s v="Sales Executive"/>
    <n v="3"/>
    <s v="Divorced"/>
    <n v="6118"/>
    <n v="5431"/>
    <n v="1"/>
    <s v="Y"/>
    <s v="No"/>
    <n v="13"/>
    <n v="3"/>
    <n v="3"/>
    <n v="80"/>
    <n v="3"/>
    <n v="10"/>
    <n v="2"/>
    <n v="3"/>
    <n v="10"/>
    <n v="9"/>
    <n v="1"/>
    <n v="2"/>
    <s v="LAB-456"/>
    <x v="0"/>
    <x v="0"/>
    <x v="1"/>
    <n v="10"/>
    <x v="0"/>
  </r>
  <r>
    <n v="27"/>
    <s v="No"/>
    <s v="Travel_Rarely"/>
    <n v="1130"/>
    <x v="0"/>
    <n v="8"/>
    <n v="4"/>
    <s v="Marketing"/>
    <n v="1"/>
    <n v="458"/>
    <n v="2"/>
    <s v="Female"/>
    <n v="56"/>
    <n v="3"/>
    <n v="2"/>
    <s v="Sales Executive"/>
    <n v="2"/>
    <s v="Married"/>
    <n v="6214"/>
    <n v="3415"/>
    <n v="1"/>
    <s v="Y"/>
    <s v="No"/>
    <n v="18"/>
    <n v="3"/>
    <n v="1"/>
    <n v="80"/>
    <n v="1"/>
    <n v="8"/>
    <n v="3"/>
    <n v="3"/>
    <n v="8"/>
    <n v="7"/>
    <n v="0"/>
    <n v="7"/>
    <s v="LAB-458"/>
    <x v="0"/>
    <x v="0"/>
    <x v="1"/>
    <n v="8"/>
    <x v="0"/>
  </r>
  <r>
    <n v="37"/>
    <s v="No"/>
    <s v="Travel_Rarely"/>
    <n v="1192"/>
    <x v="1"/>
    <n v="5"/>
    <n v="2"/>
    <s v="Medical"/>
    <n v="1"/>
    <n v="460"/>
    <n v="4"/>
    <s v="Male"/>
    <n v="61"/>
    <n v="3"/>
    <n v="2"/>
    <s v="Manufacturing Director"/>
    <n v="4"/>
    <s v="Divorced"/>
    <n v="6347"/>
    <n v="23177"/>
    <n v="7"/>
    <s v="Y"/>
    <s v="No"/>
    <n v="16"/>
    <n v="3"/>
    <n v="3"/>
    <n v="80"/>
    <n v="2"/>
    <n v="8"/>
    <n v="2"/>
    <n v="2"/>
    <n v="6"/>
    <n v="2"/>
    <n v="0"/>
    <n v="4"/>
    <s v="LAB-460"/>
    <x v="3"/>
    <x v="1"/>
    <x v="1"/>
    <n v="6"/>
    <x v="0"/>
  </r>
  <r>
    <n v="38"/>
    <s v="No"/>
    <s v="Travel_Rarely"/>
    <n v="343"/>
    <x v="1"/>
    <n v="15"/>
    <n v="2"/>
    <s v="Life Sciences"/>
    <n v="1"/>
    <n v="461"/>
    <n v="3"/>
    <s v="Male"/>
    <n v="92"/>
    <n v="2"/>
    <n v="3"/>
    <s v="Research Director"/>
    <n v="4"/>
    <s v="Divorced"/>
    <n v="11510"/>
    <n v="15682"/>
    <n v="0"/>
    <s v="Y"/>
    <s v="Yes"/>
    <n v="14"/>
    <n v="3"/>
    <n v="2"/>
    <n v="80"/>
    <n v="1"/>
    <n v="12"/>
    <n v="3"/>
    <n v="3"/>
    <n v="11"/>
    <n v="10"/>
    <n v="2"/>
    <n v="9"/>
    <s v="LAB-461"/>
    <x v="7"/>
    <x v="1"/>
    <x v="1"/>
    <n v="11"/>
    <x v="0"/>
  </r>
  <r>
    <n v="31"/>
    <s v="No"/>
    <s v="Travel_Rarely"/>
    <n v="1232"/>
    <x v="1"/>
    <n v="7"/>
    <n v="4"/>
    <s v="Medical"/>
    <n v="1"/>
    <n v="462"/>
    <n v="3"/>
    <s v="Female"/>
    <n v="39"/>
    <n v="3"/>
    <n v="3"/>
    <s v="Manufacturing Director"/>
    <n v="4"/>
    <s v="Single"/>
    <n v="7143"/>
    <n v="25713"/>
    <n v="1"/>
    <s v="Y"/>
    <s v="Yes"/>
    <n v="14"/>
    <n v="3"/>
    <n v="3"/>
    <n v="80"/>
    <n v="0"/>
    <n v="11"/>
    <n v="2"/>
    <n v="2"/>
    <n v="11"/>
    <n v="9"/>
    <n v="4"/>
    <n v="10"/>
    <s v="LAB-462"/>
    <x v="3"/>
    <x v="1"/>
    <x v="1"/>
    <n v="11"/>
    <x v="0"/>
  </r>
  <r>
    <n v="29"/>
    <s v="No"/>
    <s v="Travel_Rarely"/>
    <n v="144"/>
    <x v="0"/>
    <n v="10"/>
    <n v="1"/>
    <s v="Marketing"/>
    <n v="1"/>
    <n v="463"/>
    <n v="4"/>
    <s v="Female"/>
    <n v="39"/>
    <n v="2"/>
    <n v="2"/>
    <s v="Sales Executive"/>
    <n v="2"/>
    <s v="Divorced"/>
    <n v="8268"/>
    <n v="11866"/>
    <n v="1"/>
    <s v="Y"/>
    <s v="Yes"/>
    <n v="14"/>
    <n v="3"/>
    <n v="1"/>
    <n v="80"/>
    <n v="2"/>
    <n v="7"/>
    <n v="2"/>
    <n v="3"/>
    <n v="7"/>
    <n v="7"/>
    <n v="1"/>
    <n v="7"/>
    <s v="LAB-463"/>
    <x v="0"/>
    <x v="0"/>
    <x v="1"/>
    <n v="7"/>
    <x v="0"/>
  </r>
  <r>
    <n v="35"/>
    <s v="No"/>
    <s v="Travel_Rarely"/>
    <n v="1296"/>
    <x v="1"/>
    <n v="5"/>
    <n v="4"/>
    <s v="Technical Degree"/>
    <n v="1"/>
    <n v="464"/>
    <n v="3"/>
    <s v="Male"/>
    <n v="62"/>
    <n v="3"/>
    <n v="3"/>
    <s v="Manufacturing Director"/>
    <n v="2"/>
    <s v="Single"/>
    <n v="8095"/>
    <n v="18264"/>
    <n v="0"/>
    <s v="Y"/>
    <s v="No"/>
    <n v="13"/>
    <n v="3"/>
    <n v="4"/>
    <n v="80"/>
    <n v="0"/>
    <n v="17"/>
    <n v="5"/>
    <n v="3"/>
    <n v="16"/>
    <n v="6"/>
    <n v="0"/>
    <n v="13"/>
    <s v="LAB-464"/>
    <x v="3"/>
    <x v="1"/>
    <x v="1"/>
    <n v="16"/>
    <x v="0"/>
  </r>
  <r>
    <n v="23"/>
    <s v="No"/>
    <s v="Travel_Rarely"/>
    <n v="1309"/>
    <x v="1"/>
    <n v="26"/>
    <n v="1"/>
    <s v="Life Sciences"/>
    <n v="1"/>
    <n v="465"/>
    <n v="3"/>
    <s v="Male"/>
    <n v="83"/>
    <n v="3"/>
    <n v="1"/>
    <s v="Research Scientist"/>
    <n v="4"/>
    <s v="Divorced"/>
    <n v="2904"/>
    <n v="16092"/>
    <n v="1"/>
    <s v="Y"/>
    <s v="No"/>
    <n v="12"/>
    <n v="3"/>
    <n v="3"/>
    <n v="80"/>
    <n v="2"/>
    <n v="4"/>
    <n v="2"/>
    <n v="2"/>
    <n v="4"/>
    <n v="2"/>
    <n v="0"/>
    <n v="2"/>
    <s v="LAB-465"/>
    <x v="1"/>
    <x v="1"/>
    <x v="1"/>
    <n v="4"/>
    <x v="0"/>
  </r>
  <r>
    <n v="41"/>
    <s v="No"/>
    <s v="Travel_Rarely"/>
    <n v="483"/>
    <x v="1"/>
    <n v="6"/>
    <n v="3"/>
    <s v="Medical"/>
    <n v="1"/>
    <n v="466"/>
    <n v="4"/>
    <s v="Male"/>
    <n v="95"/>
    <n v="2"/>
    <n v="2"/>
    <s v="Manufacturing Director"/>
    <n v="2"/>
    <s v="Single"/>
    <n v="6032"/>
    <n v="10110"/>
    <n v="6"/>
    <s v="Y"/>
    <s v="Yes"/>
    <n v="15"/>
    <n v="3"/>
    <n v="4"/>
    <n v="80"/>
    <n v="0"/>
    <n v="8"/>
    <n v="3"/>
    <n v="3"/>
    <n v="5"/>
    <n v="4"/>
    <n v="1"/>
    <n v="2"/>
    <s v="LAB-466"/>
    <x v="3"/>
    <x v="1"/>
    <x v="1"/>
    <n v="5"/>
    <x v="0"/>
  </r>
  <r>
    <n v="47"/>
    <s v="No"/>
    <s v="Travel_Frequently"/>
    <n v="1309"/>
    <x v="0"/>
    <n v="4"/>
    <n v="1"/>
    <s v="Medical"/>
    <n v="1"/>
    <n v="467"/>
    <n v="2"/>
    <s v="Male"/>
    <n v="99"/>
    <n v="3"/>
    <n v="2"/>
    <s v="Sales Representative"/>
    <n v="3"/>
    <s v="Single"/>
    <n v="2976"/>
    <n v="25751"/>
    <n v="3"/>
    <s v="Y"/>
    <s v="No"/>
    <n v="19"/>
    <n v="3"/>
    <n v="1"/>
    <n v="80"/>
    <n v="0"/>
    <n v="5"/>
    <n v="3"/>
    <n v="3"/>
    <n v="0"/>
    <n v="0"/>
    <n v="0"/>
    <n v="0"/>
    <s v="LAB-467"/>
    <x v="6"/>
    <x v="0"/>
    <x v="1"/>
    <n v="0"/>
    <x v="0"/>
  </r>
  <r>
    <n v="42"/>
    <s v="No"/>
    <s v="Travel_Rarely"/>
    <n v="810"/>
    <x v="1"/>
    <n v="23"/>
    <n v="5"/>
    <s v="Life Sciences"/>
    <n v="1"/>
    <n v="468"/>
    <n v="1"/>
    <s v="Female"/>
    <n v="44"/>
    <n v="3"/>
    <n v="4"/>
    <s v="Research Director"/>
    <n v="4"/>
    <s v="Single"/>
    <n v="15992"/>
    <n v="15901"/>
    <n v="2"/>
    <s v="Y"/>
    <s v="No"/>
    <n v="14"/>
    <n v="3"/>
    <n v="2"/>
    <n v="80"/>
    <n v="0"/>
    <n v="16"/>
    <n v="2"/>
    <n v="3"/>
    <n v="1"/>
    <n v="0"/>
    <n v="0"/>
    <n v="0"/>
    <s v="LAB-468"/>
    <x v="7"/>
    <x v="1"/>
    <x v="1"/>
    <n v="1"/>
    <x v="0"/>
  </r>
  <r>
    <n v="29"/>
    <s v="No"/>
    <s v="Non-Travel"/>
    <n v="746"/>
    <x v="0"/>
    <n v="2"/>
    <n v="3"/>
    <s v="Life Sciences"/>
    <n v="1"/>
    <n v="469"/>
    <n v="4"/>
    <s v="Male"/>
    <n v="61"/>
    <n v="3"/>
    <n v="2"/>
    <s v="Sales Executive"/>
    <n v="3"/>
    <s v="Married"/>
    <n v="4649"/>
    <n v="16928"/>
    <n v="1"/>
    <s v="Y"/>
    <s v="No"/>
    <n v="14"/>
    <n v="3"/>
    <n v="1"/>
    <n v="80"/>
    <n v="1"/>
    <n v="4"/>
    <n v="3"/>
    <n v="2"/>
    <n v="4"/>
    <n v="3"/>
    <n v="0"/>
    <n v="2"/>
    <s v="LAB-469"/>
    <x v="0"/>
    <x v="0"/>
    <x v="1"/>
    <n v="4"/>
    <x v="0"/>
  </r>
  <r>
    <n v="42"/>
    <s v="No"/>
    <s v="Travel_Rarely"/>
    <n v="544"/>
    <x v="2"/>
    <n v="2"/>
    <n v="1"/>
    <s v="Technical Degree"/>
    <n v="1"/>
    <n v="470"/>
    <n v="3"/>
    <s v="Male"/>
    <n v="52"/>
    <n v="3"/>
    <n v="1"/>
    <s v="Human Resources"/>
    <n v="3"/>
    <s v="Divorced"/>
    <n v="2696"/>
    <n v="24017"/>
    <n v="0"/>
    <s v="Y"/>
    <s v="Yes"/>
    <n v="11"/>
    <n v="3"/>
    <n v="3"/>
    <n v="80"/>
    <n v="1"/>
    <n v="4"/>
    <n v="5"/>
    <n v="3"/>
    <n v="3"/>
    <n v="2"/>
    <n v="1"/>
    <n v="0"/>
    <s v="LAB-470"/>
    <x v="8"/>
    <x v="2"/>
    <x v="1"/>
    <n v="3"/>
    <x v="0"/>
  </r>
  <r>
    <n v="32"/>
    <s v="No"/>
    <s v="Travel_Rarely"/>
    <n v="1062"/>
    <x v="1"/>
    <n v="2"/>
    <n v="3"/>
    <s v="Medical"/>
    <n v="1"/>
    <n v="471"/>
    <n v="3"/>
    <s v="Female"/>
    <n v="75"/>
    <n v="3"/>
    <n v="1"/>
    <s v="Laboratory Technician"/>
    <n v="2"/>
    <s v="Married"/>
    <n v="2370"/>
    <n v="3956"/>
    <n v="1"/>
    <s v="Y"/>
    <s v="No"/>
    <n v="13"/>
    <n v="3"/>
    <n v="3"/>
    <n v="80"/>
    <n v="1"/>
    <n v="8"/>
    <n v="4"/>
    <n v="3"/>
    <n v="8"/>
    <n v="0"/>
    <n v="0"/>
    <n v="7"/>
    <s v="LAB-471"/>
    <x v="2"/>
    <x v="1"/>
    <x v="1"/>
    <n v="8"/>
    <x v="0"/>
  </r>
  <r>
    <n v="48"/>
    <s v="No"/>
    <s v="Travel_Rarely"/>
    <n v="530"/>
    <x v="0"/>
    <n v="29"/>
    <n v="1"/>
    <s v="Medical"/>
    <n v="1"/>
    <n v="473"/>
    <n v="1"/>
    <s v="Female"/>
    <n v="91"/>
    <n v="3"/>
    <n v="3"/>
    <s v="Manager"/>
    <n v="3"/>
    <s v="Married"/>
    <n v="12504"/>
    <n v="23978"/>
    <n v="3"/>
    <s v="Y"/>
    <s v="No"/>
    <n v="21"/>
    <n v="4"/>
    <n v="2"/>
    <n v="80"/>
    <n v="1"/>
    <n v="15"/>
    <n v="3"/>
    <n v="1"/>
    <n v="0"/>
    <n v="0"/>
    <n v="0"/>
    <n v="0"/>
    <s v="LAB-473"/>
    <x v="5"/>
    <x v="0"/>
    <x v="1"/>
    <n v="0"/>
    <x v="0"/>
  </r>
  <r>
    <n v="37"/>
    <s v="No"/>
    <s v="Travel_Rarely"/>
    <n v="1319"/>
    <x v="1"/>
    <n v="6"/>
    <n v="3"/>
    <s v="Medical"/>
    <n v="1"/>
    <n v="474"/>
    <n v="3"/>
    <s v="Male"/>
    <n v="51"/>
    <n v="4"/>
    <n v="2"/>
    <s v="Research Scientist"/>
    <n v="1"/>
    <s v="Divorced"/>
    <n v="5974"/>
    <n v="17001"/>
    <n v="4"/>
    <s v="Y"/>
    <s v="Yes"/>
    <n v="13"/>
    <n v="3"/>
    <n v="1"/>
    <n v="80"/>
    <n v="2"/>
    <n v="13"/>
    <n v="2"/>
    <n v="3"/>
    <n v="7"/>
    <n v="7"/>
    <n v="6"/>
    <n v="7"/>
    <s v="LAB-474"/>
    <x v="1"/>
    <x v="1"/>
    <x v="1"/>
    <n v="7"/>
    <x v="0"/>
  </r>
  <r>
    <n v="30"/>
    <s v="No"/>
    <s v="Non-Travel"/>
    <n v="641"/>
    <x v="0"/>
    <n v="25"/>
    <n v="2"/>
    <s v="Technical Degree"/>
    <n v="1"/>
    <n v="475"/>
    <n v="4"/>
    <s v="Female"/>
    <n v="85"/>
    <n v="3"/>
    <n v="2"/>
    <s v="Sales Executive"/>
    <n v="3"/>
    <s v="Married"/>
    <n v="4736"/>
    <n v="6069"/>
    <n v="7"/>
    <s v="Y"/>
    <s v="Yes"/>
    <n v="12"/>
    <n v="3"/>
    <n v="2"/>
    <n v="80"/>
    <n v="1"/>
    <n v="4"/>
    <n v="2"/>
    <n v="4"/>
    <n v="2"/>
    <n v="2"/>
    <n v="2"/>
    <n v="2"/>
    <s v="LAB-475"/>
    <x v="0"/>
    <x v="0"/>
    <x v="1"/>
    <n v="2"/>
    <x v="0"/>
  </r>
  <r>
    <n v="26"/>
    <s v="No"/>
    <s v="Travel_Rarely"/>
    <n v="933"/>
    <x v="0"/>
    <n v="1"/>
    <n v="3"/>
    <s v="Life Sciences"/>
    <n v="1"/>
    <n v="476"/>
    <n v="3"/>
    <s v="Male"/>
    <n v="57"/>
    <n v="3"/>
    <n v="2"/>
    <s v="Sales Executive"/>
    <n v="3"/>
    <s v="Married"/>
    <n v="5296"/>
    <n v="20156"/>
    <n v="1"/>
    <s v="Y"/>
    <s v="No"/>
    <n v="17"/>
    <n v="3"/>
    <n v="2"/>
    <n v="80"/>
    <n v="1"/>
    <n v="8"/>
    <n v="3"/>
    <n v="3"/>
    <n v="8"/>
    <n v="7"/>
    <n v="7"/>
    <n v="7"/>
    <s v="LAB-476"/>
    <x v="0"/>
    <x v="0"/>
    <x v="1"/>
    <n v="8"/>
    <x v="0"/>
  </r>
  <r>
    <n v="42"/>
    <s v="No"/>
    <s v="Travel_Rarely"/>
    <n v="1332"/>
    <x v="1"/>
    <n v="2"/>
    <n v="4"/>
    <s v="Other"/>
    <n v="1"/>
    <n v="477"/>
    <n v="1"/>
    <s v="Male"/>
    <n v="98"/>
    <n v="2"/>
    <n v="2"/>
    <s v="Healthcare Representative"/>
    <n v="4"/>
    <s v="Single"/>
    <n v="6781"/>
    <n v="17078"/>
    <n v="3"/>
    <s v="Y"/>
    <s v="No"/>
    <n v="23"/>
    <n v="4"/>
    <n v="2"/>
    <n v="80"/>
    <n v="0"/>
    <n v="14"/>
    <n v="6"/>
    <n v="3"/>
    <n v="1"/>
    <n v="0"/>
    <n v="0"/>
    <n v="0"/>
    <s v="LAB-477"/>
    <x v="4"/>
    <x v="1"/>
    <x v="1"/>
    <n v="1"/>
    <x v="0"/>
  </r>
  <r>
    <n v="21"/>
    <s v="Yes"/>
    <s v="Travel_Frequently"/>
    <n v="756"/>
    <x v="0"/>
    <n v="1"/>
    <n v="1"/>
    <s v="Technical Degree"/>
    <n v="1"/>
    <n v="478"/>
    <n v="1"/>
    <s v="Female"/>
    <n v="99"/>
    <n v="2"/>
    <n v="1"/>
    <s v="Sales Representative"/>
    <n v="2"/>
    <s v="Single"/>
    <n v="2174"/>
    <n v="9150"/>
    <n v="1"/>
    <s v="Y"/>
    <s v="Yes"/>
    <n v="11"/>
    <n v="3"/>
    <n v="3"/>
    <n v="80"/>
    <n v="0"/>
    <n v="3"/>
    <n v="3"/>
    <n v="3"/>
    <n v="3"/>
    <n v="2"/>
    <n v="1"/>
    <n v="2"/>
    <s v="LAB-478"/>
    <x v="6"/>
    <x v="0"/>
    <x v="0"/>
    <n v="3"/>
    <x v="0"/>
  </r>
  <r>
    <n v="36"/>
    <s v="No"/>
    <s v="Non-Travel"/>
    <n v="845"/>
    <x v="0"/>
    <n v="1"/>
    <n v="5"/>
    <s v="Medical"/>
    <n v="1"/>
    <n v="479"/>
    <n v="4"/>
    <s v="Female"/>
    <n v="45"/>
    <n v="3"/>
    <n v="2"/>
    <s v="Sales Executive"/>
    <n v="4"/>
    <s v="Single"/>
    <n v="6653"/>
    <n v="15276"/>
    <n v="4"/>
    <s v="Y"/>
    <s v="No"/>
    <n v="15"/>
    <n v="3"/>
    <n v="2"/>
    <n v="80"/>
    <n v="0"/>
    <n v="7"/>
    <n v="6"/>
    <n v="3"/>
    <n v="1"/>
    <n v="0"/>
    <n v="0"/>
    <n v="0"/>
    <s v="LAB-479"/>
    <x v="0"/>
    <x v="0"/>
    <x v="1"/>
    <n v="1"/>
    <x v="0"/>
  </r>
  <r>
    <n v="36"/>
    <s v="No"/>
    <s v="Travel_Frequently"/>
    <n v="541"/>
    <x v="0"/>
    <n v="3"/>
    <n v="4"/>
    <s v="Medical"/>
    <n v="1"/>
    <n v="481"/>
    <n v="1"/>
    <s v="Male"/>
    <n v="48"/>
    <n v="2"/>
    <n v="3"/>
    <s v="Sales Executive"/>
    <n v="4"/>
    <s v="Married"/>
    <n v="9699"/>
    <n v="7246"/>
    <n v="4"/>
    <s v="Y"/>
    <s v="No"/>
    <n v="11"/>
    <n v="3"/>
    <n v="1"/>
    <n v="80"/>
    <n v="1"/>
    <n v="16"/>
    <n v="2"/>
    <n v="3"/>
    <n v="13"/>
    <n v="9"/>
    <n v="1"/>
    <n v="12"/>
    <s v="LAB-481"/>
    <x v="0"/>
    <x v="0"/>
    <x v="1"/>
    <n v="13"/>
    <x v="0"/>
  </r>
  <r>
    <n v="57"/>
    <s v="No"/>
    <s v="Travel_Rarely"/>
    <n v="593"/>
    <x v="1"/>
    <n v="1"/>
    <n v="4"/>
    <s v="Medical"/>
    <n v="1"/>
    <n v="482"/>
    <n v="4"/>
    <s v="Male"/>
    <n v="88"/>
    <n v="3"/>
    <n v="2"/>
    <s v="Healthcare Representative"/>
    <n v="3"/>
    <s v="Married"/>
    <n v="6755"/>
    <n v="2967"/>
    <n v="2"/>
    <s v="Y"/>
    <s v="No"/>
    <n v="11"/>
    <n v="3"/>
    <n v="3"/>
    <n v="80"/>
    <n v="0"/>
    <n v="15"/>
    <n v="2"/>
    <n v="3"/>
    <n v="3"/>
    <n v="2"/>
    <n v="1"/>
    <n v="2"/>
    <s v="LAB-482"/>
    <x v="4"/>
    <x v="1"/>
    <x v="1"/>
    <n v="3"/>
    <x v="0"/>
  </r>
  <r>
    <n v="40"/>
    <s v="No"/>
    <s v="Travel_Rarely"/>
    <n v="1171"/>
    <x v="1"/>
    <n v="10"/>
    <n v="4"/>
    <s v="Life Sciences"/>
    <n v="1"/>
    <n v="483"/>
    <n v="4"/>
    <s v="Female"/>
    <n v="46"/>
    <n v="4"/>
    <n v="1"/>
    <s v="Laboratory Technician"/>
    <n v="3"/>
    <s v="Married"/>
    <n v="2213"/>
    <n v="22495"/>
    <n v="3"/>
    <s v="Y"/>
    <s v="Yes"/>
    <n v="13"/>
    <n v="3"/>
    <n v="3"/>
    <n v="80"/>
    <n v="1"/>
    <n v="10"/>
    <n v="3"/>
    <n v="3"/>
    <n v="7"/>
    <n v="7"/>
    <n v="1"/>
    <n v="7"/>
    <s v="LAB-483"/>
    <x v="2"/>
    <x v="1"/>
    <x v="1"/>
    <n v="7"/>
    <x v="0"/>
  </r>
  <r>
    <n v="21"/>
    <s v="No"/>
    <s v="Non-Travel"/>
    <n v="895"/>
    <x v="0"/>
    <n v="9"/>
    <n v="2"/>
    <s v="Medical"/>
    <n v="1"/>
    <n v="484"/>
    <n v="1"/>
    <s v="Male"/>
    <n v="39"/>
    <n v="3"/>
    <n v="1"/>
    <s v="Sales Representative"/>
    <n v="4"/>
    <s v="Single"/>
    <n v="2610"/>
    <n v="2851"/>
    <n v="1"/>
    <s v="Y"/>
    <s v="No"/>
    <n v="24"/>
    <n v="4"/>
    <n v="3"/>
    <n v="80"/>
    <n v="0"/>
    <n v="3"/>
    <n v="3"/>
    <n v="2"/>
    <n v="3"/>
    <n v="2"/>
    <n v="2"/>
    <n v="2"/>
    <s v="LAB-484"/>
    <x v="6"/>
    <x v="0"/>
    <x v="1"/>
    <n v="3"/>
    <x v="0"/>
  </r>
  <r>
    <n v="33"/>
    <s v="Yes"/>
    <s v="Travel_Rarely"/>
    <n v="350"/>
    <x v="0"/>
    <n v="5"/>
    <n v="3"/>
    <s v="Marketing"/>
    <n v="1"/>
    <n v="485"/>
    <n v="4"/>
    <s v="Female"/>
    <n v="34"/>
    <n v="3"/>
    <n v="1"/>
    <s v="Sales Representative"/>
    <n v="3"/>
    <s v="Single"/>
    <n v="2851"/>
    <n v="9150"/>
    <n v="1"/>
    <s v="Y"/>
    <s v="Yes"/>
    <n v="13"/>
    <n v="3"/>
    <n v="2"/>
    <n v="80"/>
    <n v="0"/>
    <n v="1"/>
    <n v="2"/>
    <n v="3"/>
    <n v="1"/>
    <n v="0"/>
    <n v="0"/>
    <n v="0"/>
    <s v="LAB-485"/>
    <x v="6"/>
    <x v="0"/>
    <x v="0"/>
    <n v="1"/>
    <x v="0"/>
  </r>
  <r>
    <n v="37"/>
    <s v="No"/>
    <s v="Travel_Rarely"/>
    <n v="921"/>
    <x v="1"/>
    <n v="10"/>
    <n v="3"/>
    <s v="Medical"/>
    <n v="1"/>
    <n v="486"/>
    <n v="3"/>
    <s v="Female"/>
    <n v="98"/>
    <n v="3"/>
    <n v="1"/>
    <s v="Laboratory Technician"/>
    <n v="1"/>
    <s v="Married"/>
    <n v="3452"/>
    <n v="17663"/>
    <n v="6"/>
    <s v="Y"/>
    <s v="No"/>
    <n v="20"/>
    <n v="4"/>
    <n v="2"/>
    <n v="80"/>
    <n v="1"/>
    <n v="17"/>
    <n v="3"/>
    <n v="3"/>
    <n v="5"/>
    <n v="4"/>
    <n v="0"/>
    <n v="3"/>
    <s v="LAB-486"/>
    <x v="2"/>
    <x v="1"/>
    <x v="1"/>
    <n v="5"/>
    <x v="0"/>
  </r>
  <r>
    <n v="46"/>
    <s v="No"/>
    <s v="Non-Travel"/>
    <n v="1144"/>
    <x v="1"/>
    <n v="7"/>
    <n v="4"/>
    <s v="Medical"/>
    <n v="1"/>
    <n v="487"/>
    <n v="3"/>
    <s v="Female"/>
    <n v="30"/>
    <n v="3"/>
    <n v="2"/>
    <s v="Manufacturing Director"/>
    <n v="3"/>
    <s v="Married"/>
    <n v="5258"/>
    <n v="16044"/>
    <n v="2"/>
    <s v="Y"/>
    <s v="No"/>
    <n v="14"/>
    <n v="3"/>
    <n v="3"/>
    <n v="80"/>
    <n v="0"/>
    <n v="7"/>
    <n v="2"/>
    <n v="4"/>
    <n v="1"/>
    <n v="0"/>
    <n v="0"/>
    <n v="0"/>
    <s v="LAB-487"/>
    <x v="3"/>
    <x v="1"/>
    <x v="1"/>
    <n v="1"/>
    <x v="0"/>
  </r>
  <r>
    <n v="41"/>
    <s v="Yes"/>
    <s v="Travel_Frequently"/>
    <n v="143"/>
    <x v="0"/>
    <n v="4"/>
    <n v="3"/>
    <s v="Marketing"/>
    <n v="1"/>
    <n v="488"/>
    <n v="1"/>
    <s v="Male"/>
    <n v="56"/>
    <n v="3"/>
    <n v="2"/>
    <s v="Sales Executive"/>
    <n v="2"/>
    <s v="Single"/>
    <n v="9355"/>
    <n v="9558"/>
    <n v="1"/>
    <s v="Y"/>
    <s v="No"/>
    <n v="18"/>
    <n v="3"/>
    <n v="3"/>
    <n v="80"/>
    <n v="0"/>
    <n v="8"/>
    <n v="5"/>
    <n v="3"/>
    <n v="8"/>
    <n v="7"/>
    <n v="7"/>
    <n v="7"/>
    <s v="LAB-488"/>
    <x v="0"/>
    <x v="0"/>
    <x v="0"/>
    <n v="8"/>
    <x v="0"/>
  </r>
  <r>
    <n v="50"/>
    <s v="No"/>
    <s v="Travel_Rarely"/>
    <n v="1046"/>
    <x v="1"/>
    <n v="10"/>
    <n v="3"/>
    <s v="Technical Degree"/>
    <n v="1"/>
    <n v="491"/>
    <n v="4"/>
    <s v="Male"/>
    <n v="100"/>
    <n v="2"/>
    <n v="3"/>
    <s v="Healthcare Representative"/>
    <n v="4"/>
    <s v="Single"/>
    <n v="10496"/>
    <n v="2755"/>
    <n v="6"/>
    <s v="Y"/>
    <s v="No"/>
    <n v="15"/>
    <n v="3"/>
    <n v="4"/>
    <n v="80"/>
    <n v="0"/>
    <n v="20"/>
    <n v="2"/>
    <n v="3"/>
    <n v="4"/>
    <n v="3"/>
    <n v="1"/>
    <n v="3"/>
    <s v="LAB-491"/>
    <x v="4"/>
    <x v="1"/>
    <x v="1"/>
    <n v="4"/>
    <x v="0"/>
  </r>
  <r>
    <n v="40"/>
    <s v="Yes"/>
    <s v="Travel_Rarely"/>
    <n v="575"/>
    <x v="0"/>
    <n v="22"/>
    <n v="2"/>
    <s v="Marketing"/>
    <n v="1"/>
    <n v="492"/>
    <n v="3"/>
    <s v="Male"/>
    <n v="68"/>
    <n v="2"/>
    <n v="2"/>
    <s v="Sales Executive"/>
    <n v="3"/>
    <s v="Married"/>
    <n v="6380"/>
    <n v="6110"/>
    <n v="2"/>
    <s v="Y"/>
    <s v="Yes"/>
    <n v="12"/>
    <n v="3"/>
    <n v="1"/>
    <n v="80"/>
    <n v="2"/>
    <n v="8"/>
    <n v="6"/>
    <n v="3"/>
    <n v="6"/>
    <n v="4"/>
    <n v="1"/>
    <n v="0"/>
    <s v="LAB-492"/>
    <x v="0"/>
    <x v="0"/>
    <x v="0"/>
    <n v="6"/>
    <x v="0"/>
  </r>
  <r>
    <n v="31"/>
    <s v="No"/>
    <s v="Travel_Rarely"/>
    <n v="408"/>
    <x v="1"/>
    <n v="9"/>
    <n v="4"/>
    <s v="Life Sciences"/>
    <n v="1"/>
    <n v="493"/>
    <n v="3"/>
    <s v="Male"/>
    <n v="42"/>
    <n v="2"/>
    <n v="1"/>
    <s v="Research Scientist"/>
    <n v="2"/>
    <s v="Single"/>
    <n v="2657"/>
    <n v="7551"/>
    <n v="0"/>
    <s v="Y"/>
    <s v="Yes"/>
    <n v="16"/>
    <n v="3"/>
    <n v="4"/>
    <n v="80"/>
    <n v="0"/>
    <n v="3"/>
    <n v="5"/>
    <n v="3"/>
    <n v="2"/>
    <n v="2"/>
    <n v="2"/>
    <n v="2"/>
    <s v="LAB-493"/>
    <x v="1"/>
    <x v="1"/>
    <x v="1"/>
    <n v="2"/>
    <x v="0"/>
  </r>
  <r>
    <n v="21"/>
    <s v="Yes"/>
    <s v="Travel_Rarely"/>
    <n v="156"/>
    <x v="0"/>
    <n v="12"/>
    <n v="3"/>
    <s v="Life Sciences"/>
    <n v="1"/>
    <n v="494"/>
    <n v="3"/>
    <s v="Female"/>
    <n v="90"/>
    <n v="4"/>
    <n v="1"/>
    <s v="Sales Representative"/>
    <n v="2"/>
    <s v="Single"/>
    <n v="2716"/>
    <n v="25422"/>
    <n v="1"/>
    <s v="Y"/>
    <s v="No"/>
    <n v="15"/>
    <n v="3"/>
    <n v="4"/>
    <n v="80"/>
    <n v="0"/>
    <n v="1"/>
    <n v="0"/>
    <n v="3"/>
    <n v="1"/>
    <n v="0"/>
    <n v="0"/>
    <n v="0"/>
    <s v="LAB-494"/>
    <x v="6"/>
    <x v="0"/>
    <x v="0"/>
    <n v="1"/>
    <x v="0"/>
  </r>
  <r>
    <n v="29"/>
    <s v="No"/>
    <s v="Travel_Rarely"/>
    <n v="1283"/>
    <x v="1"/>
    <n v="23"/>
    <n v="3"/>
    <s v="Life Sciences"/>
    <n v="1"/>
    <n v="495"/>
    <n v="4"/>
    <s v="Male"/>
    <n v="54"/>
    <n v="3"/>
    <n v="1"/>
    <s v="Research Scientist"/>
    <n v="4"/>
    <s v="Single"/>
    <n v="2201"/>
    <n v="18168"/>
    <n v="9"/>
    <s v="Y"/>
    <s v="No"/>
    <n v="16"/>
    <n v="3"/>
    <n v="4"/>
    <n v="80"/>
    <n v="0"/>
    <n v="6"/>
    <n v="4"/>
    <n v="3"/>
    <n v="3"/>
    <n v="2"/>
    <n v="1"/>
    <n v="2"/>
    <s v="LAB-495"/>
    <x v="1"/>
    <x v="1"/>
    <x v="1"/>
    <n v="3"/>
    <x v="0"/>
  </r>
  <r>
    <n v="35"/>
    <s v="No"/>
    <s v="Travel_Rarely"/>
    <n v="755"/>
    <x v="1"/>
    <n v="9"/>
    <n v="4"/>
    <s v="Life Sciences"/>
    <n v="1"/>
    <n v="496"/>
    <n v="3"/>
    <s v="Male"/>
    <n v="97"/>
    <n v="2"/>
    <n v="2"/>
    <s v="Healthcare Representative"/>
    <n v="2"/>
    <s v="Single"/>
    <n v="6540"/>
    <n v="19394"/>
    <n v="9"/>
    <s v="Y"/>
    <s v="No"/>
    <n v="19"/>
    <n v="3"/>
    <n v="3"/>
    <n v="80"/>
    <n v="0"/>
    <n v="10"/>
    <n v="5"/>
    <n v="3"/>
    <n v="1"/>
    <n v="1"/>
    <n v="0"/>
    <n v="0"/>
    <s v="LAB-496"/>
    <x v="4"/>
    <x v="1"/>
    <x v="1"/>
    <n v="1"/>
    <x v="0"/>
  </r>
  <r>
    <n v="27"/>
    <s v="No"/>
    <s v="Travel_Rarely"/>
    <n v="1469"/>
    <x v="1"/>
    <n v="1"/>
    <n v="2"/>
    <s v="Medical"/>
    <n v="1"/>
    <n v="497"/>
    <n v="4"/>
    <s v="Male"/>
    <n v="82"/>
    <n v="3"/>
    <n v="1"/>
    <s v="Laboratory Technician"/>
    <n v="2"/>
    <s v="Divorced"/>
    <n v="3816"/>
    <n v="17881"/>
    <n v="1"/>
    <s v="Y"/>
    <s v="No"/>
    <n v="11"/>
    <n v="3"/>
    <n v="2"/>
    <n v="80"/>
    <n v="1"/>
    <n v="5"/>
    <n v="2"/>
    <n v="3"/>
    <n v="5"/>
    <n v="2"/>
    <n v="0"/>
    <n v="4"/>
    <s v="LAB-497"/>
    <x v="2"/>
    <x v="1"/>
    <x v="1"/>
    <n v="5"/>
    <x v="0"/>
  </r>
  <r>
    <n v="28"/>
    <s v="No"/>
    <s v="Travel_Rarely"/>
    <n v="304"/>
    <x v="0"/>
    <n v="9"/>
    <n v="4"/>
    <s v="Life Sciences"/>
    <n v="1"/>
    <n v="498"/>
    <n v="2"/>
    <s v="Male"/>
    <n v="92"/>
    <n v="3"/>
    <n v="2"/>
    <s v="Sales Executive"/>
    <n v="4"/>
    <s v="Single"/>
    <n v="5253"/>
    <n v="20750"/>
    <n v="1"/>
    <s v="Y"/>
    <s v="No"/>
    <n v="16"/>
    <n v="3"/>
    <n v="4"/>
    <n v="80"/>
    <n v="0"/>
    <n v="7"/>
    <n v="1"/>
    <n v="3"/>
    <n v="7"/>
    <n v="5"/>
    <n v="0"/>
    <n v="7"/>
    <s v="LAB-498"/>
    <x v="0"/>
    <x v="0"/>
    <x v="1"/>
    <n v="7"/>
    <x v="0"/>
  </r>
  <r>
    <n v="49"/>
    <s v="No"/>
    <s v="Travel_Rarely"/>
    <n v="1261"/>
    <x v="1"/>
    <n v="7"/>
    <n v="3"/>
    <s v="Other"/>
    <n v="1"/>
    <n v="499"/>
    <n v="2"/>
    <s v="Male"/>
    <n v="31"/>
    <n v="2"/>
    <n v="3"/>
    <s v="Healthcare Representative"/>
    <n v="3"/>
    <s v="Single"/>
    <n v="10965"/>
    <n v="12066"/>
    <n v="8"/>
    <s v="Y"/>
    <s v="No"/>
    <n v="24"/>
    <n v="4"/>
    <n v="3"/>
    <n v="80"/>
    <n v="0"/>
    <n v="26"/>
    <n v="2"/>
    <n v="3"/>
    <n v="5"/>
    <n v="2"/>
    <n v="0"/>
    <n v="0"/>
    <s v="LAB-499"/>
    <x v="4"/>
    <x v="1"/>
    <x v="1"/>
    <n v="5"/>
    <x v="0"/>
  </r>
  <r>
    <n v="51"/>
    <s v="No"/>
    <s v="Travel_Rarely"/>
    <n v="1178"/>
    <x v="0"/>
    <n v="14"/>
    <n v="2"/>
    <s v="Life Sciences"/>
    <n v="1"/>
    <n v="500"/>
    <n v="3"/>
    <s v="Female"/>
    <n v="87"/>
    <n v="3"/>
    <n v="2"/>
    <s v="Sales Executive"/>
    <n v="4"/>
    <s v="Married"/>
    <n v="4936"/>
    <n v="14862"/>
    <n v="4"/>
    <s v="Y"/>
    <s v="No"/>
    <n v="11"/>
    <n v="3"/>
    <n v="3"/>
    <n v="80"/>
    <n v="1"/>
    <n v="18"/>
    <n v="2"/>
    <n v="2"/>
    <n v="7"/>
    <n v="7"/>
    <n v="0"/>
    <n v="7"/>
    <s v="LAB-500"/>
    <x v="0"/>
    <x v="0"/>
    <x v="1"/>
    <n v="7"/>
    <x v="0"/>
  </r>
  <r>
    <n v="36"/>
    <s v="No"/>
    <s v="Travel_Rarely"/>
    <n v="329"/>
    <x v="1"/>
    <n v="2"/>
    <n v="3"/>
    <s v="Life Sciences"/>
    <n v="1"/>
    <n v="501"/>
    <n v="4"/>
    <s v="Female"/>
    <n v="96"/>
    <n v="3"/>
    <n v="1"/>
    <s v="Research Scientist"/>
    <n v="3"/>
    <s v="Married"/>
    <n v="2543"/>
    <n v="11868"/>
    <n v="4"/>
    <s v="Y"/>
    <s v="No"/>
    <n v="13"/>
    <n v="3"/>
    <n v="2"/>
    <n v="80"/>
    <n v="1"/>
    <n v="6"/>
    <n v="3"/>
    <n v="3"/>
    <n v="2"/>
    <n v="2"/>
    <n v="2"/>
    <n v="2"/>
    <s v="LAB-501"/>
    <x v="1"/>
    <x v="1"/>
    <x v="1"/>
    <n v="2"/>
    <x v="0"/>
  </r>
  <r>
    <n v="34"/>
    <s v="Yes"/>
    <s v="Non-Travel"/>
    <n v="1362"/>
    <x v="0"/>
    <n v="19"/>
    <n v="3"/>
    <s v="Marketing"/>
    <n v="1"/>
    <n v="502"/>
    <n v="1"/>
    <s v="Male"/>
    <n v="67"/>
    <n v="4"/>
    <n v="2"/>
    <s v="Sales Executive"/>
    <n v="4"/>
    <s v="Single"/>
    <n v="5304"/>
    <n v="4652"/>
    <n v="8"/>
    <s v="Y"/>
    <s v="Yes"/>
    <n v="13"/>
    <n v="3"/>
    <n v="2"/>
    <n v="80"/>
    <n v="0"/>
    <n v="9"/>
    <n v="3"/>
    <n v="2"/>
    <n v="5"/>
    <n v="2"/>
    <n v="0"/>
    <n v="4"/>
    <s v="LAB-502"/>
    <x v="0"/>
    <x v="0"/>
    <x v="0"/>
    <n v="5"/>
    <x v="0"/>
  </r>
  <r>
    <n v="55"/>
    <s v="No"/>
    <s v="Travel_Rarely"/>
    <n v="1311"/>
    <x v="1"/>
    <n v="2"/>
    <n v="3"/>
    <s v="Life Sciences"/>
    <n v="1"/>
    <n v="505"/>
    <n v="3"/>
    <s v="Female"/>
    <n v="97"/>
    <n v="3"/>
    <n v="4"/>
    <s v="Manager"/>
    <n v="4"/>
    <s v="Single"/>
    <n v="16659"/>
    <n v="23258"/>
    <n v="2"/>
    <s v="Y"/>
    <s v="Yes"/>
    <n v="13"/>
    <n v="3"/>
    <n v="3"/>
    <n v="80"/>
    <n v="0"/>
    <n v="30"/>
    <n v="2"/>
    <n v="3"/>
    <n v="5"/>
    <n v="4"/>
    <n v="1"/>
    <n v="2"/>
    <s v="LAB-505"/>
    <x v="5"/>
    <x v="1"/>
    <x v="1"/>
    <n v="5"/>
    <x v="0"/>
  </r>
  <r>
    <n v="24"/>
    <s v="No"/>
    <s v="Travel_Rarely"/>
    <n v="1371"/>
    <x v="0"/>
    <n v="10"/>
    <n v="4"/>
    <s v="Marketing"/>
    <n v="1"/>
    <n v="507"/>
    <n v="4"/>
    <s v="Female"/>
    <n v="77"/>
    <n v="3"/>
    <n v="2"/>
    <s v="Sales Executive"/>
    <n v="3"/>
    <s v="Divorced"/>
    <n v="4260"/>
    <n v="5915"/>
    <n v="1"/>
    <s v="Y"/>
    <s v="Yes"/>
    <n v="12"/>
    <n v="3"/>
    <n v="4"/>
    <n v="80"/>
    <n v="1"/>
    <n v="5"/>
    <n v="2"/>
    <n v="4"/>
    <n v="5"/>
    <n v="2"/>
    <n v="0"/>
    <n v="3"/>
    <s v="LAB-507"/>
    <x v="0"/>
    <x v="0"/>
    <x v="1"/>
    <n v="5"/>
    <x v="0"/>
  </r>
  <r>
    <n v="30"/>
    <s v="No"/>
    <s v="Travel_Rarely"/>
    <n v="202"/>
    <x v="0"/>
    <n v="2"/>
    <n v="1"/>
    <s v="Technical Degree"/>
    <n v="1"/>
    <n v="508"/>
    <n v="3"/>
    <s v="Male"/>
    <n v="72"/>
    <n v="3"/>
    <n v="1"/>
    <s v="Sales Representative"/>
    <n v="2"/>
    <s v="Married"/>
    <n v="2476"/>
    <n v="17434"/>
    <n v="1"/>
    <s v="Y"/>
    <s v="No"/>
    <n v="18"/>
    <n v="3"/>
    <n v="1"/>
    <n v="80"/>
    <n v="1"/>
    <n v="1"/>
    <n v="3"/>
    <n v="3"/>
    <n v="1"/>
    <n v="0"/>
    <n v="0"/>
    <n v="0"/>
    <s v="LAB-508"/>
    <x v="6"/>
    <x v="0"/>
    <x v="1"/>
    <n v="1"/>
    <x v="0"/>
  </r>
  <r>
    <n v="26"/>
    <s v="Yes"/>
    <s v="Travel_Frequently"/>
    <n v="575"/>
    <x v="1"/>
    <n v="3"/>
    <n v="1"/>
    <s v="Technical Degree"/>
    <n v="1"/>
    <n v="510"/>
    <n v="3"/>
    <s v="Male"/>
    <n v="73"/>
    <n v="3"/>
    <n v="1"/>
    <s v="Research Scientist"/>
    <n v="1"/>
    <s v="Single"/>
    <n v="3102"/>
    <n v="6582"/>
    <n v="0"/>
    <s v="Y"/>
    <s v="No"/>
    <n v="22"/>
    <n v="4"/>
    <n v="3"/>
    <n v="80"/>
    <n v="0"/>
    <n v="7"/>
    <n v="2"/>
    <n v="3"/>
    <n v="6"/>
    <n v="4"/>
    <n v="0"/>
    <n v="4"/>
    <s v="LAB-510"/>
    <x v="1"/>
    <x v="1"/>
    <x v="0"/>
    <n v="6"/>
    <x v="0"/>
  </r>
  <r>
    <n v="22"/>
    <s v="No"/>
    <s v="Travel_Rarely"/>
    <n v="253"/>
    <x v="1"/>
    <n v="11"/>
    <n v="3"/>
    <s v="Medical"/>
    <n v="1"/>
    <n v="511"/>
    <n v="1"/>
    <s v="Female"/>
    <n v="43"/>
    <n v="3"/>
    <n v="1"/>
    <s v="Research Scientist"/>
    <n v="2"/>
    <s v="Married"/>
    <n v="2244"/>
    <n v="24440"/>
    <n v="1"/>
    <s v="Y"/>
    <s v="No"/>
    <n v="13"/>
    <n v="3"/>
    <n v="4"/>
    <n v="80"/>
    <n v="1"/>
    <n v="2"/>
    <n v="1"/>
    <n v="3"/>
    <n v="2"/>
    <n v="1"/>
    <n v="1"/>
    <n v="2"/>
    <s v="LAB-511"/>
    <x v="1"/>
    <x v="1"/>
    <x v="1"/>
    <n v="2"/>
    <x v="0"/>
  </r>
  <r>
    <n v="36"/>
    <s v="No"/>
    <s v="Travel_Rarely"/>
    <n v="164"/>
    <x v="0"/>
    <n v="2"/>
    <n v="2"/>
    <s v="Medical"/>
    <n v="1"/>
    <n v="513"/>
    <n v="2"/>
    <s v="Male"/>
    <n v="61"/>
    <n v="2"/>
    <n v="3"/>
    <s v="Sales Executive"/>
    <n v="3"/>
    <s v="Married"/>
    <n v="7596"/>
    <n v="3809"/>
    <n v="1"/>
    <s v="Y"/>
    <s v="No"/>
    <n v="13"/>
    <n v="3"/>
    <n v="2"/>
    <n v="80"/>
    <n v="2"/>
    <n v="10"/>
    <n v="2"/>
    <n v="3"/>
    <n v="10"/>
    <n v="9"/>
    <n v="9"/>
    <n v="0"/>
    <s v="LAB-513"/>
    <x v="0"/>
    <x v="0"/>
    <x v="1"/>
    <n v="10"/>
    <x v="0"/>
  </r>
  <r>
    <n v="30"/>
    <s v="Yes"/>
    <s v="Travel_Frequently"/>
    <n v="464"/>
    <x v="1"/>
    <n v="4"/>
    <n v="3"/>
    <s v="Technical Degree"/>
    <n v="1"/>
    <n v="514"/>
    <n v="3"/>
    <s v="Male"/>
    <n v="40"/>
    <n v="3"/>
    <n v="1"/>
    <s v="Research Scientist"/>
    <n v="4"/>
    <s v="Single"/>
    <n v="2285"/>
    <n v="3427"/>
    <n v="9"/>
    <s v="Y"/>
    <s v="Yes"/>
    <n v="23"/>
    <n v="4"/>
    <n v="3"/>
    <n v="80"/>
    <n v="0"/>
    <n v="3"/>
    <n v="4"/>
    <n v="3"/>
    <n v="1"/>
    <n v="0"/>
    <n v="0"/>
    <n v="0"/>
    <s v="LAB-514"/>
    <x v="1"/>
    <x v="1"/>
    <x v="0"/>
    <n v="1"/>
    <x v="0"/>
  </r>
  <r>
    <n v="37"/>
    <s v="No"/>
    <s v="Travel_Rarely"/>
    <n v="1107"/>
    <x v="1"/>
    <n v="14"/>
    <n v="3"/>
    <s v="Life Sciences"/>
    <n v="1"/>
    <n v="515"/>
    <n v="4"/>
    <s v="Female"/>
    <n v="95"/>
    <n v="3"/>
    <n v="1"/>
    <s v="Laboratory Technician"/>
    <n v="1"/>
    <s v="Divorced"/>
    <n v="3034"/>
    <n v="26914"/>
    <n v="1"/>
    <s v="Y"/>
    <s v="No"/>
    <n v="12"/>
    <n v="3"/>
    <n v="3"/>
    <n v="80"/>
    <n v="1"/>
    <n v="18"/>
    <n v="2"/>
    <n v="2"/>
    <n v="18"/>
    <n v="7"/>
    <n v="12"/>
    <n v="17"/>
    <s v="LAB-515"/>
    <x v="2"/>
    <x v="1"/>
    <x v="1"/>
    <n v="18"/>
    <x v="0"/>
  </r>
  <r>
    <n v="40"/>
    <s v="No"/>
    <s v="Travel_Rarely"/>
    <n v="759"/>
    <x v="0"/>
    <n v="2"/>
    <n v="2"/>
    <s v="Marketing"/>
    <n v="1"/>
    <n v="516"/>
    <n v="4"/>
    <s v="Female"/>
    <n v="46"/>
    <n v="3"/>
    <n v="2"/>
    <s v="Sales Executive"/>
    <n v="2"/>
    <s v="Divorced"/>
    <n v="5715"/>
    <n v="22553"/>
    <n v="7"/>
    <s v="Y"/>
    <s v="No"/>
    <n v="12"/>
    <n v="3"/>
    <n v="3"/>
    <n v="80"/>
    <n v="2"/>
    <n v="8"/>
    <n v="5"/>
    <n v="3"/>
    <n v="5"/>
    <n v="4"/>
    <n v="1"/>
    <n v="3"/>
    <s v="LAB-516"/>
    <x v="0"/>
    <x v="0"/>
    <x v="1"/>
    <n v="5"/>
    <x v="0"/>
  </r>
  <r>
    <n v="42"/>
    <s v="No"/>
    <s v="Travel_Rarely"/>
    <n v="201"/>
    <x v="1"/>
    <n v="1"/>
    <n v="4"/>
    <s v="Life Sciences"/>
    <n v="1"/>
    <n v="517"/>
    <n v="2"/>
    <s v="Female"/>
    <n v="95"/>
    <n v="3"/>
    <n v="1"/>
    <s v="Laboratory Technician"/>
    <n v="1"/>
    <s v="Divorced"/>
    <n v="2576"/>
    <n v="20490"/>
    <n v="3"/>
    <s v="Y"/>
    <s v="No"/>
    <n v="16"/>
    <n v="3"/>
    <n v="2"/>
    <n v="80"/>
    <n v="1"/>
    <n v="8"/>
    <n v="5"/>
    <n v="3"/>
    <n v="5"/>
    <n v="2"/>
    <n v="1"/>
    <n v="2"/>
    <s v="LAB-517"/>
    <x v="2"/>
    <x v="1"/>
    <x v="1"/>
    <n v="5"/>
    <x v="0"/>
  </r>
  <r>
    <n v="37"/>
    <s v="No"/>
    <s v="Travel_Rarely"/>
    <n v="1305"/>
    <x v="1"/>
    <n v="10"/>
    <n v="4"/>
    <s v="Life Sciences"/>
    <n v="1"/>
    <n v="518"/>
    <n v="3"/>
    <s v="Male"/>
    <n v="49"/>
    <n v="3"/>
    <n v="2"/>
    <s v="Manufacturing Director"/>
    <n v="2"/>
    <s v="Single"/>
    <n v="4197"/>
    <n v="21123"/>
    <n v="2"/>
    <s v="Y"/>
    <s v="Yes"/>
    <n v="12"/>
    <n v="3"/>
    <n v="4"/>
    <n v="80"/>
    <n v="0"/>
    <n v="18"/>
    <n v="2"/>
    <n v="2"/>
    <n v="1"/>
    <n v="0"/>
    <n v="0"/>
    <n v="1"/>
    <s v="LAB-518"/>
    <x v="3"/>
    <x v="1"/>
    <x v="1"/>
    <n v="1"/>
    <x v="0"/>
  </r>
  <r>
    <n v="43"/>
    <s v="No"/>
    <s v="Travel_Rarely"/>
    <n v="982"/>
    <x v="1"/>
    <n v="12"/>
    <n v="3"/>
    <s v="Life Sciences"/>
    <n v="1"/>
    <n v="520"/>
    <n v="1"/>
    <s v="Male"/>
    <n v="59"/>
    <n v="2"/>
    <n v="4"/>
    <s v="Research Director"/>
    <n v="2"/>
    <s v="Divorced"/>
    <n v="14336"/>
    <n v="4345"/>
    <n v="1"/>
    <s v="Y"/>
    <s v="No"/>
    <n v="11"/>
    <n v="3"/>
    <n v="3"/>
    <n v="80"/>
    <n v="1"/>
    <n v="25"/>
    <n v="3"/>
    <n v="3"/>
    <n v="25"/>
    <n v="10"/>
    <n v="3"/>
    <n v="9"/>
    <s v="LAB-520"/>
    <x v="7"/>
    <x v="1"/>
    <x v="1"/>
    <n v="25"/>
    <x v="0"/>
  </r>
  <r>
    <n v="40"/>
    <s v="No"/>
    <s v="Travel_Rarely"/>
    <n v="555"/>
    <x v="1"/>
    <n v="2"/>
    <n v="3"/>
    <s v="Medical"/>
    <n v="1"/>
    <n v="521"/>
    <n v="2"/>
    <s v="Female"/>
    <n v="78"/>
    <n v="2"/>
    <n v="2"/>
    <s v="Laboratory Technician"/>
    <n v="3"/>
    <s v="Married"/>
    <n v="3448"/>
    <n v="13436"/>
    <n v="6"/>
    <s v="Y"/>
    <s v="No"/>
    <n v="22"/>
    <n v="4"/>
    <n v="2"/>
    <n v="80"/>
    <n v="1"/>
    <n v="20"/>
    <n v="3"/>
    <n v="3"/>
    <n v="1"/>
    <n v="0"/>
    <n v="0"/>
    <n v="0"/>
    <s v="LAB-521"/>
    <x v="2"/>
    <x v="1"/>
    <x v="1"/>
    <n v="1"/>
    <x v="0"/>
  </r>
  <r>
    <n v="54"/>
    <s v="No"/>
    <s v="Travel_Rarely"/>
    <n v="821"/>
    <x v="1"/>
    <n v="5"/>
    <n v="2"/>
    <s v="Medical"/>
    <n v="1"/>
    <n v="522"/>
    <n v="1"/>
    <s v="Male"/>
    <n v="86"/>
    <n v="3"/>
    <n v="5"/>
    <s v="Research Director"/>
    <n v="1"/>
    <s v="Married"/>
    <n v="19406"/>
    <n v="8509"/>
    <n v="4"/>
    <s v="Y"/>
    <s v="No"/>
    <n v="11"/>
    <n v="3"/>
    <n v="3"/>
    <n v="80"/>
    <n v="1"/>
    <n v="24"/>
    <n v="4"/>
    <n v="2"/>
    <n v="4"/>
    <n v="2"/>
    <n v="1"/>
    <n v="2"/>
    <s v="LAB-522"/>
    <x v="7"/>
    <x v="1"/>
    <x v="1"/>
    <n v="4"/>
    <x v="0"/>
  </r>
  <r>
    <n v="34"/>
    <s v="No"/>
    <s v="Non-Travel"/>
    <n v="1381"/>
    <x v="0"/>
    <n v="4"/>
    <n v="4"/>
    <s v="Marketing"/>
    <n v="1"/>
    <n v="523"/>
    <n v="3"/>
    <s v="Female"/>
    <n v="72"/>
    <n v="3"/>
    <n v="2"/>
    <s v="Sales Executive"/>
    <n v="3"/>
    <s v="Married"/>
    <n v="6538"/>
    <n v="12740"/>
    <n v="9"/>
    <s v="Y"/>
    <s v="No"/>
    <n v="15"/>
    <n v="3"/>
    <n v="1"/>
    <n v="80"/>
    <n v="1"/>
    <n v="6"/>
    <n v="3"/>
    <n v="3"/>
    <n v="3"/>
    <n v="2"/>
    <n v="1"/>
    <n v="2"/>
    <s v="LAB-523"/>
    <x v="0"/>
    <x v="0"/>
    <x v="1"/>
    <n v="3"/>
    <x v="0"/>
  </r>
  <r>
    <n v="31"/>
    <s v="No"/>
    <s v="Travel_Rarely"/>
    <n v="480"/>
    <x v="1"/>
    <n v="7"/>
    <n v="2"/>
    <s v="Medical"/>
    <n v="1"/>
    <n v="524"/>
    <n v="2"/>
    <s v="Female"/>
    <n v="31"/>
    <n v="3"/>
    <n v="2"/>
    <s v="Manufacturing Director"/>
    <n v="1"/>
    <s v="Married"/>
    <n v="4306"/>
    <n v="4156"/>
    <n v="1"/>
    <s v="Y"/>
    <s v="No"/>
    <n v="12"/>
    <n v="3"/>
    <n v="2"/>
    <n v="80"/>
    <n v="1"/>
    <n v="13"/>
    <n v="5"/>
    <n v="1"/>
    <n v="13"/>
    <n v="10"/>
    <n v="3"/>
    <n v="12"/>
    <s v="LAB-524"/>
    <x v="3"/>
    <x v="1"/>
    <x v="1"/>
    <n v="13"/>
    <x v="0"/>
  </r>
  <r>
    <n v="43"/>
    <s v="No"/>
    <s v="Travel_Frequently"/>
    <n v="313"/>
    <x v="1"/>
    <n v="21"/>
    <n v="3"/>
    <s v="Medical"/>
    <n v="1"/>
    <n v="525"/>
    <n v="4"/>
    <s v="Male"/>
    <n v="61"/>
    <n v="3"/>
    <n v="1"/>
    <s v="Laboratory Technician"/>
    <n v="4"/>
    <s v="Married"/>
    <n v="2258"/>
    <n v="15238"/>
    <n v="7"/>
    <s v="Y"/>
    <s v="No"/>
    <n v="20"/>
    <n v="4"/>
    <n v="1"/>
    <n v="80"/>
    <n v="1"/>
    <n v="8"/>
    <n v="1"/>
    <n v="3"/>
    <n v="3"/>
    <n v="2"/>
    <n v="1"/>
    <n v="2"/>
    <s v="LAB-525"/>
    <x v="2"/>
    <x v="1"/>
    <x v="1"/>
    <n v="3"/>
    <x v="0"/>
  </r>
  <r>
    <n v="43"/>
    <s v="No"/>
    <s v="Travel_Rarely"/>
    <n v="1473"/>
    <x v="1"/>
    <n v="8"/>
    <n v="4"/>
    <s v="Other"/>
    <n v="1"/>
    <n v="526"/>
    <n v="3"/>
    <s v="Female"/>
    <n v="74"/>
    <n v="3"/>
    <n v="2"/>
    <s v="Healthcare Representative"/>
    <n v="3"/>
    <s v="Divorced"/>
    <n v="4522"/>
    <n v="2227"/>
    <n v="4"/>
    <s v="Y"/>
    <s v="Yes"/>
    <n v="14"/>
    <n v="3"/>
    <n v="4"/>
    <n v="80"/>
    <n v="0"/>
    <n v="8"/>
    <n v="3"/>
    <n v="3"/>
    <n v="5"/>
    <n v="2"/>
    <n v="0"/>
    <n v="2"/>
    <s v="LAB-526"/>
    <x v="4"/>
    <x v="1"/>
    <x v="1"/>
    <n v="5"/>
    <x v="0"/>
  </r>
  <r>
    <n v="25"/>
    <s v="No"/>
    <s v="Travel_Rarely"/>
    <n v="891"/>
    <x v="0"/>
    <n v="4"/>
    <n v="2"/>
    <s v="Life Sciences"/>
    <n v="1"/>
    <n v="527"/>
    <n v="2"/>
    <s v="Female"/>
    <n v="99"/>
    <n v="2"/>
    <n v="2"/>
    <s v="Sales Executive"/>
    <n v="4"/>
    <s v="Single"/>
    <n v="4487"/>
    <n v="12090"/>
    <n v="1"/>
    <s v="Y"/>
    <s v="Yes"/>
    <n v="11"/>
    <n v="3"/>
    <n v="2"/>
    <n v="80"/>
    <n v="0"/>
    <n v="5"/>
    <n v="3"/>
    <n v="3"/>
    <n v="5"/>
    <n v="4"/>
    <n v="1"/>
    <n v="3"/>
    <s v="LAB-527"/>
    <x v="0"/>
    <x v="0"/>
    <x v="1"/>
    <n v="5"/>
    <x v="0"/>
  </r>
  <r>
    <n v="37"/>
    <s v="No"/>
    <s v="Non-Travel"/>
    <n v="1063"/>
    <x v="1"/>
    <n v="25"/>
    <n v="5"/>
    <s v="Medical"/>
    <n v="1"/>
    <n v="529"/>
    <n v="2"/>
    <s v="Female"/>
    <n v="72"/>
    <n v="3"/>
    <n v="2"/>
    <s v="Research Scientist"/>
    <n v="3"/>
    <s v="Married"/>
    <n v="4449"/>
    <n v="23866"/>
    <n v="3"/>
    <s v="Y"/>
    <s v="Yes"/>
    <n v="15"/>
    <n v="3"/>
    <n v="1"/>
    <n v="80"/>
    <n v="2"/>
    <n v="15"/>
    <n v="2"/>
    <n v="3"/>
    <n v="13"/>
    <n v="11"/>
    <n v="10"/>
    <n v="7"/>
    <s v="LAB-529"/>
    <x v="1"/>
    <x v="1"/>
    <x v="1"/>
    <n v="13"/>
    <x v="0"/>
  </r>
  <r>
    <n v="31"/>
    <s v="No"/>
    <s v="Travel_Rarely"/>
    <n v="329"/>
    <x v="1"/>
    <n v="1"/>
    <n v="2"/>
    <s v="Life Sciences"/>
    <n v="1"/>
    <n v="530"/>
    <n v="4"/>
    <s v="Male"/>
    <n v="98"/>
    <n v="2"/>
    <n v="1"/>
    <s v="Laboratory Technician"/>
    <n v="1"/>
    <s v="Married"/>
    <n v="2218"/>
    <n v="16193"/>
    <n v="1"/>
    <s v="Y"/>
    <s v="No"/>
    <n v="12"/>
    <n v="3"/>
    <n v="3"/>
    <n v="80"/>
    <n v="1"/>
    <n v="4"/>
    <n v="3"/>
    <n v="3"/>
    <n v="4"/>
    <n v="2"/>
    <n v="3"/>
    <n v="2"/>
    <s v="LAB-530"/>
    <x v="2"/>
    <x v="1"/>
    <x v="1"/>
    <n v="4"/>
    <x v="0"/>
  </r>
  <r>
    <n v="39"/>
    <s v="No"/>
    <s v="Travel_Frequently"/>
    <n v="1218"/>
    <x v="1"/>
    <n v="1"/>
    <n v="1"/>
    <s v="Life Sciences"/>
    <n v="1"/>
    <n v="531"/>
    <n v="2"/>
    <s v="Male"/>
    <n v="52"/>
    <n v="3"/>
    <n v="5"/>
    <s v="Manager"/>
    <n v="3"/>
    <s v="Divorced"/>
    <n v="19197"/>
    <n v="8213"/>
    <n v="1"/>
    <s v="Y"/>
    <s v="Yes"/>
    <n v="14"/>
    <n v="3"/>
    <n v="3"/>
    <n v="80"/>
    <n v="1"/>
    <n v="21"/>
    <n v="3"/>
    <n v="3"/>
    <n v="21"/>
    <n v="8"/>
    <n v="1"/>
    <n v="6"/>
    <s v="LAB-531"/>
    <x v="5"/>
    <x v="1"/>
    <x v="1"/>
    <n v="21"/>
    <x v="0"/>
  </r>
  <r>
    <n v="56"/>
    <s v="No"/>
    <s v="Travel_Frequently"/>
    <n v="906"/>
    <x v="0"/>
    <n v="6"/>
    <n v="3"/>
    <s v="Life Sciences"/>
    <n v="1"/>
    <n v="532"/>
    <n v="3"/>
    <s v="Female"/>
    <n v="86"/>
    <n v="4"/>
    <n v="4"/>
    <s v="Sales Executive"/>
    <n v="1"/>
    <s v="Married"/>
    <n v="13212"/>
    <n v="18256"/>
    <n v="9"/>
    <s v="Y"/>
    <s v="No"/>
    <n v="11"/>
    <n v="3"/>
    <n v="4"/>
    <n v="80"/>
    <n v="3"/>
    <n v="36"/>
    <n v="0"/>
    <n v="2"/>
    <n v="7"/>
    <n v="7"/>
    <n v="7"/>
    <n v="7"/>
    <s v="LAB-532"/>
    <x v="0"/>
    <x v="0"/>
    <x v="1"/>
    <n v="7"/>
    <x v="0"/>
  </r>
  <r>
    <n v="30"/>
    <s v="No"/>
    <s v="Travel_Rarely"/>
    <n v="1082"/>
    <x v="0"/>
    <n v="12"/>
    <n v="3"/>
    <s v="Technical Degree"/>
    <n v="1"/>
    <n v="533"/>
    <n v="2"/>
    <s v="Female"/>
    <n v="83"/>
    <n v="3"/>
    <n v="2"/>
    <s v="Sales Executive"/>
    <n v="3"/>
    <s v="Single"/>
    <n v="6577"/>
    <n v="19558"/>
    <n v="0"/>
    <s v="Y"/>
    <s v="No"/>
    <n v="11"/>
    <n v="3"/>
    <n v="2"/>
    <n v="80"/>
    <n v="0"/>
    <n v="6"/>
    <n v="6"/>
    <n v="3"/>
    <n v="5"/>
    <n v="4"/>
    <n v="4"/>
    <n v="4"/>
    <s v="LAB-533"/>
    <x v="0"/>
    <x v="0"/>
    <x v="1"/>
    <n v="5"/>
    <x v="0"/>
  </r>
  <r>
    <n v="41"/>
    <s v="No"/>
    <s v="Travel_Rarely"/>
    <n v="645"/>
    <x v="0"/>
    <n v="1"/>
    <n v="3"/>
    <s v="Marketing"/>
    <n v="1"/>
    <n v="534"/>
    <n v="2"/>
    <s v="Male"/>
    <n v="49"/>
    <n v="4"/>
    <n v="3"/>
    <s v="Sales Executive"/>
    <n v="1"/>
    <s v="Married"/>
    <n v="8392"/>
    <n v="19566"/>
    <n v="1"/>
    <s v="Y"/>
    <s v="No"/>
    <n v="16"/>
    <n v="3"/>
    <n v="3"/>
    <n v="80"/>
    <n v="1"/>
    <n v="10"/>
    <n v="2"/>
    <n v="3"/>
    <n v="10"/>
    <n v="7"/>
    <n v="0"/>
    <n v="7"/>
    <s v="LAB-534"/>
    <x v="0"/>
    <x v="0"/>
    <x v="1"/>
    <n v="10"/>
    <x v="0"/>
  </r>
  <r>
    <n v="28"/>
    <s v="No"/>
    <s v="Travel_Rarely"/>
    <n v="1300"/>
    <x v="1"/>
    <n v="17"/>
    <n v="2"/>
    <s v="Medical"/>
    <n v="1"/>
    <n v="536"/>
    <n v="3"/>
    <s v="Male"/>
    <n v="79"/>
    <n v="3"/>
    <n v="2"/>
    <s v="Laboratory Technician"/>
    <n v="1"/>
    <s v="Divorced"/>
    <n v="4558"/>
    <n v="13535"/>
    <n v="1"/>
    <s v="Y"/>
    <s v="No"/>
    <n v="12"/>
    <n v="3"/>
    <n v="4"/>
    <n v="80"/>
    <n v="1"/>
    <n v="10"/>
    <n v="2"/>
    <n v="3"/>
    <n v="10"/>
    <n v="0"/>
    <n v="1"/>
    <n v="8"/>
    <s v="LAB-536"/>
    <x v="2"/>
    <x v="1"/>
    <x v="1"/>
    <n v="10"/>
    <x v="0"/>
  </r>
  <r>
    <n v="25"/>
    <s v="Yes"/>
    <s v="Travel_Rarely"/>
    <n v="688"/>
    <x v="1"/>
    <n v="3"/>
    <n v="3"/>
    <s v="Medical"/>
    <n v="1"/>
    <n v="538"/>
    <n v="1"/>
    <s v="Male"/>
    <n v="91"/>
    <n v="3"/>
    <n v="1"/>
    <s v="Laboratory Technician"/>
    <n v="1"/>
    <s v="Married"/>
    <n v="4031"/>
    <n v="9396"/>
    <n v="5"/>
    <s v="Y"/>
    <s v="No"/>
    <n v="13"/>
    <n v="3"/>
    <n v="3"/>
    <n v="80"/>
    <n v="1"/>
    <n v="6"/>
    <n v="5"/>
    <n v="3"/>
    <n v="2"/>
    <n v="2"/>
    <n v="0"/>
    <n v="2"/>
    <s v="LAB-538"/>
    <x v="2"/>
    <x v="1"/>
    <x v="0"/>
    <n v="2"/>
    <x v="0"/>
  </r>
  <r>
    <n v="52"/>
    <s v="No"/>
    <s v="Travel_Rarely"/>
    <n v="319"/>
    <x v="1"/>
    <n v="3"/>
    <n v="3"/>
    <s v="Medical"/>
    <n v="1"/>
    <n v="543"/>
    <n v="4"/>
    <s v="Male"/>
    <n v="39"/>
    <n v="2"/>
    <n v="3"/>
    <s v="Manufacturing Director"/>
    <n v="3"/>
    <s v="Married"/>
    <n v="7969"/>
    <n v="19609"/>
    <n v="2"/>
    <s v="Y"/>
    <s v="Yes"/>
    <n v="14"/>
    <n v="3"/>
    <n v="3"/>
    <n v="80"/>
    <n v="0"/>
    <n v="28"/>
    <n v="4"/>
    <n v="3"/>
    <n v="5"/>
    <n v="4"/>
    <n v="0"/>
    <n v="4"/>
    <s v="LAB-543"/>
    <x v="3"/>
    <x v="1"/>
    <x v="1"/>
    <n v="5"/>
    <x v="0"/>
  </r>
  <r>
    <n v="45"/>
    <s v="No"/>
    <s v="Travel_Rarely"/>
    <n v="192"/>
    <x v="1"/>
    <n v="10"/>
    <n v="2"/>
    <s v="Life Sciences"/>
    <n v="1"/>
    <n v="544"/>
    <n v="1"/>
    <s v="Male"/>
    <n v="69"/>
    <n v="3"/>
    <n v="1"/>
    <s v="Research Scientist"/>
    <n v="4"/>
    <s v="Married"/>
    <n v="2654"/>
    <n v="9655"/>
    <n v="3"/>
    <s v="Y"/>
    <s v="No"/>
    <n v="21"/>
    <n v="4"/>
    <n v="4"/>
    <n v="80"/>
    <n v="2"/>
    <n v="8"/>
    <n v="3"/>
    <n v="2"/>
    <n v="2"/>
    <n v="2"/>
    <n v="0"/>
    <n v="2"/>
    <s v="LAB-544"/>
    <x v="1"/>
    <x v="1"/>
    <x v="1"/>
    <n v="2"/>
    <x v="0"/>
  </r>
  <r>
    <n v="52"/>
    <s v="No"/>
    <s v="Travel_Rarely"/>
    <n v="1490"/>
    <x v="1"/>
    <n v="4"/>
    <n v="2"/>
    <s v="Life Sciences"/>
    <n v="1"/>
    <n v="546"/>
    <n v="4"/>
    <s v="Female"/>
    <n v="30"/>
    <n v="3"/>
    <n v="4"/>
    <s v="Manager"/>
    <n v="4"/>
    <s v="Married"/>
    <n v="16555"/>
    <n v="10310"/>
    <n v="2"/>
    <s v="Y"/>
    <s v="No"/>
    <n v="13"/>
    <n v="3"/>
    <n v="4"/>
    <n v="80"/>
    <n v="0"/>
    <n v="31"/>
    <n v="2"/>
    <n v="1"/>
    <n v="5"/>
    <n v="2"/>
    <n v="1"/>
    <n v="4"/>
    <s v="LAB-546"/>
    <x v="5"/>
    <x v="1"/>
    <x v="1"/>
    <n v="5"/>
    <x v="0"/>
  </r>
  <r>
    <n v="42"/>
    <s v="No"/>
    <s v="Travel_Frequently"/>
    <n v="532"/>
    <x v="1"/>
    <n v="29"/>
    <n v="2"/>
    <s v="Life Sciences"/>
    <n v="1"/>
    <n v="547"/>
    <n v="1"/>
    <s v="Female"/>
    <n v="92"/>
    <n v="3"/>
    <n v="2"/>
    <s v="Research Scientist"/>
    <n v="3"/>
    <s v="Divorced"/>
    <n v="4556"/>
    <n v="12932"/>
    <n v="2"/>
    <s v="Y"/>
    <s v="No"/>
    <n v="11"/>
    <n v="3"/>
    <n v="2"/>
    <n v="80"/>
    <n v="1"/>
    <n v="19"/>
    <n v="3"/>
    <n v="3"/>
    <n v="5"/>
    <n v="4"/>
    <n v="0"/>
    <n v="2"/>
    <s v="LAB-547"/>
    <x v="1"/>
    <x v="1"/>
    <x v="1"/>
    <n v="5"/>
    <x v="0"/>
  </r>
  <r>
    <n v="30"/>
    <s v="No"/>
    <s v="Travel_Rarely"/>
    <n v="317"/>
    <x v="1"/>
    <n v="2"/>
    <n v="3"/>
    <s v="Life Sciences"/>
    <n v="1"/>
    <n v="548"/>
    <n v="3"/>
    <s v="Female"/>
    <n v="43"/>
    <n v="1"/>
    <n v="2"/>
    <s v="Manufacturing Director"/>
    <n v="4"/>
    <s v="Single"/>
    <n v="6091"/>
    <n v="24793"/>
    <n v="2"/>
    <s v="Y"/>
    <s v="No"/>
    <n v="20"/>
    <n v="4"/>
    <n v="3"/>
    <n v="80"/>
    <n v="0"/>
    <n v="11"/>
    <n v="2"/>
    <n v="3"/>
    <n v="5"/>
    <n v="4"/>
    <n v="0"/>
    <n v="2"/>
    <s v="LAB-548"/>
    <x v="3"/>
    <x v="1"/>
    <x v="1"/>
    <n v="5"/>
    <x v="0"/>
  </r>
  <r>
    <n v="60"/>
    <s v="No"/>
    <s v="Travel_Rarely"/>
    <n v="422"/>
    <x v="1"/>
    <n v="7"/>
    <n v="3"/>
    <s v="Life Sciences"/>
    <n v="1"/>
    <n v="549"/>
    <n v="1"/>
    <s v="Female"/>
    <n v="41"/>
    <n v="3"/>
    <n v="5"/>
    <s v="Manager"/>
    <n v="1"/>
    <s v="Married"/>
    <n v="19566"/>
    <n v="3854"/>
    <n v="5"/>
    <s v="Y"/>
    <s v="No"/>
    <n v="11"/>
    <n v="3"/>
    <n v="4"/>
    <n v="80"/>
    <n v="0"/>
    <n v="33"/>
    <n v="5"/>
    <n v="1"/>
    <n v="29"/>
    <n v="8"/>
    <n v="11"/>
    <n v="10"/>
    <s v="LAB-549"/>
    <x v="5"/>
    <x v="1"/>
    <x v="1"/>
    <n v="29"/>
    <x v="0"/>
  </r>
  <r>
    <n v="46"/>
    <s v="No"/>
    <s v="Travel_Rarely"/>
    <n v="1485"/>
    <x v="1"/>
    <n v="18"/>
    <n v="3"/>
    <s v="Medical"/>
    <n v="1"/>
    <n v="550"/>
    <n v="3"/>
    <s v="Female"/>
    <n v="87"/>
    <n v="3"/>
    <n v="2"/>
    <s v="Manufacturing Director"/>
    <n v="3"/>
    <s v="Divorced"/>
    <n v="4810"/>
    <n v="26314"/>
    <n v="2"/>
    <s v="Y"/>
    <s v="No"/>
    <n v="14"/>
    <n v="3"/>
    <n v="3"/>
    <n v="80"/>
    <n v="1"/>
    <n v="19"/>
    <n v="5"/>
    <n v="2"/>
    <n v="10"/>
    <n v="7"/>
    <n v="0"/>
    <n v="8"/>
    <s v="LAB-550"/>
    <x v="3"/>
    <x v="1"/>
    <x v="1"/>
    <n v="10"/>
    <x v="0"/>
  </r>
  <r>
    <n v="42"/>
    <s v="No"/>
    <s v="Travel_Frequently"/>
    <n v="1368"/>
    <x v="1"/>
    <n v="28"/>
    <n v="4"/>
    <s v="Technical Degree"/>
    <n v="1"/>
    <n v="551"/>
    <n v="4"/>
    <s v="Female"/>
    <n v="88"/>
    <n v="2"/>
    <n v="2"/>
    <s v="Healthcare Representative"/>
    <n v="4"/>
    <s v="Married"/>
    <n v="4523"/>
    <n v="4386"/>
    <n v="0"/>
    <s v="Y"/>
    <s v="No"/>
    <n v="11"/>
    <n v="3"/>
    <n v="4"/>
    <n v="80"/>
    <n v="3"/>
    <n v="7"/>
    <n v="4"/>
    <n v="4"/>
    <n v="6"/>
    <n v="5"/>
    <n v="0"/>
    <n v="4"/>
    <s v="LAB-551"/>
    <x v="4"/>
    <x v="1"/>
    <x v="1"/>
    <n v="6"/>
    <x v="0"/>
  </r>
  <r>
    <n v="24"/>
    <s v="Yes"/>
    <s v="Travel_Rarely"/>
    <n v="1448"/>
    <x v="0"/>
    <n v="1"/>
    <n v="1"/>
    <s v="Technical Degree"/>
    <n v="1"/>
    <n v="554"/>
    <n v="1"/>
    <s v="Female"/>
    <n v="62"/>
    <n v="3"/>
    <n v="1"/>
    <s v="Sales Representative"/>
    <n v="2"/>
    <s v="Single"/>
    <n v="3202"/>
    <n v="21972"/>
    <n v="1"/>
    <s v="Y"/>
    <s v="Yes"/>
    <n v="16"/>
    <n v="3"/>
    <n v="2"/>
    <n v="80"/>
    <n v="0"/>
    <n v="6"/>
    <n v="4"/>
    <n v="3"/>
    <n v="5"/>
    <n v="3"/>
    <n v="1"/>
    <n v="4"/>
    <s v="LAB-554"/>
    <x v="6"/>
    <x v="0"/>
    <x v="0"/>
    <n v="5"/>
    <x v="0"/>
  </r>
  <r>
    <n v="34"/>
    <s v="Yes"/>
    <s v="Travel_Frequently"/>
    <n v="296"/>
    <x v="0"/>
    <n v="6"/>
    <n v="2"/>
    <s v="Marketing"/>
    <n v="1"/>
    <n v="555"/>
    <n v="4"/>
    <s v="Female"/>
    <n v="33"/>
    <n v="1"/>
    <n v="1"/>
    <s v="Sales Representative"/>
    <n v="3"/>
    <s v="Divorced"/>
    <n v="2351"/>
    <n v="12253"/>
    <n v="0"/>
    <s v="Y"/>
    <s v="No"/>
    <n v="16"/>
    <n v="3"/>
    <n v="4"/>
    <n v="80"/>
    <n v="1"/>
    <n v="3"/>
    <n v="3"/>
    <n v="2"/>
    <n v="2"/>
    <n v="2"/>
    <n v="1"/>
    <n v="0"/>
    <s v="LAB-555"/>
    <x v="6"/>
    <x v="0"/>
    <x v="0"/>
    <n v="2"/>
    <x v="0"/>
  </r>
  <r>
    <n v="38"/>
    <s v="No"/>
    <s v="Travel_Frequently"/>
    <n v="1490"/>
    <x v="1"/>
    <n v="2"/>
    <n v="2"/>
    <s v="Life Sciences"/>
    <n v="1"/>
    <n v="556"/>
    <n v="4"/>
    <s v="Male"/>
    <n v="42"/>
    <n v="3"/>
    <n v="1"/>
    <s v="Laboratory Technician"/>
    <n v="4"/>
    <s v="Married"/>
    <n v="1702"/>
    <n v="12106"/>
    <n v="1"/>
    <s v="Y"/>
    <s v="Yes"/>
    <n v="23"/>
    <n v="4"/>
    <n v="3"/>
    <n v="80"/>
    <n v="1"/>
    <n v="1"/>
    <n v="3"/>
    <n v="3"/>
    <n v="1"/>
    <n v="0"/>
    <n v="0"/>
    <n v="0"/>
    <s v="LAB-556"/>
    <x v="2"/>
    <x v="1"/>
    <x v="1"/>
    <n v="1"/>
    <x v="0"/>
  </r>
  <r>
    <n v="40"/>
    <s v="No"/>
    <s v="Travel_Rarely"/>
    <n v="1398"/>
    <x v="0"/>
    <n v="2"/>
    <n v="4"/>
    <s v="Life Sciences"/>
    <n v="1"/>
    <n v="558"/>
    <n v="3"/>
    <s v="Female"/>
    <n v="79"/>
    <n v="3"/>
    <n v="5"/>
    <s v="Manager"/>
    <n v="3"/>
    <s v="Married"/>
    <n v="18041"/>
    <n v="13022"/>
    <n v="0"/>
    <s v="Y"/>
    <s v="No"/>
    <n v="14"/>
    <n v="3"/>
    <n v="4"/>
    <n v="80"/>
    <n v="0"/>
    <n v="21"/>
    <n v="2"/>
    <n v="3"/>
    <n v="20"/>
    <n v="15"/>
    <n v="1"/>
    <n v="12"/>
    <s v="LAB-558"/>
    <x v="5"/>
    <x v="0"/>
    <x v="1"/>
    <n v="20"/>
    <x v="0"/>
  </r>
  <r>
    <n v="26"/>
    <s v="No"/>
    <s v="Travel_Rarely"/>
    <n v="1349"/>
    <x v="1"/>
    <n v="23"/>
    <n v="3"/>
    <s v="Life Sciences"/>
    <n v="1"/>
    <n v="560"/>
    <n v="1"/>
    <s v="Female"/>
    <n v="90"/>
    <n v="3"/>
    <n v="1"/>
    <s v="Research Scientist"/>
    <n v="4"/>
    <s v="Divorced"/>
    <n v="2886"/>
    <n v="3032"/>
    <n v="1"/>
    <s v="Y"/>
    <s v="No"/>
    <n v="22"/>
    <n v="4"/>
    <n v="2"/>
    <n v="80"/>
    <n v="2"/>
    <n v="3"/>
    <n v="3"/>
    <n v="1"/>
    <n v="3"/>
    <n v="2"/>
    <n v="0"/>
    <n v="2"/>
    <s v="LAB-560"/>
    <x v="1"/>
    <x v="1"/>
    <x v="1"/>
    <n v="3"/>
    <x v="0"/>
  </r>
  <r>
    <n v="30"/>
    <s v="No"/>
    <s v="Non-Travel"/>
    <n v="1400"/>
    <x v="1"/>
    <n v="3"/>
    <n v="3"/>
    <s v="Life Sciences"/>
    <n v="1"/>
    <n v="562"/>
    <n v="3"/>
    <s v="Male"/>
    <n v="53"/>
    <n v="3"/>
    <n v="1"/>
    <s v="Laboratory Technician"/>
    <n v="4"/>
    <s v="Married"/>
    <n v="2097"/>
    <n v="16734"/>
    <n v="4"/>
    <s v="Y"/>
    <s v="No"/>
    <n v="15"/>
    <n v="3"/>
    <n v="3"/>
    <n v="80"/>
    <n v="1"/>
    <n v="9"/>
    <n v="3"/>
    <n v="1"/>
    <n v="5"/>
    <n v="3"/>
    <n v="1"/>
    <n v="4"/>
    <s v="LAB-562"/>
    <x v="2"/>
    <x v="1"/>
    <x v="1"/>
    <n v="5"/>
    <x v="0"/>
  </r>
  <r>
    <n v="29"/>
    <s v="No"/>
    <s v="Travel_Rarely"/>
    <n v="986"/>
    <x v="1"/>
    <n v="3"/>
    <n v="4"/>
    <s v="Medical"/>
    <n v="1"/>
    <n v="564"/>
    <n v="2"/>
    <s v="Male"/>
    <n v="93"/>
    <n v="2"/>
    <n v="3"/>
    <s v="Research Director"/>
    <n v="3"/>
    <s v="Married"/>
    <n v="11935"/>
    <n v="21526"/>
    <n v="1"/>
    <s v="Y"/>
    <s v="No"/>
    <n v="18"/>
    <n v="3"/>
    <n v="3"/>
    <n v="80"/>
    <n v="0"/>
    <n v="10"/>
    <n v="2"/>
    <n v="3"/>
    <n v="10"/>
    <n v="2"/>
    <n v="0"/>
    <n v="7"/>
    <s v="LAB-564"/>
    <x v="7"/>
    <x v="1"/>
    <x v="1"/>
    <n v="10"/>
    <x v="0"/>
  </r>
  <r>
    <n v="29"/>
    <s v="Yes"/>
    <s v="Travel_Rarely"/>
    <n v="408"/>
    <x v="1"/>
    <n v="25"/>
    <n v="5"/>
    <s v="Technical Degree"/>
    <n v="1"/>
    <n v="565"/>
    <n v="3"/>
    <s v="Female"/>
    <n v="71"/>
    <n v="2"/>
    <n v="1"/>
    <s v="Research Scientist"/>
    <n v="2"/>
    <s v="Married"/>
    <n v="2546"/>
    <n v="18300"/>
    <n v="5"/>
    <s v="Y"/>
    <s v="No"/>
    <n v="16"/>
    <n v="3"/>
    <n v="2"/>
    <n v="80"/>
    <n v="0"/>
    <n v="6"/>
    <n v="2"/>
    <n v="4"/>
    <n v="2"/>
    <n v="2"/>
    <n v="1"/>
    <n v="1"/>
    <s v="LAB-565"/>
    <x v="1"/>
    <x v="1"/>
    <x v="0"/>
    <n v="2"/>
    <x v="0"/>
  </r>
  <r>
    <n v="19"/>
    <s v="Yes"/>
    <s v="Travel_Rarely"/>
    <n v="489"/>
    <x v="2"/>
    <n v="2"/>
    <n v="2"/>
    <s v="Technical Degree"/>
    <n v="1"/>
    <n v="566"/>
    <n v="1"/>
    <s v="Male"/>
    <n v="52"/>
    <n v="2"/>
    <n v="1"/>
    <s v="Human Resources"/>
    <n v="4"/>
    <s v="Single"/>
    <n v="2564"/>
    <n v="18437"/>
    <n v="1"/>
    <s v="Y"/>
    <s v="No"/>
    <n v="12"/>
    <n v="3"/>
    <n v="3"/>
    <n v="80"/>
    <n v="0"/>
    <n v="1"/>
    <n v="3"/>
    <n v="4"/>
    <n v="1"/>
    <n v="0"/>
    <n v="0"/>
    <n v="0"/>
    <s v="LAB-566"/>
    <x v="8"/>
    <x v="2"/>
    <x v="0"/>
    <n v="1"/>
    <x v="0"/>
  </r>
  <r>
    <n v="30"/>
    <s v="No"/>
    <s v="Non-Travel"/>
    <n v="1398"/>
    <x v="0"/>
    <n v="22"/>
    <n v="4"/>
    <s v="Other"/>
    <n v="1"/>
    <n v="567"/>
    <n v="3"/>
    <s v="Female"/>
    <n v="69"/>
    <n v="3"/>
    <n v="3"/>
    <s v="Sales Executive"/>
    <n v="1"/>
    <s v="Married"/>
    <n v="8412"/>
    <n v="2890"/>
    <n v="0"/>
    <s v="Y"/>
    <s v="No"/>
    <n v="11"/>
    <n v="3"/>
    <n v="3"/>
    <n v="80"/>
    <n v="0"/>
    <n v="10"/>
    <n v="3"/>
    <n v="3"/>
    <n v="9"/>
    <n v="8"/>
    <n v="7"/>
    <n v="8"/>
    <s v="LAB-567"/>
    <x v="0"/>
    <x v="0"/>
    <x v="1"/>
    <n v="9"/>
    <x v="0"/>
  </r>
  <r>
    <n v="57"/>
    <s v="No"/>
    <s v="Travel_Rarely"/>
    <n v="210"/>
    <x v="0"/>
    <n v="29"/>
    <n v="3"/>
    <s v="Marketing"/>
    <n v="1"/>
    <n v="568"/>
    <n v="1"/>
    <s v="Male"/>
    <n v="56"/>
    <n v="2"/>
    <n v="4"/>
    <s v="Manager"/>
    <n v="4"/>
    <s v="Divorced"/>
    <n v="14118"/>
    <n v="22102"/>
    <n v="3"/>
    <s v="Y"/>
    <s v="No"/>
    <n v="12"/>
    <n v="3"/>
    <n v="3"/>
    <n v="80"/>
    <n v="1"/>
    <n v="32"/>
    <n v="3"/>
    <n v="2"/>
    <n v="1"/>
    <n v="0"/>
    <n v="0"/>
    <n v="0"/>
    <s v="LAB-568"/>
    <x v="5"/>
    <x v="0"/>
    <x v="1"/>
    <n v="1"/>
    <x v="0"/>
  </r>
  <r>
    <n v="50"/>
    <s v="No"/>
    <s v="Travel_Rarely"/>
    <n v="1099"/>
    <x v="1"/>
    <n v="29"/>
    <n v="4"/>
    <s v="Life Sciences"/>
    <n v="1"/>
    <n v="569"/>
    <n v="2"/>
    <s v="Male"/>
    <n v="88"/>
    <n v="2"/>
    <n v="4"/>
    <s v="Manager"/>
    <n v="3"/>
    <s v="Married"/>
    <n v="17046"/>
    <n v="9314"/>
    <n v="0"/>
    <s v="Y"/>
    <s v="No"/>
    <n v="15"/>
    <n v="3"/>
    <n v="2"/>
    <n v="80"/>
    <n v="1"/>
    <n v="28"/>
    <n v="2"/>
    <n v="3"/>
    <n v="27"/>
    <n v="10"/>
    <n v="15"/>
    <n v="7"/>
    <s v="LAB-569"/>
    <x v="5"/>
    <x v="1"/>
    <x v="1"/>
    <n v="27"/>
    <x v="0"/>
  </r>
  <r>
    <n v="30"/>
    <s v="No"/>
    <s v="Non-Travel"/>
    <n v="1116"/>
    <x v="1"/>
    <n v="2"/>
    <n v="3"/>
    <s v="Medical"/>
    <n v="1"/>
    <n v="571"/>
    <n v="3"/>
    <s v="Female"/>
    <n v="49"/>
    <n v="3"/>
    <n v="1"/>
    <s v="Laboratory Technician"/>
    <n v="4"/>
    <s v="Single"/>
    <n v="2564"/>
    <n v="7181"/>
    <n v="0"/>
    <s v="Y"/>
    <s v="No"/>
    <n v="14"/>
    <n v="3"/>
    <n v="3"/>
    <n v="80"/>
    <n v="0"/>
    <n v="12"/>
    <n v="2"/>
    <n v="2"/>
    <n v="11"/>
    <n v="7"/>
    <n v="6"/>
    <n v="7"/>
    <s v="LAB-571"/>
    <x v="2"/>
    <x v="1"/>
    <x v="1"/>
    <n v="11"/>
    <x v="0"/>
  </r>
  <r>
    <n v="60"/>
    <s v="No"/>
    <s v="Travel_Frequently"/>
    <n v="1499"/>
    <x v="0"/>
    <n v="28"/>
    <n v="3"/>
    <s v="Marketing"/>
    <n v="1"/>
    <n v="573"/>
    <n v="3"/>
    <s v="Female"/>
    <n v="80"/>
    <n v="2"/>
    <n v="3"/>
    <s v="Sales Executive"/>
    <n v="1"/>
    <s v="Married"/>
    <n v="10266"/>
    <n v="2845"/>
    <n v="4"/>
    <s v="Y"/>
    <s v="No"/>
    <n v="19"/>
    <n v="3"/>
    <n v="4"/>
    <n v="80"/>
    <n v="0"/>
    <n v="22"/>
    <n v="5"/>
    <n v="4"/>
    <n v="18"/>
    <n v="13"/>
    <n v="13"/>
    <n v="11"/>
    <s v="LAB-573"/>
    <x v="0"/>
    <x v="0"/>
    <x v="1"/>
    <n v="18"/>
    <x v="0"/>
  </r>
  <r>
    <n v="47"/>
    <s v="No"/>
    <s v="Travel_Rarely"/>
    <n v="983"/>
    <x v="1"/>
    <n v="2"/>
    <n v="2"/>
    <s v="Medical"/>
    <n v="1"/>
    <n v="574"/>
    <n v="1"/>
    <s v="Female"/>
    <n v="65"/>
    <n v="3"/>
    <n v="2"/>
    <s v="Manufacturing Director"/>
    <n v="4"/>
    <s v="Divorced"/>
    <n v="5070"/>
    <n v="7389"/>
    <n v="5"/>
    <s v="Y"/>
    <s v="No"/>
    <n v="13"/>
    <n v="3"/>
    <n v="3"/>
    <n v="80"/>
    <n v="3"/>
    <n v="20"/>
    <n v="2"/>
    <n v="3"/>
    <n v="5"/>
    <n v="0"/>
    <n v="0"/>
    <n v="4"/>
    <s v="LAB-574"/>
    <x v="3"/>
    <x v="1"/>
    <x v="1"/>
    <n v="5"/>
    <x v="0"/>
  </r>
  <r>
    <n v="46"/>
    <s v="No"/>
    <s v="Travel_Rarely"/>
    <n v="1009"/>
    <x v="1"/>
    <n v="2"/>
    <n v="3"/>
    <s v="Life Sciences"/>
    <n v="1"/>
    <n v="575"/>
    <n v="1"/>
    <s v="Male"/>
    <n v="51"/>
    <n v="3"/>
    <n v="4"/>
    <s v="Research Director"/>
    <n v="3"/>
    <s v="Married"/>
    <n v="17861"/>
    <n v="2288"/>
    <n v="6"/>
    <s v="Y"/>
    <s v="No"/>
    <n v="13"/>
    <n v="3"/>
    <n v="3"/>
    <n v="80"/>
    <n v="0"/>
    <n v="26"/>
    <n v="2"/>
    <n v="1"/>
    <n v="3"/>
    <n v="2"/>
    <n v="0"/>
    <n v="1"/>
    <s v="LAB-575"/>
    <x v="7"/>
    <x v="1"/>
    <x v="1"/>
    <n v="3"/>
    <x v="0"/>
  </r>
  <r>
    <n v="35"/>
    <s v="No"/>
    <s v="Travel_Rarely"/>
    <n v="144"/>
    <x v="1"/>
    <n v="22"/>
    <n v="3"/>
    <s v="Life Sciences"/>
    <n v="1"/>
    <n v="577"/>
    <n v="4"/>
    <s v="Male"/>
    <n v="46"/>
    <n v="1"/>
    <n v="1"/>
    <s v="Laboratory Technician"/>
    <n v="3"/>
    <s v="Single"/>
    <n v="4230"/>
    <n v="19225"/>
    <n v="0"/>
    <s v="Y"/>
    <s v="No"/>
    <n v="15"/>
    <n v="3"/>
    <n v="3"/>
    <n v="80"/>
    <n v="0"/>
    <n v="6"/>
    <n v="2"/>
    <n v="3"/>
    <n v="5"/>
    <n v="4"/>
    <n v="4"/>
    <n v="3"/>
    <s v="LAB-577"/>
    <x v="2"/>
    <x v="1"/>
    <x v="1"/>
    <n v="5"/>
    <x v="0"/>
  </r>
  <r>
    <n v="54"/>
    <s v="No"/>
    <s v="Travel_Rarely"/>
    <n v="548"/>
    <x v="1"/>
    <n v="8"/>
    <n v="4"/>
    <s v="Life Sciences"/>
    <n v="1"/>
    <n v="578"/>
    <n v="3"/>
    <s v="Female"/>
    <n v="42"/>
    <n v="3"/>
    <n v="2"/>
    <s v="Laboratory Technician"/>
    <n v="3"/>
    <s v="Single"/>
    <n v="3780"/>
    <n v="23428"/>
    <n v="7"/>
    <s v="Y"/>
    <s v="No"/>
    <n v="11"/>
    <n v="3"/>
    <n v="3"/>
    <n v="80"/>
    <n v="0"/>
    <n v="19"/>
    <n v="3"/>
    <n v="3"/>
    <n v="1"/>
    <n v="0"/>
    <n v="0"/>
    <n v="0"/>
    <s v="LAB-578"/>
    <x v="2"/>
    <x v="1"/>
    <x v="1"/>
    <n v="1"/>
    <x v="0"/>
  </r>
  <r>
    <n v="34"/>
    <s v="No"/>
    <s v="Travel_Rarely"/>
    <n v="1303"/>
    <x v="1"/>
    <n v="2"/>
    <n v="4"/>
    <s v="Life Sciences"/>
    <n v="1"/>
    <n v="579"/>
    <n v="4"/>
    <s v="Male"/>
    <n v="62"/>
    <n v="2"/>
    <n v="1"/>
    <s v="Research Scientist"/>
    <n v="3"/>
    <s v="Divorced"/>
    <n v="2768"/>
    <n v="8416"/>
    <n v="3"/>
    <s v="Y"/>
    <s v="No"/>
    <n v="12"/>
    <n v="3"/>
    <n v="3"/>
    <n v="80"/>
    <n v="1"/>
    <n v="14"/>
    <n v="3"/>
    <n v="3"/>
    <n v="7"/>
    <n v="3"/>
    <n v="5"/>
    <n v="7"/>
    <s v="LAB-579"/>
    <x v="1"/>
    <x v="1"/>
    <x v="1"/>
    <n v="7"/>
    <x v="0"/>
  </r>
  <r>
    <n v="46"/>
    <s v="No"/>
    <s v="Travel_Rarely"/>
    <n v="1125"/>
    <x v="0"/>
    <n v="10"/>
    <n v="3"/>
    <s v="Marketing"/>
    <n v="1"/>
    <n v="580"/>
    <n v="3"/>
    <s v="Female"/>
    <n v="94"/>
    <n v="2"/>
    <n v="3"/>
    <s v="Sales Executive"/>
    <n v="4"/>
    <s v="Married"/>
    <n v="9071"/>
    <n v="11563"/>
    <n v="2"/>
    <s v="Y"/>
    <s v="Yes"/>
    <n v="19"/>
    <n v="3"/>
    <n v="3"/>
    <n v="80"/>
    <n v="1"/>
    <n v="15"/>
    <n v="3"/>
    <n v="3"/>
    <n v="3"/>
    <n v="2"/>
    <n v="1"/>
    <n v="2"/>
    <s v="LAB-580"/>
    <x v="0"/>
    <x v="0"/>
    <x v="1"/>
    <n v="3"/>
    <x v="0"/>
  </r>
  <r>
    <n v="31"/>
    <s v="No"/>
    <s v="Travel_Rarely"/>
    <n v="1274"/>
    <x v="1"/>
    <n v="9"/>
    <n v="1"/>
    <s v="Life Sciences"/>
    <n v="1"/>
    <n v="581"/>
    <n v="3"/>
    <s v="Male"/>
    <n v="33"/>
    <n v="3"/>
    <n v="3"/>
    <s v="Manufacturing Director"/>
    <n v="2"/>
    <s v="Divorced"/>
    <n v="10648"/>
    <n v="14394"/>
    <n v="1"/>
    <s v="Y"/>
    <s v="No"/>
    <n v="25"/>
    <n v="4"/>
    <n v="4"/>
    <n v="80"/>
    <n v="1"/>
    <n v="13"/>
    <n v="6"/>
    <n v="4"/>
    <n v="13"/>
    <n v="8"/>
    <n v="0"/>
    <n v="8"/>
    <s v="LAB-581"/>
    <x v="3"/>
    <x v="1"/>
    <x v="1"/>
    <n v="13"/>
    <x v="0"/>
  </r>
  <r>
    <n v="33"/>
    <s v="Yes"/>
    <s v="Travel_Rarely"/>
    <n v="1277"/>
    <x v="1"/>
    <n v="15"/>
    <n v="1"/>
    <s v="Medical"/>
    <n v="1"/>
    <n v="582"/>
    <n v="2"/>
    <s v="Male"/>
    <n v="56"/>
    <n v="3"/>
    <n v="3"/>
    <s v="Manager"/>
    <n v="3"/>
    <s v="Married"/>
    <n v="13610"/>
    <n v="24619"/>
    <n v="7"/>
    <s v="Y"/>
    <s v="Yes"/>
    <n v="12"/>
    <n v="3"/>
    <n v="4"/>
    <n v="80"/>
    <n v="0"/>
    <n v="15"/>
    <n v="2"/>
    <n v="4"/>
    <n v="7"/>
    <n v="6"/>
    <n v="7"/>
    <n v="7"/>
    <s v="LAB-582"/>
    <x v="5"/>
    <x v="1"/>
    <x v="0"/>
    <n v="7"/>
    <x v="0"/>
  </r>
  <r>
    <n v="33"/>
    <s v="Yes"/>
    <s v="Travel_Rarely"/>
    <n v="587"/>
    <x v="1"/>
    <n v="10"/>
    <n v="1"/>
    <s v="Medical"/>
    <n v="1"/>
    <n v="584"/>
    <n v="1"/>
    <s v="Male"/>
    <n v="38"/>
    <n v="1"/>
    <n v="1"/>
    <s v="Laboratory Technician"/>
    <n v="4"/>
    <s v="Divorced"/>
    <n v="3408"/>
    <n v="6705"/>
    <n v="7"/>
    <s v="Y"/>
    <s v="No"/>
    <n v="13"/>
    <n v="3"/>
    <n v="1"/>
    <n v="80"/>
    <n v="3"/>
    <n v="8"/>
    <n v="2"/>
    <n v="3"/>
    <n v="4"/>
    <n v="3"/>
    <n v="1"/>
    <n v="3"/>
    <s v="LAB-584"/>
    <x v="2"/>
    <x v="1"/>
    <x v="0"/>
    <n v="4"/>
    <x v="0"/>
  </r>
  <r>
    <n v="30"/>
    <s v="No"/>
    <s v="Travel_Rarely"/>
    <n v="413"/>
    <x v="0"/>
    <n v="7"/>
    <n v="1"/>
    <s v="Marketing"/>
    <n v="1"/>
    <n v="585"/>
    <n v="4"/>
    <s v="Male"/>
    <n v="57"/>
    <n v="3"/>
    <n v="1"/>
    <s v="Sales Representative"/>
    <n v="2"/>
    <s v="Single"/>
    <n v="2983"/>
    <n v="18398"/>
    <n v="0"/>
    <s v="Y"/>
    <s v="No"/>
    <n v="14"/>
    <n v="3"/>
    <n v="1"/>
    <n v="80"/>
    <n v="0"/>
    <n v="4"/>
    <n v="3"/>
    <n v="3"/>
    <n v="3"/>
    <n v="2"/>
    <n v="1"/>
    <n v="2"/>
    <s v="LAB-585"/>
    <x v="6"/>
    <x v="0"/>
    <x v="1"/>
    <n v="3"/>
    <x v="0"/>
  </r>
  <r>
    <n v="35"/>
    <s v="No"/>
    <s v="Travel_Rarely"/>
    <n v="1276"/>
    <x v="1"/>
    <n v="16"/>
    <n v="3"/>
    <s v="Life Sciences"/>
    <n v="1"/>
    <n v="586"/>
    <n v="4"/>
    <s v="Male"/>
    <n v="72"/>
    <n v="3"/>
    <n v="3"/>
    <s v="Healthcare Representative"/>
    <n v="3"/>
    <s v="Married"/>
    <n v="7632"/>
    <n v="14295"/>
    <n v="4"/>
    <s v="Y"/>
    <s v="Yes"/>
    <n v="12"/>
    <n v="3"/>
    <n v="3"/>
    <n v="80"/>
    <n v="0"/>
    <n v="10"/>
    <n v="2"/>
    <n v="3"/>
    <n v="8"/>
    <n v="7"/>
    <n v="0"/>
    <n v="0"/>
    <s v="LAB-586"/>
    <x v="4"/>
    <x v="1"/>
    <x v="1"/>
    <n v="8"/>
    <x v="0"/>
  </r>
  <r>
    <n v="31"/>
    <s v="Yes"/>
    <s v="Travel_Frequently"/>
    <n v="534"/>
    <x v="1"/>
    <n v="20"/>
    <n v="3"/>
    <s v="Life Sciences"/>
    <n v="1"/>
    <n v="587"/>
    <n v="1"/>
    <s v="Male"/>
    <n v="66"/>
    <n v="3"/>
    <n v="3"/>
    <s v="Healthcare Representative"/>
    <n v="3"/>
    <s v="Married"/>
    <n v="9824"/>
    <n v="22908"/>
    <n v="3"/>
    <s v="Y"/>
    <s v="No"/>
    <n v="12"/>
    <n v="3"/>
    <n v="1"/>
    <n v="80"/>
    <n v="0"/>
    <n v="12"/>
    <n v="2"/>
    <n v="3"/>
    <n v="1"/>
    <n v="0"/>
    <n v="0"/>
    <n v="0"/>
    <s v="LAB-587"/>
    <x v="4"/>
    <x v="1"/>
    <x v="0"/>
    <n v="1"/>
    <x v="0"/>
  </r>
  <r>
    <n v="34"/>
    <s v="Yes"/>
    <s v="Travel_Frequently"/>
    <n v="988"/>
    <x v="2"/>
    <n v="23"/>
    <n v="3"/>
    <s v="Human Resources"/>
    <n v="1"/>
    <n v="590"/>
    <n v="2"/>
    <s v="Female"/>
    <n v="43"/>
    <n v="3"/>
    <n v="3"/>
    <s v="Human Resources"/>
    <n v="1"/>
    <s v="Divorced"/>
    <n v="9950"/>
    <n v="11533"/>
    <n v="9"/>
    <s v="Y"/>
    <s v="Yes"/>
    <n v="15"/>
    <n v="3"/>
    <n v="3"/>
    <n v="80"/>
    <n v="3"/>
    <n v="11"/>
    <n v="2"/>
    <n v="3"/>
    <n v="3"/>
    <n v="2"/>
    <n v="0"/>
    <n v="2"/>
    <s v="LAB-590"/>
    <x v="8"/>
    <x v="2"/>
    <x v="0"/>
    <n v="3"/>
    <x v="0"/>
  </r>
  <r>
    <n v="42"/>
    <s v="No"/>
    <s v="Travel_Frequently"/>
    <n v="1474"/>
    <x v="1"/>
    <n v="5"/>
    <n v="2"/>
    <s v="Other"/>
    <n v="1"/>
    <n v="591"/>
    <n v="2"/>
    <s v="Male"/>
    <n v="97"/>
    <n v="3"/>
    <n v="1"/>
    <s v="Laboratory Technician"/>
    <n v="3"/>
    <s v="Married"/>
    <n v="2093"/>
    <n v="9260"/>
    <n v="4"/>
    <s v="Y"/>
    <s v="No"/>
    <n v="17"/>
    <n v="3"/>
    <n v="4"/>
    <n v="80"/>
    <n v="1"/>
    <n v="8"/>
    <n v="4"/>
    <n v="3"/>
    <n v="2"/>
    <n v="2"/>
    <n v="2"/>
    <n v="0"/>
    <s v="LAB-591"/>
    <x v="2"/>
    <x v="1"/>
    <x v="1"/>
    <n v="2"/>
    <x v="0"/>
  </r>
  <r>
    <n v="36"/>
    <s v="No"/>
    <s v="Non-Travel"/>
    <n v="635"/>
    <x v="0"/>
    <n v="10"/>
    <n v="4"/>
    <s v="Medical"/>
    <n v="1"/>
    <n v="592"/>
    <n v="2"/>
    <s v="Male"/>
    <n v="32"/>
    <n v="3"/>
    <n v="3"/>
    <s v="Sales Executive"/>
    <n v="4"/>
    <s v="Single"/>
    <n v="9980"/>
    <n v="15318"/>
    <n v="1"/>
    <s v="Y"/>
    <s v="No"/>
    <n v="14"/>
    <n v="3"/>
    <n v="4"/>
    <n v="80"/>
    <n v="0"/>
    <n v="10"/>
    <n v="3"/>
    <n v="2"/>
    <n v="10"/>
    <n v="3"/>
    <n v="9"/>
    <n v="7"/>
    <s v="LAB-592"/>
    <x v="0"/>
    <x v="0"/>
    <x v="1"/>
    <n v="10"/>
    <x v="0"/>
  </r>
  <r>
    <n v="22"/>
    <s v="Yes"/>
    <s v="Travel_Frequently"/>
    <n v="1368"/>
    <x v="1"/>
    <n v="4"/>
    <n v="1"/>
    <s v="Technical Degree"/>
    <n v="1"/>
    <n v="593"/>
    <n v="3"/>
    <s v="Male"/>
    <n v="99"/>
    <n v="2"/>
    <n v="1"/>
    <s v="Laboratory Technician"/>
    <n v="3"/>
    <s v="Single"/>
    <n v="3894"/>
    <n v="9129"/>
    <n v="5"/>
    <s v="Y"/>
    <s v="No"/>
    <n v="16"/>
    <n v="3"/>
    <n v="3"/>
    <n v="80"/>
    <n v="0"/>
    <n v="4"/>
    <n v="3"/>
    <n v="3"/>
    <n v="2"/>
    <n v="2"/>
    <n v="1"/>
    <n v="2"/>
    <s v="LAB-593"/>
    <x v="2"/>
    <x v="1"/>
    <x v="0"/>
    <n v="2"/>
    <x v="0"/>
  </r>
  <r>
    <n v="48"/>
    <s v="No"/>
    <s v="Travel_Rarely"/>
    <n v="163"/>
    <x v="0"/>
    <n v="2"/>
    <n v="5"/>
    <s v="Marketing"/>
    <n v="1"/>
    <n v="595"/>
    <n v="2"/>
    <s v="Female"/>
    <n v="37"/>
    <n v="3"/>
    <n v="2"/>
    <s v="Sales Executive"/>
    <n v="4"/>
    <s v="Married"/>
    <n v="4051"/>
    <n v="19658"/>
    <n v="2"/>
    <s v="Y"/>
    <s v="No"/>
    <n v="14"/>
    <n v="3"/>
    <n v="1"/>
    <n v="80"/>
    <n v="1"/>
    <n v="14"/>
    <n v="2"/>
    <n v="3"/>
    <n v="9"/>
    <n v="7"/>
    <n v="6"/>
    <n v="7"/>
    <s v="LAB-595"/>
    <x v="0"/>
    <x v="0"/>
    <x v="1"/>
    <n v="9"/>
    <x v="0"/>
  </r>
  <r>
    <n v="55"/>
    <s v="No"/>
    <s v="Travel_Rarely"/>
    <n v="1117"/>
    <x v="0"/>
    <n v="18"/>
    <n v="5"/>
    <s v="Life Sciences"/>
    <n v="1"/>
    <n v="597"/>
    <n v="1"/>
    <s v="Female"/>
    <n v="83"/>
    <n v="3"/>
    <n v="4"/>
    <s v="Manager"/>
    <n v="2"/>
    <s v="Single"/>
    <n v="16835"/>
    <n v="9873"/>
    <n v="3"/>
    <s v="Y"/>
    <s v="No"/>
    <n v="23"/>
    <n v="4"/>
    <n v="4"/>
    <n v="80"/>
    <n v="0"/>
    <n v="37"/>
    <n v="2"/>
    <n v="3"/>
    <n v="10"/>
    <n v="9"/>
    <n v="7"/>
    <n v="7"/>
    <s v="LAB-597"/>
    <x v="5"/>
    <x v="0"/>
    <x v="1"/>
    <n v="10"/>
    <x v="0"/>
  </r>
  <r>
    <n v="41"/>
    <s v="No"/>
    <s v="Non-Travel"/>
    <n v="267"/>
    <x v="0"/>
    <n v="10"/>
    <n v="2"/>
    <s v="Life Sciences"/>
    <n v="1"/>
    <n v="599"/>
    <n v="4"/>
    <s v="Male"/>
    <n v="56"/>
    <n v="3"/>
    <n v="2"/>
    <s v="Sales Executive"/>
    <n v="4"/>
    <s v="Single"/>
    <n v="6230"/>
    <n v="13430"/>
    <n v="7"/>
    <s v="Y"/>
    <s v="No"/>
    <n v="14"/>
    <n v="3"/>
    <n v="4"/>
    <n v="80"/>
    <n v="0"/>
    <n v="16"/>
    <n v="3"/>
    <n v="3"/>
    <n v="14"/>
    <n v="3"/>
    <n v="1"/>
    <n v="10"/>
    <s v="LAB-599"/>
    <x v="0"/>
    <x v="0"/>
    <x v="1"/>
    <n v="14"/>
    <x v="0"/>
  </r>
  <r>
    <n v="35"/>
    <s v="No"/>
    <s v="Travel_Rarely"/>
    <n v="619"/>
    <x v="0"/>
    <n v="1"/>
    <n v="3"/>
    <s v="Marketing"/>
    <n v="1"/>
    <n v="600"/>
    <n v="2"/>
    <s v="Male"/>
    <n v="85"/>
    <n v="3"/>
    <n v="2"/>
    <s v="Sales Executive"/>
    <n v="3"/>
    <s v="Married"/>
    <n v="4717"/>
    <n v="18659"/>
    <n v="9"/>
    <s v="Y"/>
    <s v="No"/>
    <n v="11"/>
    <n v="3"/>
    <n v="3"/>
    <n v="80"/>
    <n v="0"/>
    <n v="15"/>
    <n v="2"/>
    <n v="3"/>
    <n v="11"/>
    <n v="9"/>
    <n v="6"/>
    <n v="9"/>
    <s v="LAB-600"/>
    <x v="0"/>
    <x v="0"/>
    <x v="1"/>
    <n v="11"/>
    <x v="0"/>
  </r>
  <r>
    <n v="40"/>
    <s v="No"/>
    <s v="Travel_Rarely"/>
    <n v="302"/>
    <x v="1"/>
    <n v="6"/>
    <n v="3"/>
    <s v="Life Sciences"/>
    <n v="1"/>
    <n v="601"/>
    <n v="2"/>
    <s v="Female"/>
    <n v="75"/>
    <n v="3"/>
    <n v="4"/>
    <s v="Manufacturing Director"/>
    <n v="3"/>
    <s v="Single"/>
    <n v="13237"/>
    <n v="20364"/>
    <n v="7"/>
    <s v="Y"/>
    <s v="No"/>
    <n v="15"/>
    <n v="3"/>
    <n v="3"/>
    <n v="80"/>
    <n v="0"/>
    <n v="22"/>
    <n v="3"/>
    <n v="3"/>
    <n v="20"/>
    <n v="6"/>
    <n v="5"/>
    <n v="13"/>
    <s v="LAB-601"/>
    <x v="3"/>
    <x v="1"/>
    <x v="1"/>
    <n v="20"/>
    <x v="0"/>
  </r>
  <r>
    <n v="39"/>
    <s v="No"/>
    <s v="Travel_Frequently"/>
    <n v="443"/>
    <x v="1"/>
    <n v="8"/>
    <n v="1"/>
    <s v="Life Sciences"/>
    <n v="1"/>
    <n v="602"/>
    <n v="3"/>
    <s v="Female"/>
    <n v="48"/>
    <n v="3"/>
    <n v="1"/>
    <s v="Laboratory Technician"/>
    <n v="3"/>
    <s v="Married"/>
    <n v="3755"/>
    <n v="17872"/>
    <n v="1"/>
    <s v="Y"/>
    <s v="No"/>
    <n v="11"/>
    <n v="3"/>
    <n v="1"/>
    <n v="80"/>
    <n v="1"/>
    <n v="8"/>
    <n v="3"/>
    <n v="3"/>
    <n v="8"/>
    <n v="3"/>
    <n v="0"/>
    <n v="7"/>
    <s v="LAB-602"/>
    <x v="2"/>
    <x v="1"/>
    <x v="1"/>
    <n v="8"/>
    <x v="0"/>
  </r>
  <r>
    <n v="31"/>
    <s v="No"/>
    <s v="Travel_Rarely"/>
    <n v="828"/>
    <x v="0"/>
    <n v="2"/>
    <n v="1"/>
    <s v="Life Sciences"/>
    <n v="1"/>
    <n v="604"/>
    <n v="2"/>
    <s v="Male"/>
    <n v="77"/>
    <n v="3"/>
    <n v="2"/>
    <s v="Sales Executive"/>
    <n v="4"/>
    <s v="Single"/>
    <n v="6582"/>
    <n v="8346"/>
    <n v="4"/>
    <s v="Y"/>
    <s v="Yes"/>
    <n v="13"/>
    <n v="3"/>
    <n v="3"/>
    <n v="80"/>
    <n v="0"/>
    <n v="10"/>
    <n v="2"/>
    <n v="4"/>
    <n v="6"/>
    <n v="5"/>
    <n v="0"/>
    <n v="5"/>
    <s v="LAB-604"/>
    <x v="0"/>
    <x v="0"/>
    <x v="1"/>
    <n v="6"/>
    <x v="0"/>
  </r>
  <r>
    <n v="42"/>
    <s v="No"/>
    <s v="Travel_Rarely"/>
    <n v="319"/>
    <x v="1"/>
    <n v="24"/>
    <n v="3"/>
    <s v="Medical"/>
    <n v="1"/>
    <n v="605"/>
    <n v="4"/>
    <s v="Male"/>
    <n v="56"/>
    <n v="3"/>
    <n v="3"/>
    <s v="Manufacturing Director"/>
    <n v="1"/>
    <s v="Married"/>
    <n v="7406"/>
    <n v="6950"/>
    <n v="1"/>
    <s v="Y"/>
    <s v="Yes"/>
    <n v="21"/>
    <n v="4"/>
    <n v="4"/>
    <n v="80"/>
    <n v="1"/>
    <n v="10"/>
    <n v="5"/>
    <n v="2"/>
    <n v="10"/>
    <n v="9"/>
    <n v="5"/>
    <n v="8"/>
    <s v="LAB-605"/>
    <x v="3"/>
    <x v="1"/>
    <x v="1"/>
    <n v="10"/>
    <x v="0"/>
  </r>
  <r>
    <n v="45"/>
    <s v="No"/>
    <s v="Travel_Rarely"/>
    <n v="561"/>
    <x v="0"/>
    <n v="2"/>
    <n v="3"/>
    <s v="Other"/>
    <n v="1"/>
    <n v="606"/>
    <n v="4"/>
    <s v="Male"/>
    <n v="61"/>
    <n v="3"/>
    <n v="2"/>
    <s v="Sales Executive"/>
    <n v="2"/>
    <s v="Married"/>
    <n v="4805"/>
    <n v="16177"/>
    <n v="0"/>
    <s v="Y"/>
    <s v="No"/>
    <n v="19"/>
    <n v="3"/>
    <n v="2"/>
    <n v="80"/>
    <n v="1"/>
    <n v="9"/>
    <n v="3"/>
    <n v="4"/>
    <n v="8"/>
    <n v="7"/>
    <n v="3"/>
    <n v="7"/>
    <s v="LAB-606"/>
    <x v="0"/>
    <x v="0"/>
    <x v="1"/>
    <n v="8"/>
    <x v="0"/>
  </r>
  <r>
    <n v="26"/>
    <s v="Yes"/>
    <s v="Travel_Frequently"/>
    <n v="426"/>
    <x v="2"/>
    <n v="17"/>
    <n v="4"/>
    <s v="Life Sciences"/>
    <n v="1"/>
    <n v="608"/>
    <n v="2"/>
    <s v="Female"/>
    <n v="58"/>
    <n v="3"/>
    <n v="1"/>
    <s v="Human Resources"/>
    <n v="3"/>
    <s v="Divorced"/>
    <n v="2741"/>
    <n v="22808"/>
    <n v="0"/>
    <s v="Y"/>
    <s v="Yes"/>
    <n v="11"/>
    <n v="3"/>
    <n v="2"/>
    <n v="80"/>
    <n v="1"/>
    <n v="8"/>
    <n v="2"/>
    <n v="2"/>
    <n v="7"/>
    <n v="7"/>
    <n v="1"/>
    <n v="0"/>
    <s v="LAB-608"/>
    <x v="8"/>
    <x v="2"/>
    <x v="0"/>
    <n v="7"/>
    <x v="0"/>
  </r>
  <r>
    <n v="29"/>
    <s v="No"/>
    <s v="Travel_Rarely"/>
    <n v="232"/>
    <x v="1"/>
    <n v="19"/>
    <n v="3"/>
    <s v="Technical Degree"/>
    <n v="1"/>
    <n v="611"/>
    <n v="4"/>
    <s v="Male"/>
    <n v="34"/>
    <n v="3"/>
    <n v="2"/>
    <s v="Manufacturing Director"/>
    <n v="4"/>
    <s v="Divorced"/>
    <n v="4262"/>
    <n v="22645"/>
    <n v="4"/>
    <s v="Y"/>
    <s v="No"/>
    <n v="12"/>
    <n v="3"/>
    <n v="2"/>
    <n v="80"/>
    <n v="2"/>
    <n v="8"/>
    <n v="2"/>
    <n v="4"/>
    <n v="3"/>
    <n v="2"/>
    <n v="1"/>
    <n v="2"/>
    <s v="LAB-611"/>
    <x v="3"/>
    <x v="1"/>
    <x v="1"/>
    <n v="3"/>
    <x v="0"/>
  </r>
  <r>
    <n v="33"/>
    <s v="No"/>
    <s v="Travel_Rarely"/>
    <n v="922"/>
    <x v="1"/>
    <n v="1"/>
    <n v="5"/>
    <s v="Medical"/>
    <n v="1"/>
    <n v="612"/>
    <n v="1"/>
    <s v="Female"/>
    <n v="95"/>
    <n v="4"/>
    <n v="4"/>
    <s v="Research Director"/>
    <n v="3"/>
    <s v="Divorced"/>
    <n v="16184"/>
    <n v="22578"/>
    <n v="4"/>
    <s v="Y"/>
    <s v="No"/>
    <n v="19"/>
    <n v="3"/>
    <n v="3"/>
    <n v="80"/>
    <n v="1"/>
    <n v="10"/>
    <n v="2"/>
    <n v="3"/>
    <n v="6"/>
    <n v="1"/>
    <n v="0"/>
    <n v="5"/>
    <s v="LAB-612"/>
    <x v="7"/>
    <x v="1"/>
    <x v="1"/>
    <n v="6"/>
    <x v="0"/>
  </r>
  <r>
    <n v="31"/>
    <s v="No"/>
    <s v="Travel_Rarely"/>
    <n v="688"/>
    <x v="0"/>
    <n v="7"/>
    <n v="3"/>
    <s v="Life Sciences"/>
    <n v="1"/>
    <n v="613"/>
    <n v="3"/>
    <s v="Male"/>
    <n v="44"/>
    <n v="2"/>
    <n v="3"/>
    <s v="Manager"/>
    <n v="4"/>
    <s v="Divorced"/>
    <n v="11557"/>
    <n v="25291"/>
    <n v="9"/>
    <s v="Y"/>
    <s v="No"/>
    <n v="21"/>
    <n v="4"/>
    <n v="3"/>
    <n v="80"/>
    <n v="1"/>
    <n v="10"/>
    <n v="3"/>
    <n v="2"/>
    <n v="5"/>
    <n v="4"/>
    <n v="0"/>
    <n v="1"/>
    <s v="LAB-613"/>
    <x v="5"/>
    <x v="0"/>
    <x v="1"/>
    <n v="5"/>
    <x v="0"/>
  </r>
  <r>
    <n v="18"/>
    <s v="Yes"/>
    <s v="Travel_Frequently"/>
    <n v="1306"/>
    <x v="0"/>
    <n v="5"/>
    <n v="3"/>
    <s v="Marketing"/>
    <n v="1"/>
    <n v="614"/>
    <n v="2"/>
    <s v="Male"/>
    <n v="69"/>
    <n v="3"/>
    <n v="1"/>
    <s v="Sales Representative"/>
    <n v="2"/>
    <s v="Single"/>
    <n v="1878"/>
    <n v="8059"/>
    <n v="1"/>
    <s v="Y"/>
    <s v="Yes"/>
    <n v="14"/>
    <n v="3"/>
    <n v="4"/>
    <n v="80"/>
    <n v="0"/>
    <n v="0"/>
    <n v="3"/>
    <n v="3"/>
    <n v="0"/>
    <n v="0"/>
    <n v="0"/>
    <n v="0"/>
    <s v="LAB-614"/>
    <x v="6"/>
    <x v="0"/>
    <x v="0"/>
    <n v="0"/>
    <x v="0"/>
  </r>
  <r>
    <n v="40"/>
    <s v="No"/>
    <s v="Non-Travel"/>
    <n v="1094"/>
    <x v="0"/>
    <n v="28"/>
    <n v="3"/>
    <s v="Other"/>
    <n v="1"/>
    <n v="615"/>
    <n v="3"/>
    <s v="Male"/>
    <n v="58"/>
    <n v="1"/>
    <n v="3"/>
    <s v="Sales Executive"/>
    <n v="1"/>
    <s v="Divorced"/>
    <n v="10932"/>
    <n v="11373"/>
    <n v="3"/>
    <s v="Y"/>
    <s v="No"/>
    <n v="15"/>
    <n v="3"/>
    <n v="3"/>
    <n v="80"/>
    <n v="1"/>
    <n v="20"/>
    <n v="2"/>
    <n v="3"/>
    <n v="1"/>
    <n v="0"/>
    <n v="0"/>
    <n v="1"/>
    <s v="LAB-615"/>
    <x v="0"/>
    <x v="0"/>
    <x v="1"/>
    <n v="1"/>
    <x v="0"/>
  </r>
  <r>
    <n v="41"/>
    <s v="No"/>
    <s v="Non-Travel"/>
    <n v="509"/>
    <x v="1"/>
    <n v="2"/>
    <n v="4"/>
    <s v="Other"/>
    <n v="1"/>
    <n v="616"/>
    <n v="1"/>
    <s v="Female"/>
    <n v="62"/>
    <n v="2"/>
    <n v="2"/>
    <s v="Healthcare Representative"/>
    <n v="3"/>
    <s v="Single"/>
    <n v="6811"/>
    <n v="2112"/>
    <n v="2"/>
    <s v="Y"/>
    <s v="Yes"/>
    <n v="17"/>
    <n v="3"/>
    <n v="1"/>
    <n v="80"/>
    <n v="0"/>
    <n v="10"/>
    <n v="3"/>
    <n v="3"/>
    <n v="8"/>
    <n v="7"/>
    <n v="0"/>
    <n v="7"/>
    <s v="LAB-616"/>
    <x v="4"/>
    <x v="1"/>
    <x v="1"/>
    <n v="8"/>
    <x v="0"/>
  </r>
  <r>
    <n v="26"/>
    <s v="No"/>
    <s v="Travel_Rarely"/>
    <n v="775"/>
    <x v="0"/>
    <n v="29"/>
    <n v="2"/>
    <s v="Medical"/>
    <n v="1"/>
    <n v="618"/>
    <n v="1"/>
    <s v="Male"/>
    <n v="45"/>
    <n v="3"/>
    <n v="2"/>
    <s v="Sales Executive"/>
    <n v="3"/>
    <s v="Divorced"/>
    <n v="4306"/>
    <n v="4267"/>
    <n v="5"/>
    <s v="Y"/>
    <s v="No"/>
    <n v="12"/>
    <n v="3"/>
    <n v="1"/>
    <n v="80"/>
    <n v="2"/>
    <n v="8"/>
    <n v="5"/>
    <n v="3"/>
    <n v="0"/>
    <n v="0"/>
    <n v="0"/>
    <n v="0"/>
    <s v="LAB-618"/>
    <x v="0"/>
    <x v="0"/>
    <x v="1"/>
    <n v="0"/>
    <x v="0"/>
  </r>
  <r>
    <n v="35"/>
    <s v="No"/>
    <s v="Travel_Rarely"/>
    <n v="195"/>
    <x v="0"/>
    <n v="1"/>
    <n v="3"/>
    <s v="Medical"/>
    <n v="1"/>
    <n v="620"/>
    <n v="1"/>
    <s v="Female"/>
    <n v="80"/>
    <n v="3"/>
    <n v="2"/>
    <s v="Sales Executive"/>
    <n v="3"/>
    <s v="Single"/>
    <n v="4859"/>
    <n v="6698"/>
    <n v="1"/>
    <s v="Y"/>
    <s v="No"/>
    <n v="16"/>
    <n v="3"/>
    <n v="4"/>
    <n v="80"/>
    <n v="0"/>
    <n v="5"/>
    <n v="3"/>
    <n v="3"/>
    <n v="5"/>
    <n v="4"/>
    <n v="0"/>
    <n v="3"/>
    <s v="LAB-620"/>
    <x v="0"/>
    <x v="0"/>
    <x v="1"/>
    <n v="5"/>
    <x v="0"/>
  </r>
  <r>
    <n v="34"/>
    <s v="No"/>
    <s v="Travel_Rarely"/>
    <n v="258"/>
    <x v="0"/>
    <n v="21"/>
    <n v="4"/>
    <s v="Life Sciences"/>
    <n v="1"/>
    <n v="621"/>
    <n v="4"/>
    <s v="Male"/>
    <n v="74"/>
    <n v="4"/>
    <n v="2"/>
    <s v="Sales Executive"/>
    <n v="4"/>
    <s v="Single"/>
    <n v="5337"/>
    <n v="19921"/>
    <n v="1"/>
    <s v="Y"/>
    <s v="No"/>
    <n v="12"/>
    <n v="3"/>
    <n v="4"/>
    <n v="80"/>
    <n v="0"/>
    <n v="10"/>
    <n v="3"/>
    <n v="3"/>
    <n v="10"/>
    <n v="7"/>
    <n v="5"/>
    <n v="7"/>
    <s v="LAB-621"/>
    <x v="0"/>
    <x v="0"/>
    <x v="1"/>
    <n v="10"/>
    <x v="0"/>
  </r>
  <r>
    <n v="26"/>
    <s v="Yes"/>
    <s v="Travel_Rarely"/>
    <n v="471"/>
    <x v="1"/>
    <n v="24"/>
    <n v="3"/>
    <s v="Technical Degree"/>
    <n v="1"/>
    <n v="622"/>
    <n v="3"/>
    <s v="Male"/>
    <n v="66"/>
    <n v="1"/>
    <n v="1"/>
    <s v="Laboratory Technician"/>
    <n v="4"/>
    <s v="Single"/>
    <n v="2340"/>
    <n v="23213"/>
    <n v="1"/>
    <s v="Y"/>
    <s v="Yes"/>
    <n v="18"/>
    <n v="3"/>
    <n v="2"/>
    <n v="80"/>
    <n v="0"/>
    <n v="1"/>
    <n v="3"/>
    <n v="1"/>
    <n v="1"/>
    <n v="0"/>
    <n v="0"/>
    <n v="0"/>
    <s v="LAB-622"/>
    <x v="2"/>
    <x v="1"/>
    <x v="0"/>
    <n v="1"/>
    <x v="0"/>
  </r>
  <r>
    <n v="37"/>
    <s v="No"/>
    <s v="Travel_Rarely"/>
    <n v="799"/>
    <x v="1"/>
    <n v="1"/>
    <n v="3"/>
    <s v="Technical Degree"/>
    <n v="1"/>
    <n v="623"/>
    <n v="2"/>
    <s v="Female"/>
    <n v="59"/>
    <n v="3"/>
    <n v="3"/>
    <s v="Manufacturing Director"/>
    <n v="4"/>
    <s v="Single"/>
    <n v="7491"/>
    <n v="23848"/>
    <n v="4"/>
    <s v="Y"/>
    <s v="No"/>
    <n v="17"/>
    <n v="3"/>
    <n v="4"/>
    <n v="80"/>
    <n v="0"/>
    <n v="12"/>
    <n v="3"/>
    <n v="4"/>
    <n v="6"/>
    <n v="5"/>
    <n v="1"/>
    <n v="2"/>
    <s v="LAB-623"/>
    <x v="3"/>
    <x v="1"/>
    <x v="1"/>
    <n v="6"/>
    <x v="0"/>
  </r>
  <r>
    <n v="46"/>
    <s v="No"/>
    <s v="Travel_Frequently"/>
    <n v="1034"/>
    <x v="1"/>
    <n v="18"/>
    <n v="1"/>
    <s v="Medical"/>
    <n v="1"/>
    <n v="624"/>
    <n v="1"/>
    <s v="Female"/>
    <n v="86"/>
    <n v="3"/>
    <n v="3"/>
    <s v="Healthcare Representative"/>
    <n v="3"/>
    <s v="Married"/>
    <n v="10527"/>
    <n v="8984"/>
    <n v="5"/>
    <s v="Y"/>
    <s v="No"/>
    <n v="11"/>
    <n v="3"/>
    <n v="4"/>
    <n v="80"/>
    <n v="0"/>
    <n v="28"/>
    <n v="3"/>
    <n v="2"/>
    <n v="2"/>
    <n v="2"/>
    <n v="1"/>
    <n v="2"/>
    <s v="LAB-624"/>
    <x v="4"/>
    <x v="1"/>
    <x v="1"/>
    <n v="2"/>
    <x v="0"/>
  </r>
  <r>
    <n v="41"/>
    <s v="No"/>
    <s v="Travel_Rarely"/>
    <n v="1276"/>
    <x v="0"/>
    <n v="2"/>
    <n v="5"/>
    <s v="Life Sciences"/>
    <n v="1"/>
    <n v="625"/>
    <n v="2"/>
    <s v="Female"/>
    <n v="91"/>
    <n v="3"/>
    <n v="4"/>
    <s v="Manager"/>
    <n v="1"/>
    <s v="Married"/>
    <n v="16595"/>
    <n v="5626"/>
    <n v="7"/>
    <s v="Y"/>
    <s v="No"/>
    <n v="16"/>
    <n v="3"/>
    <n v="2"/>
    <n v="80"/>
    <n v="1"/>
    <n v="22"/>
    <n v="2"/>
    <n v="3"/>
    <n v="18"/>
    <n v="16"/>
    <n v="11"/>
    <n v="8"/>
    <s v="LAB-625"/>
    <x v="5"/>
    <x v="0"/>
    <x v="1"/>
    <n v="18"/>
    <x v="0"/>
  </r>
  <r>
    <n v="37"/>
    <s v="No"/>
    <s v="Non-Travel"/>
    <n v="142"/>
    <x v="0"/>
    <n v="9"/>
    <n v="4"/>
    <s v="Medical"/>
    <n v="1"/>
    <n v="626"/>
    <n v="1"/>
    <s v="Male"/>
    <n v="69"/>
    <n v="3"/>
    <n v="3"/>
    <s v="Sales Executive"/>
    <n v="2"/>
    <s v="Divorced"/>
    <n v="8834"/>
    <n v="24666"/>
    <n v="1"/>
    <s v="Y"/>
    <s v="No"/>
    <n v="13"/>
    <n v="3"/>
    <n v="4"/>
    <n v="80"/>
    <n v="1"/>
    <n v="9"/>
    <n v="6"/>
    <n v="3"/>
    <n v="9"/>
    <n v="5"/>
    <n v="7"/>
    <n v="7"/>
    <s v="LAB-626"/>
    <x v="0"/>
    <x v="0"/>
    <x v="1"/>
    <n v="9"/>
    <x v="0"/>
  </r>
  <r>
    <n v="52"/>
    <s v="No"/>
    <s v="Travel_Rarely"/>
    <n v="956"/>
    <x v="1"/>
    <n v="6"/>
    <n v="2"/>
    <s v="Technical Degree"/>
    <n v="1"/>
    <n v="630"/>
    <n v="4"/>
    <s v="Male"/>
    <n v="78"/>
    <n v="3"/>
    <n v="2"/>
    <s v="Research Scientist"/>
    <n v="1"/>
    <s v="Divorced"/>
    <n v="5577"/>
    <n v="22087"/>
    <n v="3"/>
    <s v="Y"/>
    <s v="Yes"/>
    <n v="12"/>
    <n v="3"/>
    <n v="2"/>
    <n v="80"/>
    <n v="2"/>
    <n v="18"/>
    <n v="3"/>
    <n v="3"/>
    <n v="10"/>
    <n v="9"/>
    <n v="6"/>
    <n v="9"/>
    <s v="LAB-630"/>
    <x v="1"/>
    <x v="1"/>
    <x v="1"/>
    <n v="10"/>
    <x v="0"/>
  </r>
  <r>
    <n v="32"/>
    <s v="Yes"/>
    <s v="Non-Travel"/>
    <n v="1474"/>
    <x v="0"/>
    <n v="11"/>
    <n v="4"/>
    <s v="Other"/>
    <n v="1"/>
    <n v="631"/>
    <n v="4"/>
    <s v="Male"/>
    <n v="60"/>
    <n v="4"/>
    <n v="2"/>
    <s v="Sales Executive"/>
    <n v="3"/>
    <s v="Married"/>
    <n v="4707"/>
    <n v="23914"/>
    <n v="8"/>
    <s v="Y"/>
    <s v="No"/>
    <n v="12"/>
    <n v="3"/>
    <n v="4"/>
    <n v="80"/>
    <n v="0"/>
    <n v="6"/>
    <n v="2"/>
    <n v="3"/>
    <n v="4"/>
    <n v="2"/>
    <n v="1"/>
    <n v="2"/>
    <s v="LAB-631"/>
    <x v="0"/>
    <x v="0"/>
    <x v="0"/>
    <n v="4"/>
    <x v="0"/>
  </r>
  <r>
    <n v="24"/>
    <s v="No"/>
    <s v="Travel_Frequently"/>
    <n v="535"/>
    <x v="0"/>
    <n v="24"/>
    <n v="3"/>
    <s v="Medical"/>
    <n v="1"/>
    <n v="632"/>
    <n v="4"/>
    <s v="Male"/>
    <n v="38"/>
    <n v="3"/>
    <n v="1"/>
    <s v="Sales Representative"/>
    <n v="4"/>
    <s v="Married"/>
    <n v="2400"/>
    <n v="5530"/>
    <n v="0"/>
    <s v="Y"/>
    <s v="No"/>
    <n v="13"/>
    <n v="3"/>
    <n v="3"/>
    <n v="80"/>
    <n v="2"/>
    <n v="3"/>
    <n v="3"/>
    <n v="3"/>
    <n v="2"/>
    <n v="2"/>
    <n v="2"/>
    <n v="1"/>
    <s v="LAB-632"/>
    <x v="6"/>
    <x v="0"/>
    <x v="1"/>
    <n v="2"/>
    <x v="0"/>
  </r>
  <r>
    <n v="38"/>
    <s v="No"/>
    <s v="Travel_Rarely"/>
    <n v="1495"/>
    <x v="1"/>
    <n v="10"/>
    <n v="3"/>
    <s v="Medical"/>
    <n v="1"/>
    <n v="634"/>
    <n v="3"/>
    <s v="Female"/>
    <n v="76"/>
    <n v="3"/>
    <n v="2"/>
    <s v="Healthcare Representative"/>
    <n v="3"/>
    <s v="Married"/>
    <n v="9824"/>
    <n v="22174"/>
    <n v="3"/>
    <s v="Y"/>
    <s v="No"/>
    <n v="19"/>
    <n v="3"/>
    <n v="3"/>
    <n v="80"/>
    <n v="1"/>
    <n v="18"/>
    <n v="4"/>
    <n v="3"/>
    <n v="1"/>
    <n v="0"/>
    <n v="0"/>
    <n v="0"/>
    <s v="LAB-634"/>
    <x v="4"/>
    <x v="1"/>
    <x v="1"/>
    <n v="1"/>
    <x v="0"/>
  </r>
  <r>
    <n v="37"/>
    <s v="No"/>
    <s v="Travel_Rarely"/>
    <n v="446"/>
    <x v="1"/>
    <n v="1"/>
    <n v="4"/>
    <s v="Life Sciences"/>
    <n v="1"/>
    <n v="635"/>
    <n v="2"/>
    <s v="Female"/>
    <n v="65"/>
    <n v="3"/>
    <n v="2"/>
    <s v="Manufacturing Director"/>
    <n v="2"/>
    <s v="Married"/>
    <n v="6447"/>
    <n v="15701"/>
    <n v="6"/>
    <s v="Y"/>
    <s v="No"/>
    <n v="12"/>
    <n v="3"/>
    <n v="2"/>
    <n v="80"/>
    <n v="1"/>
    <n v="8"/>
    <n v="2"/>
    <n v="2"/>
    <n v="6"/>
    <n v="5"/>
    <n v="4"/>
    <n v="3"/>
    <s v="LAB-635"/>
    <x v="3"/>
    <x v="1"/>
    <x v="1"/>
    <n v="6"/>
    <x v="0"/>
  </r>
  <r>
    <n v="49"/>
    <s v="No"/>
    <s v="Travel_Rarely"/>
    <n v="1245"/>
    <x v="1"/>
    <n v="18"/>
    <n v="4"/>
    <s v="Life Sciences"/>
    <n v="1"/>
    <n v="638"/>
    <n v="4"/>
    <s v="Male"/>
    <n v="58"/>
    <n v="2"/>
    <n v="5"/>
    <s v="Research Director"/>
    <n v="3"/>
    <s v="Divorced"/>
    <n v="19502"/>
    <n v="2125"/>
    <n v="1"/>
    <s v="Y"/>
    <s v="Yes"/>
    <n v="17"/>
    <n v="3"/>
    <n v="3"/>
    <n v="80"/>
    <n v="1"/>
    <n v="31"/>
    <n v="5"/>
    <n v="3"/>
    <n v="31"/>
    <n v="9"/>
    <n v="0"/>
    <n v="9"/>
    <s v="LAB-638"/>
    <x v="7"/>
    <x v="1"/>
    <x v="1"/>
    <n v="31"/>
    <x v="0"/>
  </r>
  <r>
    <n v="24"/>
    <s v="No"/>
    <s v="Travel_Rarely"/>
    <n v="691"/>
    <x v="1"/>
    <n v="23"/>
    <n v="3"/>
    <s v="Medical"/>
    <n v="1"/>
    <n v="639"/>
    <n v="2"/>
    <s v="Male"/>
    <n v="89"/>
    <n v="4"/>
    <n v="1"/>
    <s v="Research Scientist"/>
    <n v="4"/>
    <s v="Married"/>
    <n v="2725"/>
    <n v="21630"/>
    <n v="1"/>
    <s v="Y"/>
    <s v="Yes"/>
    <n v="11"/>
    <n v="3"/>
    <n v="2"/>
    <n v="80"/>
    <n v="2"/>
    <n v="6"/>
    <n v="3"/>
    <n v="3"/>
    <n v="6"/>
    <n v="5"/>
    <n v="1"/>
    <n v="4"/>
    <s v="LAB-639"/>
    <x v="1"/>
    <x v="1"/>
    <x v="1"/>
    <n v="6"/>
    <x v="0"/>
  </r>
  <r>
    <n v="26"/>
    <s v="No"/>
    <s v="Travel_Rarely"/>
    <n v="703"/>
    <x v="0"/>
    <n v="28"/>
    <n v="2"/>
    <s v="Marketing"/>
    <n v="1"/>
    <n v="641"/>
    <n v="1"/>
    <s v="Male"/>
    <n v="66"/>
    <n v="3"/>
    <n v="2"/>
    <s v="Sales Executive"/>
    <n v="2"/>
    <s v="Married"/>
    <n v="6272"/>
    <n v="7428"/>
    <n v="1"/>
    <s v="Y"/>
    <s v="No"/>
    <n v="20"/>
    <n v="4"/>
    <n v="4"/>
    <n v="80"/>
    <n v="2"/>
    <n v="6"/>
    <n v="5"/>
    <n v="4"/>
    <n v="5"/>
    <n v="3"/>
    <n v="1"/>
    <n v="4"/>
    <s v="LAB-641"/>
    <x v="0"/>
    <x v="0"/>
    <x v="1"/>
    <n v="5"/>
    <x v="0"/>
  </r>
  <r>
    <n v="24"/>
    <s v="No"/>
    <s v="Travel_Rarely"/>
    <n v="823"/>
    <x v="1"/>
    <n v="17"/>
    <n v="2"/>
    <s v="Other"/>
    <n v="1"/>
    <n v="643"/>
    <n v="4"/>
    <s v="Male"/>
    <n v="94"/>
    <n v="2"/>
    <n v="1"/>
    <s v="Laboratory Technician"/>
    <n v="2"/>
    <s v="Married"/>
    <n v="2127"/>
    <n v="9100"/>
    <n v="1"/>
    <s v="Y"/>
    <s v="No"/>
    <n v="21"/>
    <n v="4"/>
    <n v="4"/>
    <n v="80"/>
    <n v="1"/>
    <n v="1"/>
    <n v="2"/>
    <n v="3"/>
    <n v="1"/>
    <n v="0"/>
    <n v="0"/>
    <n v="0"/>
    <s v="LAB-643"/>
    <x v="2"/>
    <x v="1"/>
    <x v="1"/>
    <n v="1"/>
    <x v="0"/>
  </r>
  <r>
    <n v="50"/>
    <s v="No"/>
    <s v="Travel_Frequently"/>
    <n v="1246"/>
    <x v="2"/>
    <n v="3"/>
    <n v="3"/>
    <s v="Medical"/>
    <n v="1"/>
    <n v="644"/>
    <n v="1"/>
    <s v="Male"/>
    <n v="99"/>
    <n v="3"/>
    <n v="5"/>
    <s v="Manager"/>
    <n v="2"/>
    <s v="Married"/>
    <n v="18200"/>
    <n v="7999"/>
    <n v="1"/>
    <s v="Y"/>
    <s v="No"/>
    <n v="11"/>
    <n v="3"/>
    <n v="3"/>
    <n v="80"/>
    <n v="1"/>
    <n v="32"/>
    <n v="2"/>
    <n v="3"/>
    <n v="32"/>
    <n v="5"/>
    <n v="10"/>
    <n v="7"/>
    <s v="LAB-644"/>
    <x v="5"/>
    <x v="2"/>
    <x v="1"/>
    <n v="32"/>
    <x v="0"/>
  </r>
  <r>
    <n v="25"/>
    <s v="No"/>
    <s v="Travel_Rarely"/>
    <n v="622"/>
    <x v="0"/>
    <n v="13"/>
    <n v="1"/>
    <s v="Medical"/>
    <n v="1"/>
    <n v="645"/>
    <n v="2"/>
    <s v="Male"/>
    <n v="40"/>
    <n v="3"/>
    <n v="1"/>
    <s v="Sales Representative"/>
    <n v="3"/>
    <s v="Married"/>
    <n v="2096"/>
    <n v="26376"/>
    <n v="1"/>
    <s v="Y"/>
    <s v="No"/>
    <n v="11"/>
    <n v="3"/>
    <n v="3"/>
    <n v="80"/>
    <n v="0"/>
    <n v="7"/>
    <n v="1"/>
    <n v="3"/>
    <n v="7"/>
    <n v="4"/>
    <n v="0"/>
    <n v="6"/>
    <s v="LAB-645"/>
    <x v="6"/>
    <x v="0"/>
    <x v="1"/>
    <n v="7"/>
    <x v="0"/>
  </r>
  <r>
    <n v="24"/>
    <s v="Yes"/>
    <s v="Travel_Frequently"/>
    <n v="1287"/>
    <x v="1"/>
    <n v="7"/>
    <n v="3"/>
    <s v="Life Sciences"/>
    <n v="1"/>
    <n v="647"/>
    <n v="1"/>
    <s v="Female"/>
    <n v="55"/>
    <n v="3"/>
    <n v="1"/>
    <s v="Laboratory Technician"/>
    <n v="3"/>
    <s v="Married"/>
    <n v="2886"/>
    <n v="14168"/>
    <n v="1"/>
    <s v="Y"/>
    <s v="Yes"/>
    <n v="16"/>
    <n v="3"/>
    <n v="4"/>
    <n v="80"/>
    <n v="1"/>
    <n v="6"/>
    <n v="4"/>
    <n v="3"/>
    <n v="6"/>
    <n v="3"/>
    <n v="1"/>
    <n v="2"/>
    <s v="LAB-647"/>
    <x v="2"/>
    <x v="1"/>
    <x v="0"/>
    <n v="6"/>
    <x v="0"/>
  </r>
  <r>
    <n v="30"/>
    <s v="Yes"/>
    <s v="Travel_Frequently"/>
    <n v="448"/>
    <x v="0"/>
    <n v="12"/>
    <n v="4"/>
    <s v="Life Sciences"/>
    <n v="1"/>
    <n v="648"/>
    <n v="2"/>
    <s v="Male"/>
    <n v="74"/>
    <n v="2"/>
    <n v="1"/>
    <s v="Sales Representative"/>
    <n v="1"/>
    <s v="Married"/>
    <n v="2033"/>
    <n v="14470"/>
    <n v="1"/>
    <s v="Y"/>
    <s v="No"/>
    <n v="18"/>
    <n v="3"/>
    <n v="3"/>
    <n v="80"/>
    <n v="1"/>
    <n v="1"/>
    <n v="2"/>
    <n v="4"/>
    <n v="1"/>
    <n v="0"/>
    <n v="0"/>
    <n v="0"/>
    <s v="LAB-648"/>
    <x v="6"/>
    <x v="0"/>
    <x v="0"/>
    <n v="1"/>
    <x v="0"/>
  </r>
  <r>
    <n v="34"/>
    <s v="No"/>
    <s v="Travel_Rarely"/>
    <n v="254"/>
    <x v="1"/>
    <n v="1"/>
    <n v="2"/>
    <s v="Life Sciences"/>
    <n v="1"/>
    <n v="649"/>
    <n v="2"/>
    <s v="Male"/>
    <n v="83"/>
    <n v="2"/>
    <n v="1"/>
    <s v="Research Scientist"/>
    <n v="4"/>
    <s v="Married"/>
    <n v="3622"/>
    <n v="22794"/>
    <n v="1"/>
    <s v="Y"/>
    <s v="Yes"/>
    <n v="13"/>
    <n v="3"/>
    <n v="4"/>
    <n v="80"/>
    <n v="1"/>
    <n v="6"/>
    <n v="3"/>
    <n v="3"/>
    <n v="6"/>
    <n v="5"/>
    <n v="1"/>
    <n v="3"/>
    <s v="LAB-649"/>
    <x v="1"/>
    <x v="1"/>
    <x v="1"/>
    <n v="6"/>
    <x v="0"/>
  </r>
  <r>
    <n v="31"/>
    <s v="Yes"/>
    <s v="Travel_Rarely"/>
    <n v="1365"/>
    <x v="0"/>
    <n v="13"/>
    <n v="4"/>
    <s v="Medical"/>
    <n v="1"/>
    <n v="650"/>
    <n v="2"/>
    <s v="Male"/>
    <n v="46"/>
    <n v="3"/>
    <n v="2"/>
    <s v="Sales Executive"/>
    <n v="1"/>
    <s v="Divorced"/>
    <n v="4233"/>
    <n v="11512"/>
    <n v="2"/>
    <s v="Y"/>
    <s v="No"/>
    <n v="17"/>
    <n v="3"/>
    <n v="3"/>
    <n v="80"/>
    <n v="0"/>
    <n v="9"/>
    <n v="2"/>
    <n v="1"/>
    <n v="3"/>
    <n v="1"/>
    <n v="1"/>
    <n v="2"/>
    <s v="LAB-650"/>
    <x v="0"/>
    <x v="0"/>
    <x v="0"/>
    <n v="3"/>
    <x v="0"/>
  </r>
  <r>
    <n v="35"/>
    <s v="No"/>
    <s v="Travel_Rarely"/>
    <n v="538"/>
    <x v="1"/>
    <n v="25"/>
    <n v="2"/>
    <s v="Other"/>
    <n v="1"/>
    <n v="652"/>
    <n v="1"/>
    <s v="Male"/>
    <n v="54"/>
    <n v="2"/>
    <n v="2"/>
    <s v="Laboratory Technician"/>
    <n v="4"/>
    <s v="Single"/>
    <n v="3681"/>
    <n v="14004"/>
    <n v="4"/>
    <s v="Y"/>
    <s v="No"/>
    <n v="14"/>
    <n v="3"/>
    <n v="4"/>
    <n v="80"/>
    <n v="0"/>
    <n v="9"/>
    <n v="3"/>
    <n v="3"/>
    <n v="3"/>
    <n v="2"/>
    <n v="0"/>
    <n v="2"/>
    <s v="LAB-652"/>
    <x v="2"/>
    <x v="1"/>
    <x v="1"/>
    <n v="3"/>
    <x v="0"/>
  </r>
  <r>
    <n v="31"/>
    <s v="No"/>
    <s v="Travel_Rarely"/>
    <n v="525"/>
    <x v="0"/>
    <n v="6"/>
    <n v="4"/>
    <s v="Medical"/>
    <n v="1"/>
    <n v="653"/>
    <n v="1"/>
    <s v="Male"/>
    <n v="66"/>
    <n v="4"/>
    <n v="2"/>
    <s v="Sales Executive"/>
    <n v="4"/>
    <s v="Divorced"/>
    <n v="5460"/>
    <n v="6219"/>
    <n v="4"/>
    <s v="Y"/>
    <s v="No"/>
    <n v="22"/>
    <n v="4"/>
    <n v="4"/>
    <n v="80"/>
    <n v="2"/>
    <n v="13"/>
    <n v="4"/>
    <n v="4"/>
    <n v="7"/>
    <n v="7"/>
    <n v="5"/>
    <n v="7"/>
    <s v="LAB-653"/>
    <x v="0"/>
    <x v="0"/>
    <x v="1"/>
    <n v="7"/>
    <x v="0"/>
  </r>
  <r>
    <n v="27"/>
    <s v="No"/>
    <s v="Travel_Rarely"/>
    <n v="798"/>
    <x v="1"/>
    <n v="6"/>
    <n v="4"/>
    <s v="Medical"/>
    <n v="1"/>
    <n v="655"/>
    <n v="1"/>
    <s v="Female"/>
    <n v="66"/>
    <n v="2"/>
    <n v="1"/>
    <s v="Research Scientist"/>
    <n v="3"/>
    <s v="Divorced"/>
    <n v="2187"/>
    <n v="5013"/>
    <n v="0"/>
    <s v="Y"/>
    <s v="No"/>
    <n v="12"/>
    <n v="3"/>
    <n v="3"/>
    <n v="80"/>
    <n v="2"/>
    <n v="6"/>
    <n v="5"/>
    <n v="2"/>
    <n v="5"/>
    <n v="3"/>
    <n v="0"/>
    <n v="3"/>
    <s v="LAB-655"/>
    <x v="1"/>
    <x v="1"/>
    <x v="1"/>
    <n v="5"/>
    <x v="0"/>
  </r>
  <r>
    <n v="37"/>
    <s v="No"/>
    <s v="Travel_Rarely"/>
    <n v="558"/>
    <x v="0"/>
    <n v="2"/>
    <n v="3"/>
    <s v="Marketing"/>
    <n v="1"/>
    <n v="656"/>
    <n v="4"/>
    <s v="Male"/>
    <n v="75"/>
    <n v="3"/>
    <n v="2"/>
    <s v="Sales Executive"/>
    <n v="3"/>
    <s v="Married"/>
    <n v="9602"/>
    <n v="3010"/>
    <n v="4"/>
    <s v="Y"/>
    <s v="Yes"/>
    <n v="11"/>
    <n v="3"/>
    <n v="3"/>
    <n v="80"/>
    <n v="1"/>
    <n v="17"/>
    <n v="3"/>
    <n v="2"/>
    <n v="3"/>
    <n v="0"/>
    <n v="1"/>
    <n v="0"/>
    <s v="LAB-656"/>
    <x v="0"/>
    <x v="0"/>
    <x v="1"/>
    <n v="3"/>
    <x v="0"/>
  </r>
  <r>
    <n v="20"/>
    <s v="No"/>
    <s v="Travel_Rarely"/>
    <n v="959"/>
    <x v="1"/>
    <n v="1"/>
    <n v="3"/>
    <s v="Life Sciences"/>
    <n v="1"/>
    <n v="657"/>
    <n v="4"/>
    <s v="Female"/>
    <n v="83"/>
    <n v="2"/>
    <n v="1"/>
    <s v="Research Scientist"/>
    <n v="2"/>
    <s v="Single"/>
    <n v="2836"/>
    <n v="11757"/>
    <n v="1"/>
    <s v="Y"/>
    <s v="No"/>
    <n v="13"/>
    <n v="3"/>
    <n v="4"/>
    <n v="80"/>
    <n v="0"/>
    <n v="1"/>
    <n v="0"/>
    <n v="4"/>
    <n v="1"/>
    <n v="0"/>
    <n v="0"/>
    <n v="0"/>
    <s v="LAB-657"/>
    <x v="1"/>
    <x v="1"/>
    <x v="1"/>
    <n v="1"/>
    <x v="0"/>
  </r>
  <r>
    <n v="42"/>
    <s v="No"/>
    <s v="Travel_Rarely"/>
    <n v="622"/>
    <x v="1"/>
    <n v="2"/>
    <n v="4"/>
    <s v="Life Sciences"/>
    <n v="1"/>
    <n v="659"/>
    <n v="3"/>
    <s v="Female"/>
    <n v="81"/>
    <n v="3"/>
    <n v="2"/>
    <s v="Healthcare Representative"/>
    <n v="4"/>
    <s v="Married"/>
    <n v="4089"/>
    <n v="5718"/>
    <n v="1"/>
    <s v="Y"/>
    <s v="No"/>
    <n v="13"/>
    <n v="3"/>
    <n v="2"/>
    <n v="80"/>
    <n v="2"/>
    <n v="10"/>
    <n v="4"/>
    <n v="3"/>
    <n v="10"/>
    <n v="2"/>
    <n v="2"/>
    <n v="2"/>
    <s v="LAB-659"/>
    <x v="4"/>
    <x v="1"/>
    <x v="1"/>
    <n v="10"/>
    <x v="0"/>
  </r>
  <r>
    <n v="43"/>
    <s v="No"/>
    <s v="Travel_Rarely"/>
    <n v="782"/>
    <x v="1"/>
    <n v="6"/>
    <n v="4"/>
    <s v="Other"/>
    <n v="1"/>
    <n v="661"/>
    <n v="2"/>
    <s v="Male"/>
    <n v="50"/>
    <n v="2"/>
    <n v="4"/>
    <s v="Research Director"/>
    <n v="4"/>
    <s v="Divorced"/>
    <n v="16627"/>
    <n v="2671"/>
    <n v="4"/>
    <s v="Y"/>
    <s v="Yes"/>
    <n v="14"/>
    <n v="3"/>
    <n v="3"/>
    <n v="80"/>
    <n v="1"/>
    <n v="21"/>
    <n v="3"/>
    <n v="2"/>
    <n v="1"/>
    <n v="0"/>
    <n v="0"/>
    <n v="0"/>
    <s v="LAB-661"/>
    <x v="7"/>
    <x v="1"/>
    <x v="1"/>
    <n v="1"/>
    <x v="0"/>
  </r>
  <r>
    <n v="38"/>
    <s v="No"/>
    <s v="Travel_Rarely"/>
    <n v="362"/>
    <x v="1"/>
    <n v="1"/>
    <n v="1"/>
    <s v="Life Sciences"/>
    <n v="1"/>
    <n v="662"/>
    <n v="3"/>
    <s v="Female"/>
    <n v="43"/>
    <n v="3"/>
    <n v="1"/>
    <s v="Research Scientist"/>
    <n v="1"/>
    <s v="Single"/>
    <n v="2619"/>
    <n v="14561"/>
    <n v="3"/>
    <s v="Y"/>
    <s v="No"/>
    <n v="17"/>
    <n v="3"/>
    <n v="4"/>
    <n v="80"/>
    <n v="0"/>
    <n v="8"/>
    <n v="3"/>
    <n v="2"/>
    <n v="0"/>
    <n v="0"/>
    <n v="0"/>
    <n v="0"/>
    <s v="LAB-662"/>
    <x v="1"/>
    <x v="1"/>
    <x v="1"/>
    <n v="0"/>
    <x v="0"/>
  </r>
  <r>
    <n v="43"/>
    <s v="No"/>
    <s v="Travel_Frequently"/>
    <n v="1001"/>
    <x v="1"/>
    <n v="9"/>
    <n v="5"/>
    <s v="Medical"/>
    <n v="1"/>
    <n v="663"/>
    <n v="4"/>
    <s v="Male"/>
    <n v="72"/>
    <n v="3"/>
    <n v="2"/>
    <s v="Laboratory Technician"/>
    <n v="3"/>
    <s v="Divorced"/>
    <n v="5679"/>
    <n v="19627"/>
    <n v="3"/>
    <s v="Y"/>
    <s v="Yes"/>
    <n v="13"/>
    <n v="3"/>
    <n v="2"/>
    <n v="80"/>
    <n v="1"/>
    <n v="10"/>
    <n v="3"/>
    <n v="3"/>
    <n v="8"/>
    <n v="7"/>
    <n v="4"/>
    <n v="7"/>
    <s v="LAB-663"/>
    <x v="2"/>
    <x v="1"/>
    <x v="1"/>
    <n v="8"/>
    <x v="0"/>
  </r>
  <r>
    <n v="48"/>
    <s v="No"/>
    <s v="Travel_Rarely"/>
    <n v="1236"/>
    <x v="1"/>
    <n v="1"/>
    <n v="4"/>
    <s v="Life Sciences"/>
    <n v="1"/>
    <n v="664"/>
    <n v="4"/>
    <s v="Female"/>
    <n v="40"/>
    <n v="2"/>
    <n v="4"/>
    <s v="Manager"/>
    <n v="1"/>
    <s v="Married"/>
    <n v="15402"/>
    <n v="17997"/>
    <n v="7"/>
    <s v="Y"/>
    <s v="No"/>
    <n v="11"/>
    <n v="3"/>
    <n v="1"/>
    <n v="80"/>
    <n v="1"/>
    <n v="21"/>
    <n v="3"/>
    <n v="1"/>
    <n v="3"/>
    <n v="2"/>
    <n v="0"/>
    <n v="2"/>
    <s v="LAB-664"/>
    <x v="5"/>
    <x v="1"/>
    <x v="1"/>
    <n v="3"/>
    <x v="0"/>
  </r>
  <r>
    <n v="44"/>
    <s v="No"/>
    <s v="Travel_Rarely"/>
    <n v="1112"/>
    <x v="2"/>
    <n v="1"/>
    <n v="4"/>
    <s v="Life Sciences"/>
    <n v="1"/>
    <n v="665"/>
    <n v="1"/>
    <s v="Female"/>
    <n v="50"/>
    <n v="2"/>
    <n v="2"/>
    <s v="Human Resources"/>
    <n v="3"/>
    <s v="Single"/>
    <n v="5985"/>
    <n v="26894"/>
    <n v="4"/>
    <s v="Y"/>
    <s v="No"/>
    <n v="11"/>
    <n v="3"/>
    <n v="2"/>
    <n v="80"/>
    <n v="0"/>
    <n v="10"/>
    <n v="1"/>
    <n v="4"/>
    <n v="2"/>
    <n v="2"/>
    <n v="0"/>
    <n v="2"/>
    <s v="LAB-665"/>
    <x v="8"/>
    <x v="2"/>
    <x v="1"/>
    <n v="2"/>
    <x v="0"/>
  </r>
  <r>
    <n v="34"/>
    <s v="No"/>
    <s v="Travel_Rarely"/>
    <n v="204"/>
    <x v="0"/>
    <n v="14"/>
    <n v="3"/>
    <s v="Technical Degree"/>
    <n v="1"/>
    <n v="666"/>
    <n v="3"/>
    <s v="Female"/>
    <n v="31"/>
    <n v="3"/>
    <n v="1"/>
    <s v="Sales Representative"/>
    <n v="3"/>
    <s v="Divorced"/>
    <n v="2579"/>
    <n v="2912"/>
    <n v="1"/>
    <s v="Y"/>
    <s v="Yes"/>
    <n v="18"/>
    <n v="3"/>
    <n v="4"/>
    <n v="80"/>
    <n v="2"/>
    <n v="8"/>
    <n v="3"/>
    <n v="3"/>
    <n v="8"/>
    <n v="2"/>
    <n v="0"/>
    <n v="6"/>
    <s v="LAB-666"/>
    <x v="6"/>
    <x v="0"/>
    <x v="1"/>
    <n v="8"/>
    <x v="0"/>
  </r>
  <r>
    <n v="27"/>
    <s v="Yes"/>
    <s v="Travel_Rarely"/>
    <n v="1420"/>
    <x v="0"/>
    <n v="2"/>
    <n v="1"/>
    <s v="Marketing"/>
    <n v="1"/>
    <n v="667"/>
    <n v="3"/>
    <s v="Male"/>
    <n v="85"/>
    <n v="3"/>
    <n v="1"/>
    <s v="Sales Representative"/>
    <n v="1"/>
    <s v="Divorced"/>
    <n v="3041"/>
    <n v="16346"/>
    <n v="0"/>
    <s v="Y"/>
    <s v="No"/>
    <n v="11"/>
    <n v="3"/>
    <n v="2"/>
    <n v="80"/>
    <n v="1"/>
    <n v="5"/>
    <n v="3"/>
    <n v="3"/>
    <n v="4"/>
    <n v="3"/>
    <n v="0"/>
    <n v="2"/>
    <s v="LAB-667"/>
    <x v="6"/>
    <x v="0"/>
    <x v="0"/>
    <n v="4"/>
    <x v="0"/>
  </r>
  <r>
    <n v="21"/>
    <s v="No"/>
    <s v="Travel_Rarely"/>
    <n v="1343"/>
    <x v="0"/>
    <n v="22"/>
    <n v="1"/>
    <s v="Technical Degree"/>
    <n v="1"/>
    <n v="669"/>
    <n v="3"/>
    <s v="Male"/>
    <n v="49"/>
    <n v="3"/>
    <n v="1"/>
    <s v="Sales Representative"/>
    <n v="3"/>
    <s v="Single"/>
    <n v="3447"/>
    <n v="24444"/>
    <n v="1"/>
    <s v="Y"/>
    <s v="No"/>
    <n v="11"/>
    <n v="3"/>
    <n v="3"/>
    <n v="80"/>
    <n v="0"/>
    <n v="3"/>
    <n v="2"/>
    <n v="3"/>
    <n v="3"/>
    <n v="2"/>
    <n v="1"/>
    <n v="2"/>
    <s v="LAB-669"/>
    <x v="6"/>
    <x v="0"/>
    <x v="1"/>
    <n v="3"/>
    <x v="0"/>
  </r>
  <r>
    <n v="44"/>
    <s v="No"/>
    <s v="Travel_Rarely"/>
    <n v="1315"/>
    <x v="1"/>
    <n v="3"/>
    <n v="4"/>
    <s v="Other"/>
    <n v="1"/>
    <n v="671"/>
    <n v="4"/>
    <s v="Male"/>
    <n v="35"/>
    <n v="3"/>
    <n v="5"/>
    <s v="Manager"/>
    <n v="4"/>
    <s v="Married"/>
    <n v="19513"/>
    <n v="9358"/>
    <n v="4"/>
    <s v="Y"/>
    <s v="Yes"/>
    <n v="12"/>
    <n v="3"/>
    <n v="1"/>
    <n v="80"/>
    <n v="1"/>
    <n v="26"/>
    <n v="2"/>
    <n v="4"/>
    <n v="2"/>
    <n v="2"/>
    <n v="0"/>
    <n v="1"/>
    <s v="LAB-671"/>
    <x v="5"/>
    <x v="1"/>
    <x v="1"/>
    <n v="2"/>
    <x v="0"/>
  </r>
  <r>
    <n v="22"/>
    <s v="No"/>
    <s v="Travel_Rarely"/>
    <n v="604"/>
    <x v="1"/>
    <n v="6"/>
    <n v="1"/>
    <s v="Medical"/>
    <n v="1"/>
    <n v="675"/>
    <n v="1"/>
    <s v="Male"/>
    <n v="69"/>
    <n v="3"/>
    <n v="1"/>
    <s v="Research Scientist"/>
    <n v="3"/>
    <s v="Married"/>
    <n v="2773"/>
    <n v="12145"/>
    <n v="0"/>
    <s v="Y"/>
    <s v="No"/>
    <n v="20"/>
    <n v="4"/>
    <n v="4"/>
    <n v="80"/>
    <n v="0"/>
    <n v="3"/>
    <n v="3"/>
    <n v="3"/>
    <n v="2"/>
    <n v="2"/>
    <n v="2"/>
    <n v="2"/>
    <s v="LAB-675"/>
    <x v="1"/>
    <x v="1"/>
    <x v="1"/>
    <n v="2"/>
    <x v="0"/>
  </r>
  <r>
    <n v="33"/>
    <s v="No"/>
    <s v="Travel_Rarely"/>
    <n v="1216"/>
    <x v="0"/>
    <n v="8"/>
    <n v="4"/>
    <s v="Marketing"/>
    <n v="1"/>
    <n v="677"/>
    <n v="3"/>
    <s v="Male"/>
    <n v="39"/>
    <n v="3"/>
    <n v="2"/>
    <s v="Sales Executive"/>
    <n v="3"/>
    <s v="Divorced"/>
    <n v="7104"/>
    <n v="20431"/>
    <n v="0"/>
    <s v="Y"/>
    <s v="No"/>
    <n v="12"/>
    <n v="3"/>
    <n v="4"/>
    <n v="80"/>
    <n v="0"/>
    <n v="6"/>
    <n v="3"/>
    <n v="3"/>
    <n v="5"/>
    <n v="0"/>
    <n v="1"/>
    <n v="2"/>
    <s v="LAB-677"/>
    <x v="0"/>
    <x v="0"/>
    <x v="1"/>
    <n v="5"/>
    <x v="0"/>
  </r>
  <r>
    <n v="32"/>
    <s v="No"/>
    <s v="Travel_Rarely"/>
    <n v="646"/>
    <x v="1"/>
    <n v="9"/>
    <n v="4"/>
    <s v="Life Sciences"/>
    <n v="1"/>
    <n v="679"/>
    <n v="1"/>
    <s v="Female"/>
    <n v="92"/>
    <n v="3"/>
    <n v="2"/>
    <s v="Research Scientist"/>
    <n v="4"/>
    <s v="Married"/>
    <n v="6322"/>
    <n v="18089"/>
    <n v="1"/>
    <s v="Y"/>
    <s v="Yes"/>
    <n v="12"/>
    <n v="3"/>
    <n v="4"/>
    <n v="80"/>
    <n v="1"/>
    <n v="6"/>
    <n v="2"/>
    <n v="2"/>
    <n v="6"/>
    <n v="4"/>
    <n v="0"/>
    <n v="5"/>
    <s v="LAB-679"/>
    <x v="1"/>
    <x v="1"/>
    <x v="1"/>
    <n v="6"/>
    <x v="0"/>
  </r>
  <r>
    <n v="30"/>
    <s v="No"/>
    <s v="Travel_Frequently"/>
    <n v="160"/>
    <x v="1"/>
    <n v="3"/>
    <n v="3"/>
    <s v="Medical"/>
    <n v="1"/>
    <n v="680"/>
    <n v="3"/>
    <s v="Female"/>
    <n v="71"/>
    <n v="3"/>
    <n v="1"/>
    <s v="Research Scientist"/>
    <n v="3"/>
    <s v="Divorced"/>
    <n v="2083"/>
    <n v="22653"/>
    <n v="1"/>
    <s v="Y"/>
    <s v="No"/>
    <n v="20"/>
    <n v="4"/>
    <n v="3"/>
    <n v="80"/>
    <n v="1"/>
    <n v="1"/>
    <n v="2"/>
    <n v="3"/>
    <n v="1"/>
    <n v="0"/>
    <n v="0"/>
    <n v="0"/>
    <s v="LAB-680"/>
    <x v="1"/>
    <x v="1"/>
    <x v="1"/>
    <n v="1"/>
    <x v="0"/>
  </r>
  <r>
    <n v="53"/>
    <s v="No"/>
    <s v="Travel_Rarely"/>
    <n v="238"/>
    <x v="0"/>
    <n v="1"/>
    <n v="1"/>
    <s v="Medical"/>
    <n v="1"/>
    <n v="682"/>
    <n v="4"/>
    <s v="Female"/>
    <n v="34"/>
    <n v="3"/>
    <n v="2"/>
    <s v="Sales Executive"/>
    <n v="1"/>
    <s v="Single"/>
    <n v="8381"/>
    <n v="7507"/>
    <n v="7"/>
    <s v="Y"/>
    <s v="No"/>
    <n v="20"/>
    <n v="4"/>
    <n v="4"/>
    <n v="80"/>
    <n v="0"/>
    <n v="18"/>
    <n v="2"/>
    <n v="4"/>
    <n v="14"/>
    <n v="7"/>
    <n v="8"/>
    <n v="10"/>
    <s v="LAB-682"/>
    <x v="0"/>
    <x v="0"/>
    <x v="1"/>
    <n v="14"/>
    <x v="0"/>
  </r>
  <r>
    <n v="34"/>
    <s v="No"/>
    <s v="Travel_Rarely"/>
    <n v="1397"/>
    <x v="1"/>
    <n v="1"/>
    <n v="5"/>
    <s v="Life Sciences"/>
    <n v="1"/>
    <n v="683"/>
    <n v="2"/>
    <s v="Male"/>
    <n v="42"/>
    <n v="3"/>
    <n v="1"/>
    <s v="Research Scientist"/>
    <n v="4"/>
    <s v="Married"/>
    <n v="2691"/>
    <n v="7660"/>
    <n v="1"/>
    <s v="Y"/>
    <s v="No"/>
    <n v="12"/>
    <n v="3"/>
    <n v="4"/>
    <n v="80"/>
    <n v="1"/>
    <n v="10"/>
    <n v="4"/>
    <n v="2"/>
    <n v="10"/>
    <n v="9"/>
    <n v="8"/>
    <n v="8"/>
    <s v="LAB-683"/>
    <x v="1"/>
    <x v="1"/>
    <x v="1"/>
    <n v="10"/>
    <x v="0"/>
  </r>
  <r>
    <n v="45"/>
    <s v="Yes"/>
    <s v="Travel_Frequently"/>
    <n v="306"/>
    <x v="0"/>
    <n v="26"/>
    <n v="4"/>
    <s v="Life Sciences"/>
    <n v="1"/>
    <n v="684"/>
    <n v="1"/>
    <s v="Female"/>
    <n v="100"/>
    <n v="3"/>
    <n v="2"/>
    <s v="Sales Executive"/>
    <n v="1"/>
    <s v="Married"/>
    <n v="4286"/>
    <n v="5630"/>
    <n v="2"/>
    <s v="Y"/>
    <s v="No"/>
    <n v="14"/>
    <n v="3"/>
    <n v="4"/>
    <n v="80"/>
    <n v="2"/>
    <n v="5"/>
    <n v="4"/>
    <n v="3"/>
    <n v="1"/>
    <n v="1"/>
    <n v="0"/>
    <n v="0"/>
    <s v="LAB-684"/>
    <x v="0"/>
    <x v="0"/>
    <x v="0"/>
    <n v="1"/>
    <x v="0"/>
  </r>
  <r>
    <n v="26"/>
    <s v="No"/>
    <s v="Travel_Rarely"/>
    <n v="991"/>
    <x v="1"/>
    <n v="6"/>
    <n v="3"/>
    <s v="Life Sciences"/>
    <n v="1"/>
    <n v="686"/>
    <n v="3"/>
    <s v="Female"/>
    <n v="71"/>
    <n v="3"/>
    <n v="1"/>
    <s v="Laboratory Technician"/>
    <n v="4"/>
    <s v="Married"/>
    <n v="2659"/>
    <n v="17759"/>
    <n v="1"/>
    <s v="Y"/>
    <s v="Yes"/>
    <n v="13"/>
    <n v="3"/>
    <n v="3"/>
    <n v="80"/>
    <n v="1"/>
    <n v="3"/>
    <n v="2"/>
    <n v="3"/>
    <n v="3"/>
    <n v="2"/>
    <n v="0"/>
    <n v="2"/>
    <s v="LAB-686"/>
    <x v="2"/>
    <x v="1"/>
    <x v="1"/>
    <n v="3"/>
    <x v="0"/>
  </r>
  <r>
    <n v="37"/>
    <s v="No"/>
    <s v="Travel_Rarely"/>
    <n v="482"/>
    <x v="1"/>
    <n v="3"/>
    <n v="3"/>
    <s v="Other"/>
    <n v="1"/>
    <n v="689"/>
    <n v="3"/>
    <s v="Male"/>
    <n v="36"/>
    <n v="3"/>
    <n v="3"/>
    <s v="Manufacturing Director"/>
    <n v="3"/>
    <s v="Married"/>
    <n v="9434"/>
    <n v="9606"/>
    <n v="1"/>
    <s v="Y"/>
    <s v="No"/>
    <n v="15"/>
    <n v="3"/>
    <n v="3"/>
    <n v="80"/>
    <n v="1"/>
    <n v="10"/>
    <n v="2"/>
    <n v="3"/>
    <n v="10"/>
    <n v="7"/>
    <n v="7"/>
    <n v="8"/>
    <s v="LAB-689"/>
    <x v="3"/>
    <x v="1"/>
    <x v="1"/>
    <n v="10"/>
    <x v="0"/>
  </r>
  <r>
    <n v="29"/>
    <s v="No"/>
    <s v="Travel_Rarely"/>
    <n v="1176"/>
    <x v="0"/>
    <n v="3"/>
    <n v="2"/>
    <s v="Medical"/>
    <n v="1"/>
    <n v="690"/>
    <n v="2"/>
    <s v="Female"/>
    <n v="62"/>
    <n v="3"/>
    <n v="2"/>
    <s v="Sales Executive"/>
    <n v="3"/>
    <s v="Married"/>
    <n v="5561"/>
    <n v="3487"/>
    <n v="1"/>
    <s v="Y"/>
    <s v="No"/>
    <n v="14"/>
    <n v="3"/>
    <n v="1"/>
    <n v="80"/>
    <n v="1"/>
    <n v="6"/>
    <n v="5"/>
    <n v="2"/>
    <n v="6"/>
    <n v="0"/>
    <n v="1"/>
    <n v="2"/>
    <s v="LAB-690"/>
    <x v="0"/>
    <x v="0"/>
    <x v="1"/>
    <n v="6"/>
    <x v="0"/>
  </r>
  <r>
    <n v="35"/>
    <s v="No"/>
    <s v="Travel_Rarely"/>
    <n v="1017"/>
    <x v="1"/>
    <n v="6"/>
    <n v="4"/>
    <s v="Life Sciences"/>
    <n v="1"/>
    <n v="691"/>
    <n v="2"/>
    <s v="Male"/>
    <n v="82"/>
    <n v="1"/>
    <n v="2"/>
    <s v="Research Scientist"/>
    <n v="4"/>
    <s v="Single"/>
    <n v="6646"/>
    <n v="19368"/>
    <n v="1"/>
    <s v="Y"/>
    <s v="No"/>
    <n v="13"/>
    <n v="3"/>
    <n v="2"/>
    <n v="80"/>
    <n v="0"/>
    <n v="17"/>
    <n v="3"/>
    <n v="3"/>
    <n v="17"/>
    <n v="11"/>
    <n v="11"/>
    <n v="8"/>
    <s v="LAB-691"/>
    <x v="1"/>
    <x v="1"/>
    <x v="1"/>
    <n v="17"/>
    <x v="0"/>
  </r>
  <r>
    <n v="33"/>
    <s v="No"/>
    <s v="Travel_Frequently"/>
    <n v="1296"/>
    <x v="1"/>
    <n v="6"/>
    <n v="3"/>
    <s v="Life Sciences"/>
    <n v="1"/>
    <n v="692"/>
    <n v="3"/>
    <s v="Male"/>
    <n v="30"/>
    <n v="3"/>
    <n v="2"/>
    <s v="Healthcare Representative"/>
    <n v="4"/>
    <s v="Divorced"/>
    <n v="7725"/>
    <n v="5335"/>
    <n v="3"/>
    <s v="Y"/>
    <s v="No"/>
    <n v="23"/>
    <n v="4"/>
    <n v="3"/>
    <n v="80"/>
    <n v="1"/>
    <n v="15"/>
    <n v="2"/>
    <n v="1"/>
    <n v="13"/>
    <n v="11"/>
    <n v="4"/>
    <n v="7"/>
    <s v="LAB-692"/>
    <x v="4"/>
    <x v="1"/>
    <x v="1"/>
    <n v="13"/>
    <x v="0"/>
  </r>
  <r>
    <n v="54"/>
    <s v="No"/>
    <s v="Travel_Rarely"/>
    <n v="397"/>
    <x v="2"/>
    <n v="19"/>
    <n v="4"/>
    <s v="Medical"/>
    <n v="1"/>
    <n v="698"/>
    <n v="3"/>
    <s v="Male"/>
    <n v="88"/>
    <n v="3"/>
    <n v="3"/>
    <s v="Human Resources"/>
    <n v="2"/>
    <s v="Married"/>
    <n v="10725"/>
    <n v="6729"/>
    <n v="2"/>
    <s v="Y"/>
    <s v="No"/>
    <n v="15"/>
    <n v="3"/>
    <n v="3"/>
    <n v="80"/>
    <n v="1"/>
    <n v="16"/>
    <n v="1"/>
    <n v="4"/>
    <n v="9"/>
    <n v="7"/>
    <n v="7"/>
    <n v="1"/>
    <s v="LAB-698"/>
    <x v="8"/>
    <x v="2"/>
    <x v="1"/>
    <n v="9"/>
    <x v="0"/>
  </r>
  <r>
    <n v="36"/>
    <s v="No"/>
    <s v="Travel_Rarely"/>
    <n v="913"/>
    <x v="1"/>
    <n v="9"/>
    <n v="2"/>
    <s v="Medical"/>
    <n v="1"/>
    <n v="699"/>
    <n v="2"/>
    <s v="Male"/>
    <n v="48"/>
    <n v="2"/>
    <n v="2"/>
    <s v="Manufacturing Director"/>
    <n v="2"/>
    <s v="Divorced"/>
    <n v="8847"/>
    <n v="13934"/>
    <n v="2"/>
    <s v="Y"/>
    <s v="Yes"/>
    <n v="11"/>
    <n v="3"/>
    <n v="3"/>
    <n v="80"/>
    <n v="1"/>
    <n v="13"/>
    <n v="2"/>
    <n v="3"/>
    <n v="3"/>
    <n v="2"/>
    <n v="0"/>
    <n v="2"/>
    <s v="LAB-699"/>
    <x v="3"/>
    <x v="1"/>
    <x v="1"/>
    <n v="3"/>
    <x v="0"/>
  </r>
  <r>
    <n v="27"/>
    <s v="No"/>
    <s v="Travel_Rarely"/>
    <n v="1115"/>
    <x v="1"/>
    <n v="3"/>
    <n v="4"/>
    <s v="Medical"/>
    <n v="1"/>
    <n v="700"/>
    <n v="1"/>
    <s v="Male"/>
    <n v="54"/>
    <n v="2"/>
    <n v="1"/>
    <s v="Research Scientist"/>
    <n v="4"/>
    <s v="Single"/>
    <n v="2045"/>
    <n v="15174"/>
    <n v="0"/>
    <s v="Y"/>
    <s v="No"/>
    <n v="13"/>
    <n v="3"/>
    <n v="4"/>
    <n v="80"/>
    <n v="0"/>
    <n v="5"/>
    <n v="0"/>
    <n v="3"/>
    <n v="4"/>
    <n v="2"/>
    <n v="1"/>
    <n v="1"/>
    <s v="LAB-700"/>
    <x v="1"/>
    <x v="1"/>
    <x v="1"/>
    <n v="4"/>
    <x v="0"/>
  </r>
  <r>
    <n v="20"/>
    <s v="Yes"/>
    <s v="Travel_Rarely"/>
    <n v="1362"/>
    <x v="1"/>
    <n v="10"/>
    <n v="1"/>
    <s v="Medical"/>
    <n v="1"/>
    <n v="701"/>
    <n v="4"/>
    <s v="Male"/>
    <n v="32"/>
    <n v="3"/>
    <n v="1"/>
    <s v="Research Scientist"/>
    <n v="3"/>
    <s v="Single"/>
    <n v="1009"/>
    <n v="26999"/>
    <n v="1"/>
    <s v="Y"/>
    <s v="Yes"/>
    <n v="11"/>
    <n v="3"/>
    <n v="4"/>
    <n v="80"/>
    <n v="0"/>
    <n v="1"/>
    <n v="5"/>
    <n v="3"/>
    <n v="1"/>
    <n v="0"/>
    <n v="1"/>
    <n v="1"/>
    <s v="LAB-701"/>
    <x v="1"/>
    <x v="1"/>
    <x v="0"/>
    <n v="1"/>
    <x v="0"/>
  </r>
  <r>
    <n v="33"/>
    <s v="Yes"/>
    <s v="Travel_Frequently"/>
    <n v="1076"/>
    <x v="1"/>
    <n v="3"/>
    <n v="3"/>
    <s v="Life Sciences"/>
    <n v="1"/>
    <n v="702"/>
    <n v="1"/>
    <s v="Male"/>
    <n v="70"/>
    <n v="3"/>
    <n v="1"/>
    <s v="Research Scientist"/>
    <n v="1"/>
    <s v="Single"/>
    <n v="3348"/>
    <n v="3164"/>
    <n v="1"/>
    <s v="Y"/>
    <s v="Yes"/>
    <n v="11"/>
    <n v="3"/>
    <n v="1"/>
    <n v="80"/>
    <n v="0"/>
    <n v="10"/>
    <n v="3"/>
    <n v="3"/>
    <n v="10"/>
    <n v="8"/>
    <n v="9"/>
    <n v="7"/>
    <s v="LAB-702"/>
    <x v="1"/>
    <x v="1"/>
    <x v="0"/>
    <n v="10"/>
    <x v="0"/>
  </r>
  <r>
    <n v="35"/>
    <s v="No"/>
    <s v="Non-Travel"/>
    <n v="727"/>
    <x v="1"/>
    <n v="3"/>
    <n v="3"/>
    <s v="Life Sciences"/>
    <n v="1"/>
    <n v="704"/>
    <n v="3"/>
    <s v="Male"/>
    <n v="41"/>
    <n v="2"/>
    <n v="1"/>
    <s v="Laboratory Technician"/>
    <n v="3"/>
    <s v="Married"/>
    <n v="1281"/>
    <n v="16900"/>
    <n v="1"/>
    <s v="Y"/>
    <s v="No"/>
    <n v="18"/>
    <n v="3"/>
    <n v="3"/>
    <n v="80"/>
    <n v="2"/>
    <n v="1"/>
    <n v="3"/>
    <n v="3"/>
    <n v="1"/>
    <n v="0"/>
    <n v="0"/>
    <n v="0"/>
    <s v="LAB-704"/>
    <x v="2"/>
    <x v="1"/>
    <x v="1"/>
    <n v="1"/>
    <x v="0"/>
  </r>
  <r>
    <n v="23"/>
    <s v="No"/>
    <s v="Travel_Rarely"/>
    <n v="885"/>
    <x v="1"/>
    <n v="4"/>
    <n v="3"/>
    <s v="Medical"/>
    <n v="1"/>
    <n v="705"/>
    <n v="1"/>
    <s v="Male"/>
    <n v="58"/>
    <n v="4"/>
    <n v="1"/>
    <s v="Research Scientist"/>
    <n v="1"/>
    <s v="Married"/>
    <n v="2819"/>
    <n v="8544"/>
    <n v="2"/>
    <s v="Y"/>
    <s v="No"/>
    <n v="16"/>
    <n v="3"/>
    <n v="1"/>
    <n v="80"/>
    <n v="1"/>
    <n v="5"/>
    <n v="3"/>
    <n v="4"/>
    <n v="3"/>
    <n v="2"/>
    <n v="0"/>
    <n v="2"/>
    <s v="LAB-705"/>
    <x v="1"/>
    <x v="1"/>
    <x v="1"/>
    <n v="3"/>
    <x v="0"/>
  </r>
  <r>
    <n v="25"/>
    <s v="No"/>
    <s v="Travel_Rarely"/>
    <n v="810"/>
    <x v="0"/>
    <n v="8"/>
    <n v="3"/>
    <s v="Life Sciences"/>
    <n v="1"/>
    <n v="707"/>
    <n v="4"/>
    <s v="Male"/>
    <n v="57"/>
    <n v="4"/>
    <n v="2"/>
    <s v="Sales Executive"/>
    <n v="2"/>
    <s v="Married"/>
    <n v="4851"/>
    <n v="15678"/>
    <n v="0"/>
    <s v="Y"/>
    <s v="No"/>
    <n v="22"/>
    <n v="4"/>
    <n v="3"/>
    <n v="80"/>
    <n v="1"/>
    <n v="4"/>
    <n v="4"/>
    <n v="3"/>
    <n v="3"/>
    <n v="2"/>
    <n v="1"/>
    <n v="2"/>
    <s v="LAB-707"/>
    <x v="0"/>
    <x v="0"/>
    <x v="1"/>
    <n v="3"/>
    <x v="0"/>
  </r>
  <r>
    <n v="38"/>
    <s v="No"/>
    <s v="Travel_Rarely"/>
    <n v="243"/>
    <x v="0"/>
    <n v="7"/>
    <n v="4"/>
    <s v="Marketing"/>
    <n v="1"/>
    <n v="709"/>
    <n v="4"/>
    <s v="Female"/>
    <n v="46"/>
    <n v="2"/>
    <n v="2"/>
    <s v="Sales Executive"/>
    <n v="4"/>
    <s v="Single"/>
    <n v="4028"/>
    <n v="7791"/>
    <n v="0"/>
    <s v="Y"/>
    <s v="No"/>
    <n v="20"/>
    <n v="4"/>
    <n v="1"/>
    <n v="80"/>
    <n v="0"/>
    <n v="8"/>
    <n v="2"/>
    <n v="3"/>
    <n v="7"/>
    <n v="7"/>
    <n v="0"/>
    <n v="5"/>
    <s v="LAB-709"/>
    <x v="0"/>
    <x v="0"/>
    <x v="1"/>
    <n v="7"/>
    <x v="0"/>
  </r>
  <r>
    <n v="29"/>
    <s v="No"/>
    <s v="Travel_Frequently"/>
    <n v="806"/>
    <x v="1"/>
    <n v="1"/>
    <n v="4"/>
    <s v="Life Sciences"/>
    <n v="1"/>
    <n v="710"/>
    <n v="2"/>
    <s v="Male"/>
    <n v="76"/>
    <n v="1"/>
    <n v="1"/>
    <s v="Research Scientist"/>
    <n v="4"/>
    <s v="Divorced"/>
    <n v="2720"/>
    <n v="18959"/>
    <n v="1"/>
    <s v="Y"/>
    <s v="No"/>
    <n v="18"/>
    <n v="3"/>
    <n v="4"/>
    <n v="80"/>
    <n v="1"/>
    <n v="10"/>
    <n v="5"/>
    <n v="3"/>
    <n v="10"/>
    <n v="7"/>
    <n v="2"/>
    <n v="8"/>
    <s v="LAB-710"/>
    <x v="1"/>
    <x v="1"/>
    <x v="1"/>
    <n v="10"/>
    <x v="0"/>
  </r>
  <r>
    <n v="48"/>
    <s v="No"/>
    <s v="Travel_Rarely"/>
    <n v="817"/>
    <x v="0"/>
    <n v="2"/>
    <n v="1"/>
    <s v="Marketing"/>
    <n v="1"/>
    <n v="712"/>
    <n v="2"/>
    <s v="Male"/>
    <n v="56"/>
    <n v="4"/>
    <n v="2"/>
    <s v="Sales Executive"/>
    <n v="2"/>
    <s v="Married"/>
    <n v="8120"/>
    <n v="18597"/>
    <n v="3"/>
    <s v="Y"/>
    <s v="No"/>
    <n v="12"/>
    <n v="3"/>
    <n v="4"/>
    <n v="80"/>
    <n v="0"/>
    <n v="12"/>
    <n v="3"/>
    <n v="3"/>
    <n v="2"/>
    <n v="2"/>
    <n v="2"/>
    <n v="2"/>
    <s v="LAB-712"/>
    <x v="0"/>
    <x v="0"/>
    <x v="1"/>
    <n v="2"/>
    <x v="0"/>
  </r>
  <r>
    <n v="27"/>
    <s v="No"/>
    <s v="Travel_Frequently"/>
    <n v="1410"/>
    <x v="0"/>
    <n v="3"/>
    <n v="1"/>
    <s v="Medical"/>
    <n v="1"/>
    <n v="714"/>
    <n v="4"/>
    <s v="Female"/>
    <n v="71"/>
    <n v="4"/>
    <n v="2"/>
    <s v="Sales Executive"/>
    <n v="4"/>
    <s v="Divorced"/>
    <n v="4647"/>
    <n v="16673"/>
    <n v="1"/>
    <s v="Y"/>
    <s v="Yes"/>
    <n v="20"/>
    <n v="4"/>
    <n v="2"/>
    <n v="80"/>
    <n v="2"/>
    <n v="6"/>
    <n v="3"/>
    <n v="3"/>
    <n v="6"/>
    <n v="5"/>
    <n v="0"/>
    <n v="4"/>
    <s v="LAB-714"/>
    <x v="0"/>
    <x v="0"/>
    <x v="1"/>
    <n v="6"/>
    <x v="0"/>
  </r>
  <r>
    <n v="37"/>
    <s v="No"/>
    <s v="Travel_Rarely"/>
    <n v="1225"/>
    <x v="1"/>
    <n v="10"/>
    <n v="2"/>
    <s v="Life Sciences"/>
    <n v="1"/>
    <n v="715"/>
    <n v="4"/>
    <s v="Male"/>
    <n v="80"/>
    <n v="4"/>
    <n v="1"/>
    <s v="Research Scientist"/>
    <n v="4"/>
    <s v="Single"/>
    <n v="4680"/>
    <n v="15232"/>
    <n v="3"/>
    <s v="Y"/>
    <s v="No"/>
    <n v="17"/>
    <n v="3"/>
    <n v="1"/>
    <n v="80"/>
    <n v="0"/>
    <n v="4"/>
    <n v="2"/>
    <n v="3"/>
    <n v="1"/>
    <n v="0"/>
    <n v="0"/>
    <n v="0"/>
    <s v="LAB-715"/>
    <x v="1"/>
    <x v="1"/>
    <x v="1"/>
    <n v="1"/>
    <x v="0"/>
  </r>
  <r>
    <n v="50"/>
    <s v="No"/>
    <s v="Travel_Rarely"/>
    <n v="1207"/>
    <x v="1"/>
    <n v="28"/>
    <n v="1"/>
    <s v="Medical"/>
    <n v="1"/>
    <n v="716"/>
    <n v="4"/>
    <s v="Male"/>
    <n v="74"/>
    <n v="4"/>
    <n v="1"/>
    <s v="Laboratory Technician"/>
    <n v="3"/>
    <s v="Married"/>
    <n v="3221"/>
    <n v="3297"/>
    <n v="1"/>
    <s v="Y"/>
    <s v="Yes"/>
    <n v="11"/>
    <n v="3"/>
    <n v="3"/>
    <n v="80"/>
    <n v="3"/>
    <n v="20"/>
    <n v="3"/>
    <n v="3"/>
    <n v="20"/>
    <n v="8"/>
    <n v="3"/>
    <n v="8"/>
    <s v="LAB-716"/>
    <x v="2"/>
    <x v="1"/>
    <x v="1"/>
    <n v="20"/>
    <x v="0"/>
  </r>
  <r>
    <n v="34"/>
    <s v="No"/>
    <s v="Travel_Rarely"/>
    <n v="1442"/>
    <x v="1"/>
    <n v="9"/>
    <n v="3"/>
    <s v="Medical"/>
    <n v="1"/>
    <n v="717"/>
    <n v="4"/>
    <s v="Female"/>
    <n v="46"/>
    <n v="2"/>
    <n v="3"/>
    <s v="Healthcare Representative"/>
    <n v="2"/>
    <s v="Single"/>
    <n v="8621"/>
    <n v="17654"/>
    <n v="1"/>
    <s v="Y"/>
    <s v="No"/>
    <n v="14"/>
    <n v="3"/>
    <n v="2"/>
    <n v="80"/>
    <n v="0"/>
    <n v="9"/>
    <n v="3"/>
    <n v="4"/>
    <n v="8"/>
    <n v="7"/>
    <n v="7"/>
    <n v="7"/>
    <s v="LAB-717"/>
    <x v="4"/>
    <x v="1"/>
    <x v="1"/>
    <n v="8"/>
    <x v="0"/>
  </r>
  <r>
    <n v="24"/>
    <s v="Yes"/>
    <s v="Travel_Rarely"/>
    <n v="693"/>
    <x v="0"/>
    <n v="3"/>
    <n v="2"/>
    <s v="Life Sciences"/>
    <n v="1"/>
    <n v="720"/>
    <n v="1"/>
    <s v="Female"/>
    <n v="65"/>
    <n v="3"/>
    <n v="2"/>
    <s v="Sales Executive"/>
    <n v="3"/>
    <s v="Single"/>
    <n v="4577"/>
    <n v="24785"/>
    <n v="9"/>
    <s v="Y"/>
    <s v="No"/>
    <n v="14"/>
    <n v="3"/>
    <n v="1"/>
    <n v="80"/>
    <n v="0"/>
    <n v="4"/>
    <n v="3"/>
    <n v="3"/>
    <n v="2"/>
    <n v="2"/>
    <n v="2"/>
    <n v="0"/>
    <s v="LAB-720"/>
    <x v="0"/>
    <x v="0"/>
    <x v="0"/>
    <n v="2"/>
    <x v="0"/>
  </r>
  <r>
    <n v="39"/>
    <s v="No"/>
    <s v="Travel_Rarely"/>
    <n v="408"/>
    <x v="1"/>
    <n v="2"/>
    <n v="4"/>
    <s v="Technical Degree"/>
    <n v="1"/>
    <n v="721"/>
    <n v="4"/>
    <s v="Female"/>
    <n v="80"/>
    <n v="2"/>
    <n v="2"/>
    <s v="Healthcare Representative"/>
    <n v="3"/>
    <s v="Single"/>
    <n v="4553"/>
    <n v="20978"/>
    <n v="1"/>
    <s v="Y"/>
    <s v="No"/>
    <n v="11"/>
    <n v="3"/>
    <n v="1"/>
    <n v="80"/>
    <n v="0"/>
    <n v="20"/>
    <n v="4"/>
    <n v="3"/>
    <n v="20"/>
    <n v="7"/>
    <n v="11"/>
    <n v="10"/>
    <s v="LAB-721"/>
    <x v="4"/>
    <x v="1"/>
    <x v="1"/>
    <n v="20"/>
    <x v="0"/>
  </r>
  <r>
    <n v="32"/>
    <s v="No"/>
    <s v="Travel_Rarely"/>
    <n v="929"/>
    <x v="0"/>
    <n v="10"/>
    <n v="3"/>
    <s v="Marketing"/>
    <n v="1"/>
    <n v="722"/>
    <n v="4"/>
    <s v="Male"/>
    <n v="55"/>
    <n v="3"/>
    <n v="2"/>
    <s v="Sales Executive"/>
    <n v="4"/>
    <s v="Single"/>
    <n v="5396"/>
    <n v="21703"/>
    <n v="1"/>
    <s v="Y"/>
    <s v="No"/>
    <n v="12"/>
    <n v="3"/>
    <n v="4"/>
    <n v="80"/>
    <n v="0"/>
    <n v="10"/>
    <n v="2"/>
    <n v="2"/>
    <n v="10"/>
    <n v="7"/>
    <n v="0"/>
    <n v="8"/>
    <s v="LAB-722"/>
    <x v="0"/>
    <x v="0"/>
    <x v="1"/>
    <n v="10"/>
    <x v="0"/>
  </r>
  <r>
    <n v="50"/>
    <s v="Yes"/>
    <s v="Travel_Frequently"/>
    <n v="562"/>
    <x v="0"/>
    <n v="8"/>
    <n v="2"/>
    <s v="Technical Degree"/>
    <n v="1"/>
    <n v="723"/>
    <n v="2"/>
    <s v="Male"/>
    <n v="50"/>
    <n v="3"/>
    <n v="2"/>
    <s v="Sales Executive"/>
    <n v="3"/>
    <s v="Married"/>
    <n v="6796"/>
    <n v="23452"/>
    <n v="3"/>
    <s v="Y"/>
    <s v="Yes"/>
    <n v="14"/>
    <n v="3"/>
    <n v="1"/>
    <n v="80"/>
    <n v="1"/>
    <n v="18"/>
    <n v="4"/>
    <n v="3"/>
    <n v="4"/>
    <n v="3"/>
    <n v="1"/>
    <n v="3"/>
    <s v="LAB-723"/>
    <x v="0"/>
    <x v="0"/>
    <x v="0"/>
    <n v="4"/>
    <x v="0"/>
  </r>
  <r>
    <n v="38"/>
    <s v="No"/>
    <s v="Travel_Rarely"/>
    <n v="827"/>
    <x v="1"/>
    <n v="1"/>
    <n v="4"/>
    <s v="Life Sciences"/>
    <n v="1"/>
    <n v="724"/>
    <n v="2"/>
    <s v="Female"/>
    <n v="33"/>
    <n v="4"/>
    <n v="2"/>
    <s v="Healthcare Representative"/>
    <n v="4"/>
    <s v="Single"/>
    <n v="7625"/>
    <n v="19383"/>
    <n v="0"/>
    <s v="Y"/>
    <s v="No"/>
    <n v="13"/>
    <n v="3"/>
    <n v="3"/>
    <n v="80"/>
    <n v="0"/>
    <n v="10"/>
    <n v="4"/>
    <n v="2"/>
    <n v="9"/>
    <n v="7"/>
    <n v="1"/>
    <n v="8"/>
    <s v="LAB-724"/>
    <x v="4"/>
    <x v="1"/>
    <x v="1"/>
    <n v="9"/>
    <x v="0"/>
  </r>
  <r>
    <n v="27"/>
    <s v="No"/>
    <s v="Travel_Rarely"/>
    <n v="608"/>
    <x v="1"/>
    <n v="1"/>
    <n v="2"/>
    <s v="Life Sciences"/>
    <n v="1"/>
    <n v="725"/>
    <n v="3"/>
    <s v="Female"/>
    <n v="68"/>
    <n v="3"/>
    <n v="3"/>
    <s v="Manufacturing Director"/>
    <n v="1"/>
    <s v="Married"/>
    <n v="7412"/>
    <n v="6009"/>
    <n v="1"/>
    <s v="Y"/>
    <s v="No"/>
    <n v="11"/>
    <n v="3"/>
    <n v="4"/>
    <n v="80"/>
    <n v="0"/>
    <n v="9"/>
    <n v="3"/>
    <n v="3"/>
    <n v="9"/>
    <n v="7"/>
    <n v="0"/>
    <n v="7"/>
    <s v="LAB-725"/>
    <x v="3"/>
    <x v="1"/>
    <x v="1"/>
    <n v="9"/>
    <x v="0"/>
  </r>
  <r>
    <n v="32"/>
    <s v="No"/>
    <s v="Travel_Rarely"/>
    <n v="1018"/>
    <x v="1"/>
    <n v="3"/>
    <n v="2"/>
    <s v="Life Sciences"/>
    <n v="1"/>
    <n v="727"/>
    <n v="3"/>
    <s v="Female"/>
    <n v="39"/>
    <n v="3"/>
    <n v="3"/>
    <s v="Research Director"/>
    <n v="4"/>
    <s v="Single"/>
    <n v="11159"/>
    <n v="19373"/>
    <n v="3"/>
    <s v="Y"/>
    <s v="No"/>
    <n v="15"/>
    <n v="3"/>
    <n v="4"/>
    <n v="80"/>
    <n v="0"/>
    <n v="10"/>
    <n v="6"/>
    <n v="3"/>
    <n v="7"/>
    <n v="7"/>
    <n v="7"/>
    <n v="7"/>
    <s v="LAB-727"/>
    <x v="7"/>
    <x v="1"/>
    <x v="1"/>
    <n v="7"/>
    <x v="0"/>
  </r>
  <r>
    <n v="47"/>
    <s v="No"/>
    <s v="Travel_Rarely"/>
    <n v="703"/>
    <x v="0"/>
    <n v="14"/>
    <n v="4"/>
    <s v="Marketing"/>
    <n v="1"/>
    <n v="728"/>
    <n v="4"/>
    <s v="Male"/>
    <n v="42"/>
    <n v="3"/>
    <n v="2"/>
    <s v="Sales Executive"/>
    <n v="1"/>
    <s v="Single"/>
    <n v="4960"/>
    <n v="11825"/>
    <n v="2"/>
    <s v="Y"/>
    <s v="No"/>
    <n v="12"/>
    <n v="3"/>
    <n v="4"/>
    <n v="80"/>
    <n v="0"/>
    <n v="20"/>
    <n v="2"/>
    <n v="3"/>
    <n v="7"/>
    <n v="7"/>
    <n v="1"/>
    <n v="7"/>
    <s v="LAB-728"/>
    <x v="0"/>
    <x v="0"/>
    <x v="1"/>
    <n v="7"/>
    <x v="0"/>
  </r>
  <r>
    <n v="40"/>
    <s v="No"/>
    <s v="Travel_Frequently"/>
    <n v="580"/>
    <x v="0"/>
    <n v="5"/>
    <n v="4"/>
    <s v="Life Sciences"/>
    <n v="1"/>
    <n v="729"/>
    <n v="4"/>
    <s v="Male"/>
    <n v="48"/>
    <n v="2"/>
    <n v="3"/>
    <s v="Sales Executive"/>
    <n v="1"/>
    <s v="Married"/>
    <n v="10475"/>
    <n v="23772"/>
    <n v="5"/>
    <s v="Y"/>
    <s v="Yes"/>
    <n v="21"/>
    <n v="4"/>
    <n v="3"/>
    <n v="80"/>
    <n v="1"/>
    <n v="20"/>
    <n v="2"/>
    <n v="3"/>
    <n v="18"/>
    <n v="13"/>
    <n v="1"/>
    <n v="12"/>
    <s v="LAB-729"/>
    <x v="0"/>
    <x v="0"/>
    <x v="1"/>
    <n v="18"/>
    <x v="0"/>
  </r>
  <r>
    <n v="53"/>
    <s v="No"/>
    <s v="Travel_Rarely"/>
    <n v="970"/>
    <x v="1"/>
    <n v="7"/>
    <n v="3"/>
    <s v="Life Sciences"/>
    <n v="1"/>
    <n v="730"/>
    <n v="3"/>
    <s v="Male"/>
    <n v="59"/>
    <n v="4"/>
    <n v="4"/>
    <s v="Research Director"/>
    <n v="3"/>
    <s v="Married"/>
    <n v="14814"/>
    <n v="13514"/>
    <n v="3"/>
    <s v="Y"/>
    <s v="No"/>
    <n v="19"/>
    <n v="3"/>
    <n v="3"/>
    <n v="80"/>
    <n v="0"/>
    <n v="32"/>
    <n v="3"/>
    <n v="3"/>
    <n v="5"/>
    <n v="1"/>
    <n v="1"/>
    <n v="3"/>
    <s v="LAB-730"/>
    <x v="7"/>
    <x v="1"/>
    <x v="1"/>
    <n v="5"/>
    <x v="0"/>
  </r>
  <r>
    <n v="41"/>
    <s v="No"/>
    <s v="Travel_Rarely"/>
    <n v="427"/>
    <x v="2"/>
    <n v="10"/>
    <n v="4"/>
    <s v="Human Resources"/>
    <n v="1"/>
    <n v="731"/>
    <n v="2"/>
    <s v="Male"/>
    <n v="73"/>
    <n v="2"/>
    <n v="5"/>
    <s v="Manager"/>
    <n v="4"/>
    <s v="Divorced"/>
    <n v="19141"/>
    <n v="8861"/>
    <n v="3"/>
    <s v="Y"/>
    <s v="No"/>
    <n v="15"/>
    <n v="3"/>
    <n v="2"/>
    <n v="80"/>
    <n v="3"/>
    <n v="23"/>
    <n v="2"/>
    <n v="2"/>
    <n v="21"/>
    <n v="6"/>
    <n v="12"/>
    <n v="6"/>
    <s v="LAB-731"/>
    <x v="5"/>
    <x v="2"/>
    <x v="1"/>
    <n v="21"/>
    <x v="0"/>
  </r>
  <r>
    <n v="60"/>
    <s v="No"/>
    <s v="Travel_Rarely"/>
    <n v="1179"/>
    <x v="0"/>
    <n v="16"/>
    <n v="4"/>
    <s v="Marketing"/>
    <n v="1"/>
    <n v="732"/>
    <n v="1"/>
    <s v="Male"/>
    <n v="84"/>
    <n v="3"/>
    <n v="2"/>
    <s v="Sales Executive"/>
    <n v="1"/>
    <s v="Single"/>
    <n v="5405"/>
    <n v="11924"/>
    <n v="8"/>
    <s v="Y"/>
    <s v="No"/>
    <n v="14"/>
    <n v="3"/>
    <n v="4"/>
    <n v="80"/>
    <n v="0"/>
    <n v="10"/>
    <n v="1"/>
    <n v="3"/>
    <n v="2"/>
    <n v="2"/>
    <n v="2"/>
    <n v="2"/>
    <s v="LAB-732"/>
    <x v="0"/>
    <x v="0"/>
    <x v="1"/>
    <n v="2"/>
    <x v="0"/>
  </r>
  <r>
    <n v="27"/>
    <s v="No"/>
    <s v="Travel_Frequently"/>
    <n v="294"/>
    <x v="1"/>
    <n v="10"/>
    <n v="2"/>
    <s v="Life Sciences"/>
    <n v="1"/>
    <n v="733"/>
    <n v="4"/>
    <s v="Male"/>
    <n v="32"/>
    <n v="3"/>
    <n v="3"/>
    <s v="Manufacturing Director"/>
    <n v="1"/>
    <s v="Divorced"/>
    <n v="8793"/>
    <n v="4809"/>
    <n v="1"/>
    <s v="Y"/>
    <s v="No"/>
    <n v="21"/>
    <n v="4"/>
    <n v="3"/>
    <n v="80"/>
    <n v="2"/>
    <n v="9"/>
    <n v="4"/>
    <n v="2"/>
    <n v="9"/>
    <n v="7"/>
    <n v="1"/>
    <n v="7"/>
    <s v="LAB-733"/>
    <x v="3"/>
    <x v="1"/>
    <x v="1"/>
    <n v="9"/>
    <x v="0"/>
  </r>
  <r>
    <n v="41"/>
    <s v="No"/>
    <s v="Travel_Rarely"/>
    <n v="314"/>
    <x v="2"/>
    <n v="1"/>
    <n v="3"/>
    <s v="Human Resources"/>
    <n v="1"/>
    <n v="734"/>
    <n v="4"/>
    <s v="Male"/>
    <n v="59"/>
    <n v="2"/>
    <n v="5"/>
    <s v="Manager"/>
    <n v="3"/>
    <s v="Married"/>
    <n v="19189"/>
    <n v="19562"/>
    <n v="1"/>
    <s v="Y"/>
    <s v="No"/>
    <n v="12"/>
    <n v="3"/>
    <n v="2"/>
    <n v="80"/>
    <n v="1"/>
    <n v="22"/>
    <n v="3"/>
    <n v="3"/>
    <n v="22"/>
    <n v="7"/>
    <n v="2"/>
    <n v="10"/>
    <s v="LAB-734"/>
    <x v="5"/>
    <x v="2"/>
    <x v="1"/>
    <n v="22"/>
    <x v="0"/>
  </r>
  <r>
    <n v="50"/>
    <s v="No"/>
    <s v="Travel_Rarely"/>
    <n v="316"/>
    <x v="0"/>
    <n v="8"/>
    <n v="4"/>
    <s v="Marketing"/>
    <n v="1"/>
    <n v="738"/>
    <n v="4"/>
    <s v="Male"/>
    <n v="54"/>
    <n v="3"/>
    <n v="1"/>
    <s v="Sales Representative"/>
    <n v="2"/>
    <s v="Married"/>
    <n v="3875"/>
    <n v="9983"/>
    <n v="7"/>
    <s v="Y"/>
    <s v="No"/>
    <n v="15"/>
    <n v="3"/>
    <n v="4"/>
    <n v="80"/>
    <n v="1"/>
    <n v="4"/>
    <n v="2"/>
    <n v="3"/>
    <n v="2"/>
    <n v="2"/>
    <n v="2"/>
    <n v="2"/>
    <s v="LAB-738"/>
    <x v="6"/>
    <x v="0"/>
    <x v="1"/>
    <n v="2"/>
    <x v="0"/>
  </r>
  <r>
    <n v="28"/>
    <s v="Yes"/>
    <s v="Travel_Rarely"/>
    <n v="654"/>
    <x v="1"/>
    <n v="1"/>
    <n v="2"/>
    <s v="Life Sciences"/>
    <n v="1"/>
    <n v="741"/>
    <n v="1"/>
    <s v="Female"/>
    <n v="67"/>
    <n v="1"/>
    <n v="1"/>
    <s v="Research Scientist"/>
    <n v="2"/>
    <s v="Single"/>
    <n v="2216"/>
    <n v="3872"/>
    <n v="7"/>
    <s v="Y"/>
    <s v="Yes"/>
    <n v="13"/>
    <n v="3"/>
    <n v="4"/>
    <n v="80"/>
    <n v="0"/>
    <n v="10"/>
    <n v="4"/>
    <n v="3"/>
    <n v="7"/>
    <n v="7"/>
    <n v="3"/>
    <n v="7"/>
    <s v="LAB-741"/>
    <x v="1"/>
    <x v="1"/>
    <x v="0"/>
    <n v="7"/>
    <x v="0"/>
  </r>
  <r>
    <n v="36"/>
    <s v="No"/>
    <s v="Non-Travel"/>
    <n v="427"/>
    <x v="1"/>
    <n v="8"/>
    <n v="3"/>
    <s v="Life Sciences"/>
    <n v="1"/>
    <n v="742"/>
    <n v="1"/>
    <s v="Female"/>
    <n v="63"/>
    <n v="4"/>
    <n v="3"/>
    <s v="Research Director"/>
    <n v="1"/>
    <s v="Married"/>
    <n v="11713"/>
    <n v="20335"/>
    <n v="9"/>
    <s v="Y"/>
    <s v="No"/>
    <n v="14"/>
    <n v="3"/>
    <n v="1"/>
    <n v="80"/>
    <n v="1"/>
    <n v="10"/>
    <n v="2"/>
    <n v="3"/>
    <n v="8"/>
    <n v="7"/>
    <n v="0"/>
    <n v="5"/>
    <s v="LAB-742"/>
    <x v="7"/>
    <x v="1"/>
    <x v="1"/>
    <n v="8"/>
    <x v="0"/>
  </r>
  <r>
    <n v="38"/>
    <s v="No"/>
    <s v="Travel_Rarely"/>
    <n v="168"/>
    <x v="1"/>
    <n v="1"/>
    <n v="3"/>
    <s v="Life Sciences"/>
    <n v="1"/>
    <n v="743"/>
    <n v="3"/>
    <s v="Female"/>
    <n v="81"/>
    <n v="3"/>
    <n v="3"/>
    <s v="Manufacturing Director"/>
    <n v="3"/>
    <s v="Single"/>
    <n v="7861"/>
    <n v="15397"/>
    <n v="4"/>
    <s v="Y"/>
    <s v="Yes"/>
    <n v="14"/>
    <n v="3"/>
    <n v="4"/>
    <n v="80"/>
    <n v="0"/>
    <n v="10"/>
    <n v="4"/>
    <n v="4"/>
    <n v="1"/>
    <n v="0"/>
    <n v="0"/>
    <n v="0"/>
    <s v="LAB-743"/>
    <x v="3"/>
    <x v="1"/>
    <x v="1"/>
    <n v="1"/>
    <x v="0"/>
  </r>
  <r>
    <n v="44"/>
    <s v="No"/>
    <s v="Non-Travel"/>
    <n v="381"/>
    <x v="1"/>
    <n v="24"/>
    <n v="3"/>
    <s v="Medical"/>
    <n v="1"/>
    <n v="744"/>
    <n v="1"/>
    <s v="Male"/>
    <n v="49"/>
    <n v="1"/>
    <n v="1"/>
    <s v="Laboratory Technician"/>
    <n v="3"/>
    <s v="Single"/>
    <n v="3708"/>
    <n v="2104"/>
    <n v="2"/>
    <s v="Y"/>
    <s v="No"/>
    <n v="14"/>
    <n v="3"/>
    <n v="3"/>
    <n v="80"/>
    <n v="0"/>
    <n v="9"/>
    <n v="5"/>
    <n v="3"/>
    <n v="5"/>
    <n v="2"/>
    <n v="1"/>
    <n v="4"/>
    <s v="LAB-744"/>
    <x v="2"/>
    <x v="1"/>
    <x v="1"/>
    <n v="5"/>
    <x v="0"/>
  </r>
  <r>
    <n v="47"/>
    <s v="No"/>
    <s v="Travel_Frequently"/>
    <n v="217"/>
    <x v="0"/>
    <n v="3"/>
    <n v="3"/>
    <s v="Medical"/>
    <n v="1"/>
    <n v="746"/>
    <n v="4"/>
    <s v="Female"/>
    <n v="49"/>
    <n v="3"/>
    <n v="4"/>
    <s v="Sales Executive"/>
    <n v="3"/>
    <s v="Divorced"/>
    <n v="13770"/>
    <n v="10225"/>
    <n v="9"/>
    <s v="Y"/>
    <s v="Yes"/>
    <n v="12"/>
    <n v="3"/>
    <n v="4"/>
    <n v="80"/>
    <n v="2"/>
    <n v="28"/>
    <n v="2"/>
    <n v="2"/>
    <n v="22"/>
    <n v="2"/>
    <n v="11"/>
    <n v="13"/>
    <s v="LAB-746"/>
    <x v="0"/>
    <x v="0"/>
    <x v="1"/>
    <n v="22"/>
    <x v="0"/>
  </r>
  <r>
    <n v="30"/>
    <s v="No"/>
    <s v="Travel_Rarely"/>
    <n v="501"/>
    <x v="0"/>
    <n v="27"/>
    <n v="5"/>
    <s v="Marketing"/>
    <n v="1"/>
    <n v="747"/>
    <n v="3"/>
    <s v="Male"/>
    <n v="99"/>
    <n v="3"/>
    <n v="2"/>
    <s v="Sales Executive"/>
    <n v="4"/>
    <s v="Divorced"/>
    <n v="5304"/>
    <n v="25275"/>
    <n v="7"/>
    <s v="Y"/>
    <s v="No"/>
    <n v="23"/>
    <n v="4"/>
    <n v="4"/>
    <n v="80"/>
    <n v="1"/>
    <n v="10"/>
    <n v="2"/>
    <n v="2"/>
    <n v="8"/>
    <n v="7"/>
    <n v="7"/>
    <n v="7"/>
    <s v="LAB-747"/>
    <x v="0"/>
    <x v="0"/>
    <x v="1"/>
    <n v="8"/>
    <x v="0"/>
  </r>
  <r>
    <n v="29"/>
    <s v="No"/>
    <s v="Travel_Rarely"/>
    <n v="1396"/>
    <x v="0"/>
    <n v="10"/>
    <n v="3"/>
    <s v="Life Sciences"/>
    <n v="1"/>
    <n v="749"/>
    <n v="3"/>
    <s v="Male"/>
    <n v="99"/>
    <n v="3"/>
    <n v="1"/>
    <s v="Sales Representative"/>
    <n v="3"/>
    <s v="Single"/>
    <n v="2642"/>
    <n v="2755"/>
    <n v="1"/>
    <s v="Y"/>
    <s v="No"/>
    <n v="11"/>
    <n v="3"/>
    <n v="3"/>
    <n v="80"/>
    <n v="0"/>
    <n v="1"/>
    <n v="6"/>
    <n v="3"/>
    <n v="1"/>
    <n v="0"/>
    <n v="0"/>
    <n v="0"/>
    <s v="LAB-749"/>
    <x v="6"/>
    <x v="0"/>
    <x v="1"/>
    <n v="1"/>
    <x v="0"/>
  </r>
  <r>
    <n v="42"/>
    <s v="Yes"/>
    <s v="Travel_Frequently"/>
    <n v="933"/>
    <x v="1"/>
    <n v="19"/>
    <n v="3"/>
    <s v="Medical"/>
    <n v="1"/>
    <n v="752"/>
    <n v="3"/>
    <s v="Male"/>
    <n v="57"/>
    <n v="4"/>
    <n v="1"/>
    <s v="Research Scientist"/>
    <n v="3"/>
    <s v="Divorced"/>
    <n v="2759"/>
    <n v="20366"/>
    <n v="6"/>
    <s v="Y"/>
    <s v="Yes"/>
    <n v="12"/>
    <n v="3"/>
    <n v="4"/>
    <n v="80"/>
    <n v="0"/>
    <n v="7"/>
    <n v="2"/>
    <n v="3"/>
    <n v="2"/>
    <n v="2"/>
    <n v="2"/>
    <n v="2"/>
    <s v="LAB-752"/>
    <x v="1"/>
    <x v="1"/>
    <x v="0"/>
    <n v="2"/>
    <x v="0"/>
  </r>
  <r>
    <n v="43"/>
    <s v="No"/>
    <s v="Travel_Frequently"/>
    <n v="775"/>
    <x v="0"/>
    <n v="15"/>
    <n v="3"/>
    <s v="Life Sciences"/>
    <n v="1"/>
    <n v="754"/>
    <n v="4"/>
    <s v="Male"/>
    <n v="47"/>
    <n v="2"/>
    <n v="2"/>
    <s v="Sales Executive"/>
    <n v="4"/>
    <s v="Married"/>
    <n v="6804"/>
    <n v="23683"/>
    <n v="3"/>
    <s v="Y"/>
    <s v="No"/>
    <n v="18"/>
    <n v="3"/>
    <n v="3"/>
    <n v="80"/>
    <n v="1"/>
    <n v="7"/>
    <n v="5"/>
    <n v="3"/>
    <n v="2"/>
    <n v="2"/>
    <n v="2"/>
    <n v="2"/>
    <s v="LAB-754"/>
    <x v="0"/>
    <x v="0"/>
    <x v="1"/>
    <n v="2"/>
    <x v="0"/>
  </r>
  <r>
    <n v="34"/>
    <s v="No"/>
    <s v="Travel_Rarely"/>
    <n v="970"/>
    <x v="1"/>
    <n v="8"/>
    <n v="2"/>
    <s v="Medical"/>
    <n v="1"/>
    <n v="757"/>
    <n v="2"/>
    <s v="Female"/>
    <n v="96"/>
    <n v="3"/>
    <n v="2"/>
    <s v="Healthcare Representative"/>
    <n v="3"/>
    <s v="Single"/>
    <n v="6142"/>
    <n v="7360"/>
    <n v="3"/>
    <s v="Y"/>
    <s v="No"/>
    <n v="11"/>
    <n v="3"/>
    <n v="4"/>
    <n v="80"/>
    <n v="0"/>
    <n v="10"/>
    <n v="2"/>
    <n v="3"/>
    <n v="5"/>
    <n v="1"/>
    <n v="4"/>
    <n v="3"/>
    <s v="LAB-757"/>
    <x v="4"/>
    <x v="1"/>
    <x v="1"/>
    <n v="5"/>
    <x v="0"/>
  </r>
  <r>
    <n v="23"/>
    <s v="No"/>
    <s v="Travel_Rarely"/>
    <n v="650"/>
    <x v="1"/>
    <n v="9"/>
    <n v="1"/>
    <s v="Medical"/>
    <n v="1"/>
    <n v="758"/>
    <n v="2"/>
    <s v="Male"/>
    <n v="37"/>
    <n v="3"/>
    <n v="1"/>
    <s v="Laboratory Technician"/>
    <n v="1"/>
    <s v="Married"/>
    <n v="2500"/>
    <n v="4344"/>
    <n v="1"/>
    <s v="Y"/>
    <s v="No"/>
    <n v="14"/>
    <n v="3"/>
    <n v="4"/>
    <n v="80"/>
    <n v="1"/>
    <n v="5"/>
    <n v="2"/>
    <n v="4"/>
    <n v="4"/>
    <n v="3"/>
    <n v="0"/>
    <n v="2"/>
    <s v="LAB-758"/>
    <x v="2"/>
    <x v="1"/>
    <x v="1"/>
    <n v="4"/>
    <x v="0"/>
  </r>
  <r>
    <n v="39"/>
    <s v="No"/>
    <s v="Travel_Rarely"/>
    <n v="141"/>
    <x v="2"/>
    <n v="3"/>
    <n v="3"/>
    <s v="Human Resources"/>
    <n v="1"/>
    <n v="760"/>
    <n v="3"/>
    <s v="Female"/>
    <n v="44"/>
    <n v="4"/>
    <n v="2"/>
    <s v="Human Resources"/>
    <n v="2"/>
    <s v="Married"/>
    <n v="6389"/>
    <n v="18767"/>
    <n v="9"/>
    <s v="Y"/>
    <s v="No"/>
    <n v="15"/>
    <n v="3"/>
    <n v="3"/>
    <n v="80"/>
    <n v="1"/>
    <n v="12"/>
    <n v="3"/>
    <n v="1"/>
    <n v="8"/>
    <n v="3"/>
    <n v="3"/>
    <n v="6"/>
    <s v="LAB-760"/>
    <x v="8"/>
    <x v="2"/>
    <x v="1"/>
    <n v="8"/>
    <x v="0"/>
  </r>
  <r>
    <n v="56"/>
    <s v="No"/>
    <s v="Travel_Rarely"/>
    <n v="832"/>
    <x v="1"/>
    <n v="9"/>
    <n v="3"/>
    <s v="Medical"/>
    <n v="1"/>
    <n v="762"/>
    <n v="3"/>
    <s v="Male"/>
    <n v="81"/>
    <n v="3"/>
    <n v="4"/>
    <s v="Healthcare Representative"/>
    <n v="4"/>
    <s v="Married"/>
    <n v="11103"/>
    <n v="20420"/>
    <n v="7"/>
    <s v="Y"/>
    <s v="No"/>
    <n v="11"/>
    <n v="3"/>
    <n v="3"/>
    <n v="80"/>
    <n v="0"/>
    <n v="30"/>
    <n v="1"/>
    <n v="2"/>
    <n v="10"/>
    <n v="7"/>
    <n v="1"/>
    <n v="1"/>
    <s v="LAB-762"/>
    <x v="4"/>
    <x v="1"/>
    <x v="1"/>
    <n v="10"/>
    <x v="0"/>
  </r>
  <r>
    <n v="40"/>
    <s v="No"/>
    <s v="Travel_Rarely"/>
    <n v="804"/>
    <x v="1"/>
    <n v="2"/>
    <n v="1"/>
    <s v="Medical"/>
    <n v="1"/>
    <n v="763"/>
    <n v="4"/>
    <s v="Female"/>
    <n v="86"/>
    <n v="2"/>
    <n v="1"/>
    <s v="Research Scientist"/>
    <n v="4"/>
    <s v="Single"/>
    <n v="2342"/>
    <n v="22929"/>
    <n v="0"/>
    <s v="Y"/>
    <s v="Yes"/>
    <n v="20"/>
    <n v="4"/>
    <n v="4"/>
    <n v="80"/>
    <n v="0"/>
    <n v="5"/>
    <n v="2"/>
    <n v="2"/>
    <n v="4"/>
    <n v="2"/>
    <n v="2"/>
    <n v="3"/>
    <s v="LAB-763"/>
    <x v="1"/>
    <x v="1"/>
    <x v="1"/>
    <n v="4"/>
    <x v="0"/>
  </r>
  <r>
    <n v="27"/>
    <s v="No"/>
    <s v="Travel_Rarely"/>
    <n v="975"/>
    <x v="1"/>
    <n v="7"/>
    <n v="3"/>
    <s v="Medical"/>
    <n v="1"/>
    <n v="764"/>
    <n v="4"/>
    <s v="Female"/>
    <n v="55"/>
    <n v="2"/>
    <n v="2"/>
    <s v="Healthcare Representative"/>
    <n v="1"/>
    <s v="Single"/>
    <n v="6811"/>
    <n v="23398"/>
    <n v="8"/>
    <s v="Y"/>
    <s v="No"/>
    <n v="19"/>
    <n v="3"/>
    <n v="1"/>
    <n v="80"/>
    <n v="0"/>
    <n v="9"/>
    <n v="2"/>
    <n v="1"/>
    <n v="7"/>
    <n v="6"/>
    <n v="0"/>
    <n v="7"/>
    <s v="LAB-764"/>
    <x v="4"/>
    <x v="1"/>
    <x v="1"/>
    <n v="7"/>
    <x v="0"/>
  </r>
  <r>
    <n v="29"/>
    <s v="No"/>
    <s v="Travel_Rarely"/>
    <n v="1090"/>
    <x v="0"/>
    <n v="10"/>
    <n v="3"/>
    <s v="Marketing"/>
    <n v="1"/>
    <n v="766"/>
    <n v="4"/>
    <s v="Male"/>
    <n v="83"/>
    <n v="3"/>
    <n v="1"/>
    <s v="Sales Representative"/>
    <n v="2"/>
    <s v="Divorced"/>
    <n v="2297"/>
    <n v="17967"/>
    <n v="1"/>
    <s v="Y"/>
    <s v="No"/>
    <n v="14"/>
    <n v="3"/>
    <n v="4"/>
    <n v="80"/>
    <n v="2"/>
    <n v="2"/>
    <n v="2"/>
    <n v="3"/>
    <n v="2"/>
    <n v="2"/>
    <n v="2"/>
    <n v="2"/>
    <s v="LAB-766"/>
    <x v="6"/>
    <x v="0"/>
    <x v="1"/>
    <n v="2"/>
    <x v="0"/>
  </r>
  <r>
    <n v="53"/>
    <s v="No"/>
    <s v="Travel_Rarely"/>
    <n v="346"/>
    <x v="1"/>
    <n v="6"/>
    <n v="3"/>
    <s v="Life Sciences"/>
    <n v="1"/>
    <n v="769"/>
    <n v="4"/>
    <s v="Male"/>
    <n v="86"/>
    <n v="3"/>
    <n v="2"/>
    <s v="Laboratory Technician"/>
    <n v="4"/>
    <s v="Single"/>
    <n v="2450"/>
    <n v="10919"/>
    <n v="2"/>
    <s v="Y"/>
    <s v="No"/>
    <n v="17"/>
    <n v="3"/>
    <n v="4"/>
    <n v="80"/>
    <n v="0"/>
    <n v="19"/>
    <n v="4"/>
    <n v="3"/>
    <n v="2"/>
    <n v="2"/>
    <n v="2"/>
    <n v="2"/>
    <s v="LAB-769"/>
    <x v="2"/>
    <x v="1"/>
    <x v="1"/>
    <n v="2"/>
    <x v="0"/>
  </r>
  <r>
    <n v="35"/>
    <s v="No"/>
    <s v="Non-Travel"/>
    <n v="1225"/>
    <x v="1"/>
    <n v="2"/>
    <n v="4"/>
    <s v="Life Sciences"/>
    <n v="1"/>
    <n v="771"/>
    <n v="4"/>
    <s v="Female"/>
    <n v="61"/>
    <n v="3"/>
    <n v="2"/>
    <s v="Healthcare Representative"/>
    <n v="1"/>
    <s v="Divorced"/>
    <n v="5093"/>
    <n v="4761"/>
    <n v="2"/>
    <s v="Y"/>
    <s v="No"/>
    <n v="11"/>
    <n v="3"/>
    <n v="1"/>
    <n v="80"/>
    <n v="1"/>
    <n v="16"/>
    <n v="2"/>
    <n v="4"/>
    <n v="1"/>
    <n v="0"/>
    <n v="0"/>
    <n v="0"/>
    <s v="LAB-771"/>
    <x v="4"/>
    <x v="1"/>
    <x v="1"/>
    <n v="1"/>
    <x v="0"/>
  </r>
  <r>
    <n v="32"/>
    <s v="No"/>
    <s v="Travel_Frequently"/>
    <n v="430"/>
    <x v="1"/>
    <n v="24"/>
    <n v="4"/>
    <s v="Life Sciences"/>
    <n v="1"/>
    <n v="772"/>
    <n v="1"/>
    <s v="Male"/>
    <n v="80"/>
    <n v="3"/>
    <n v="2"/>
    <s v="Laboratory Technician"/>
    <n v="4"/>
    <s v="Married"/>
    <n v="5309"/>
    <n v="21146"/>
    <n v="1"/>
    <s v="Y"/>
    <s v="No"/>
    <n v="15"/>
    <n v="3"/>
    <n v="4"/>
    <n v="80"/>
    <n v="2"/>
    <n v="10"/>
    <n v="2"/>
    <n v="3"/>
    <n v="10"/>
    <n v="8"/>
    <n v="4"/>
    <n v="7"/>
    <s v="LAB-772"/>
    <x v="2"/>
    <x v="1"/>
    <x v="1"/>
    <n v="10"/>
    <x v="0"/>
  </r>
  <r>
    <n v="38"/>
    <s v="No"/>
    <s v="Travel_Rarely"/>
    <n v="268"/>
    <x v="1"/>
    <n v="2"/>
    <n v="5"/>
    <s v="Medical"/>
    <n v="1"/>
    <n v="773"/>
    <n v="4"/>
    <s v="Male"/>
    <n v="92"/>
    <n v="3"/>
    <n v="1"/>
    <s v="Research Scientist"/>
    <n v="3"/>
    <s v="Married"/>
    <n v="3057"/>
    <n v="20471"/>
    <n v="6"/>
    <s v="Y"/>
    <s v="Yes"/>
    <n v="13"/>
    <n v="3"/>
    <n v="2"/>
    <n v="80"/>
    <n v="1"/>
    <n v="6"/>
    <n v="0"/>
    <n v="1"/>
    <n v="1"/>
    <n v="0"/>
    <n v="0"/>
    <n v="1"/>
    <s v="LAB-773"/>
    <x v="1"/>
    <x v="1"/>
    <x v="1"/>
    <n v="1"/>
    <x v="0"/>
  </r>
  <r>
    <n v="34"/>
    <s v="No"/>
    <s v="Travel_Rarely"/>
    <n v="167"/>
    <x v="1"/>
    <n v="8"/>
    <n v="5"/>
    <s v="Life Sciences"/>
    <n v="1"/>
    <n v="775"/>
    <n v="2"/>
    <s v="Female"/>
    <n v="32"/>
    <n v="3"/>
    <n v="2"/>
    <s v="Manufacturing Director"/>
    <n v="1"/>
    <s v="Divorced"/>
    <n v="5121"/>
    <n v="4187"/>
    <n v="3"/>
    <s v="Y"/>
    <s v="No"/>
    <n v="14"/>
    <n v="3"/>
    <n v="3"/>
    <n v="80"/>
    <n v="1"/>
    <n v="7"/>
    <n v="3"/>
    <n v="3"/>
    <n v="0"/>
    <n v="0"/>
    <n v="0"/>
    <n v="0"/>
    <s v="LAB-775"/>
    <x v="3"/>
    <x v="1"/>
    <x v="1"/>
    <n v="0"/>
    <x v="0"/>
  </r>
  <r>
    <n v="52"/>
    <s v="No"/>
    <s v="Travel_Rarely"/>
    <n v="621"/>
    <x v="0"/>
    <n v="3"/>
    <n v="4"/>
    <s v="Marketing"/>
    <n v="1"/>
    <n v="776"/>
    <n v="3"/>
    <s v="Male"/>
    <n v="31"/>
    <n v="2"/>
    <n v="4"/>
    <s v="Manager"/>
    <n v="1"/>
    <s v="Married"/>
    <n v="16856"/>
    <n v="10084"/>
    <n v="1"/>
    <s v="Y"/>
    <s v="No"/>
    <n v="11"/>
    <n v="3"/>
    <n v="1"/>
    <n v="80"/>
    <n v="0"/>
    <n v="34"/>
    <n v="3"/>
    <n v="4"/>
    <n v="34"/>
    <n v="6"/>
    <n v="1"/>
    <n v="16"/>
    <s v="LAB-776"/>
    <x v="5"/>
    <x v="0"/>
    <x v="1"/>
    <n v="34"/>
    <x v="0"/>
  </r>
  <r>
    <n v="33"/>
    <s v="Yes"/>
    <s v="Travel_Rarely"/>
    <n v="527"/>
    <x v="1"/>
    <n v="1"/>
    <n v="4"/>
    <s v="Other"/>
    <n v="1"/>
    <n v="780"/>
    <n v="4"/>
    <s v="Male"/>
    <n v="63"/>
    <n v="3"/>
    <n v="1"/>
    <s v="Research Scientist"/>
    <n v="4"/>
    <s v="Single"/>
    <n v="2686"/>
    <n v="5207"/>
    <n v="1"/>
    <s v="Y"/>
    <s v="Yes"/>
    <n v="13"/>
    <n v="3"/>
    <n v="3"/>
    <n v="80"/>
    <n v="0"/>
    <n v="10"/>
    <n v="2"/>
    <n v="2"/>
    <n v="10"/>
    <n v="9"/>
    <n v="7"/>
    <n v="8"/>
    <s v="LAB-780"/>
    <x v="1"/>
    <x v="1"/>
    <x v="0"/>
    <n v="10"/>
    <x v="0"/>
  </r>
  <r>
    <n v="25"/>
    <s v="No"/>
    <s v="Travel_Rarely"/>
    <n v="883"/>
    <x v="0"/>
    <n v="26"/>
    <n v="1"/>
    <s v="Medical"/>
    <n v="1"/>
    <n v="781"/>
    <n v="3"/>
    <s v="Female"/>
    <n v="32"/>
    <n v="3"/>
    <n v="2"/>
    <s v="Sales Executive"/>
    <n v="4"/>
    <s v="Single"/>
    <n v="6180"/>
    <n v="22807"/>
    <n v="1"/>
    <s v="Y"/>
    <s v="No"/>
    <n v="23"/>
    <n v="4"/>
    <n v="2"/>
    <n v="80"/>
    <n v="0"/>
    <n v="6"/>
    <n v="5"/>
    <n v="2"/>
    <n v="6"/>
    <n v="5"/>
    <n v="1"/>
    <n v="4"/>
    <s v="LAB-781"/>
    <x v="0"/>
    <x v="0"/>
    <x v="1"/>
    <n v="6"/>
    <x v="0"/>
  </r>
  <r>
    <n v="45"/>
    <s v="No"/>
    <s v="Travel_Rarely"/>
    <n v="954"/>
    <x v="0"/>
    <n v="2"/>
    <n v="2"/>
    <s v="Technical Degree"/>
    <n v="1"/>
    <n v="783"/>
    <n v="2"/>
    <s v="Male"/>
    <n v="46"/>
    <n v="1"/>
    <n v="2"/>
    <s v="Sales Representative"/>
    <n v="3"/>
    <s v="Single"/>
    <n v="6632"/>
    <n v="12388"/>
    <n v="0"/>
    <s v="Y"/>
    <s v="No"/>
    <n v="13"/>
    <n v="3"/>
    <n v="1"/>
    <n v="80"/>
    <n v="0"/>
    <n v="9"/>
    <n v="3"/>
    <n v="3"/>
    <n v="8"/>
    <n v="7"/>
    <n v="3"/>
    <n v="1"/>
    <s v="LAB-783"/>
    <x v="6"/>
    <x v="0"/>
    <x v="1"/>
    <n v="8"/>
    <x v="0"/>
  </r>
  <r>
    <n v="23"/>
    <s v="No"/>
    <s v="Travel_Rarely"/>
    <n v="310"/>
    <x v="1"/>
    <n v="10"/>
    <n v="1"/>
    <s v="Medical"/>
    <n v="1"/>
    <n v="784"/>
    <n v="1"/>
    <s v="Male"/>
    <n v="79"/>
    <n v="4"/>
    <n v="1"/>
    <s v="Research Scientist"/>
    <n v="3"/>
    <s v="Single"/>
    <n v="3505"/>
    <n v="19630"/>
    <n v="1"/>
    <s v="Y"/>
    <s v="No"/>
    <n v="18"/>
    <n v="3"/>
    <n v="4"/>
    <n v="80"/>
    <n v="0"/>
    <n v="2"/>
    <n v="3"/>
    <n v="3"/>
    <n v="2"/>
    <n v="2"/>
    <n v="0"/>
    <n v="2"/>
    <s v="LAB-784"/>
    <x v="1"/>
    <x v="1"/>
    <x v="1"/>
    <n v="2"/>
    <x v="0"/>
  </r>
  <r>
    <n v="47"/>
    <s v="Yes"/>
    <s v="Travel_Frequently"/>
    <n v="719"/>
    <x v="0"/>
    <n v="27"/>
    <n v="2"/>
    <s v="Life Sciences"/>
    <n v="1"/>
    <n v="785"/>
    <n v="2"/>
    <s v="Female"/>
    <n v="77"/>
    <n v="4"/>
    <n v="2"/>
    <s v="Sales Executive"/>
    <n v="3"/>
    <s v="Single"/>
    <n v="6397"/>
    <n v="10339"/>
    <n v="4"/>
    <s v="Y"/>
    <s v="Yes"/>
    <n v="12"/>
    <n v="3"/>
    <n v="4"/>
    <n v="80"/>
    <n v="0"/>
    <n v="8"/>
    <n v="2"/>
    <n v="3"/>
    <n v="5"/>
    <n v="4"/>
    <n v="1"/>
    <n v="3"/>
    <s v="LAB-785"/>
    <x v="0"/>
    <x v="0"/>
    <x v="0"/>
    <n v="5"/>
    <x v="0"/>
  </r>
  <r>
    <n v="34"/>
    <s v="No"/>
    <s v="Travel_Rarely"/>
    <n v="304"/>
    <x v="0"/>
    <n v="2"/>
    <n v="3"/>
    <s v="Other"/>
    <n v="1"/>
    <n v="786"/>
    <n v="4"/>
    <s v="Male"/>
    <n v="60"/>
    <n v="3"/>
    <n v="2"/>
    <s v="Sales Executive"/>
    <n v="4"/>
    <s v="Single"/>
    <n v="6274"/>
    <n v="18686"/>
    <n v="1"/>
    <s v="Y"/>
    <s v="No"/>
    <n v="22"/>
    <n v="4"/>
    <n v="3"/>
    <n v="80"/>
    <n v="0"/>
    <n v="6"/>
    <n v="5"/>
    <n v="3"/>
    <n v="6"/>
    <n v="5"/>
    <n v="1"/>
    <n v="4"/>
    <s v="LAB-786"/>
    <x v="0"/>
    <x v="0"/>
    <x v="1"/>
    <n v="6"/>
    <x v="0"/>
  </r>
  <r>
    <n v="55"/>
    <s v="Yes"/>
    <s v="Travel_Rarely"/>
    <n v="725"/>
    <x v="1"/>
    <n v="2"/>
    <n v="3"/>
    <s v="Medical"/>
    <n v="1"/>
    <n v="787"/>
    <n v="4"/>
    <s v="Male"/>
    <n v="78"/>
    <n v="3"/>
    <n v="5"/>
    <s v="Manager"/>
    <n v="1"/>
    <s v="Married"/>
    <n v="19859"/>
    <n v="21199"/>
    <n v="5"/>
    <s v="Y"/>
    <s v="Yes"/>
    <n v="13"/>
    <n v="3"/>
    <n v="4"/>
    <n v="80"/>
    <n v="1"/>
    <n v="24"/>
    <n v="2"/>
    <n v="3"/>
    <n v="5"/>
    <n v="2"/>
    <n v="1"/>
    <n v="4"/>
    <s v="LAB-787"/>
    <x v="5"/>
    <x v="1"/>
    <x v="0"/>
    <n v="5"/>
    <x v="0"/>
  </r>
  <r>
    <n v="36"/>
    <s v="No"/>
    <s v="Non-Travel"/>
    <n v="1434"/>
    <x v="0"/>
    <n v="8"/>
    <n v="4"/>
    <s v="Life Sciences"/>
    <n v="1"/>
    <n v="789"/>
    <n v="1"/>
    <s v="Male"/>
    <n v="76"/>
    <n v="2"/>
    <n v="3"/>
    <s v="Sales Executive"/>
    <n v="1"/>
    <s v="Single"/>
    <n v="7587"/>
    <n v="14229"/>
    <n v="1"/>
    <s v="Y"/>
    <s v="No"/>
    <n v="15"/>
    <n v="3"/>
    <n v="2"/>
    <n v="80"/>
    <n v="0"/>
    <n v="10"/>
    <n v="1"/>
    <n v="3"/>
    <n v="10"/>
    <n v="7"/>
    <n v="0"/>
    <n v="9"/>
    <s v="LAB-789"/>
    <x v="0"/>
    <x v="0"/>
    <x v="1"/>
    <n v="10"/>
    <x v="0"/>
  </r>
  <r>
    <n v="52"/>
    <s v="No"/>
    <s v="Non-Travel"/>
    <n v="715"/>
    <x v="1"/>
    <n v="19"/>
    <n v="4"/>
    <s v="Medical"/>
    <n v="1"/>
    <n v="791"/>
    <n v="4"/>
    <s v="Male"/>
    <n v="41"/>
    <n v="3"/>
    <n v="1"/>
    <s v="Research Scientist"/>
    <n v="4"/>
    <s v="Married"/>
    <n v="4258"/>
    <n v="26589"/>
    <n v="0"/>
    <s v="Y"/>
    <s v="No"/>
    <n v="18"/>
    <n v="3"/>
    <n v="1"/>
    <n v="80"/>
    <n v="1"/>
    <n v="5"/>
    <n v="3"/>
    <n v="3"/>
    <n v="4"/>
    <n v="3"/>
    <n v="1"/>
    <n v="2"/>
    <s v="LAB-791"/>
    <x v="1"/>
    <x v="1"/>
    <x v="1"/>
    <n v="4"/>
    <x v="0"/>
  </r>
  <r>
    <n v="26"/>
    <s v="No"/>
    <s v="Travel_Frequently"/>
    <n v="575"/>
    <x v="1"/>
    <n v="1"/>
    <n v="2"/>
    <s v="Life Sciences"/>
    <n v="1"/>
    <n v="792"/>
    <n v="1"/>
    <s v="Female"/>
    <n v="71"/>
    <n v="1"/>
    <n v="1"/>
    <s v="Laboratory Technician"/>
    <n v="4"/>
    <s v="Divorced"/>
    <n v="4364"/>
    <n v="5288"/>
    <n v="3"/>
    <s v="Y"/>
    <s v="No"/>
    <n v="14"/>
    <n v="3"/>
    <n v="1"/>
    <n v="80"/>
    <n v="1"/>
    <n v="5"/>
    <n v="2"/>
    <n v="3"/>
    <n v="2"/>
    <n v="2"/>
    <n v="2"/>
    <n v="0"/>
    <s v="LAB-792"/>
    <x v="2"/>
    <x v="1"/>
    <x v="1"/>
    <n v="2"/>
    <x v="0"/>
  </r>
  <r>
    <n v="29"/>
    <s v="No"/>
    <s v="Travel_Rarely"/>
    <n v="657"/>
    <x v="1"/>
    <n v="27"/>
    <n v="3"/>
    <s v="Medical"/>
    <n v="1"/>
    <n v="793"/>
    <n v="2"/>
    <s v="Female"/>
    <n v="66"/>
    <n v="3"/>
    <n v="2"/>
    <s v="Healthcare Representative"/>
    <n v="3"/>
    <s v="Married"/>
    <n v="4335"/>
    <n v="25549"/>
    <n v="4"/>
    <s v="Y"/>
    <s v="No"/>
    <n v="12"/>
    <n v="3"/>
    <n v="1"/>
    <n v="80"/>
    <n v="1"/>
    <n v="11"/>
    <n v="3"/>
    <n v="2"/>
    <n v="8"/>
    <n v="7"/>
    <n v="1"/>
    <n v="1"/>
    <s v="LAB-793"/>
    <x v="4"/>
    <x v="1"/>
    <x v="1"/>
    <n v="8"/>
    <x v="0"/>
  </r>
  <r>
    <n v="26"/>
    <s v="Yes"/>
    <s v="Travel_Rarely"/>
    <n v="1146"/>
    <x v="0"/>
    <n v="8"/>
    <n v="3"/>
    <s v="Technical Degree"/>
    <n v="1"/>
    <n v="796"/>
    <n v="4"/>
    <s v="Male"/>
    <n v="38"/>
    <n v="2"/>
    <n v="2"/>
    <s v="Sales Executive"/>
    <n v="1"/>
    <s v="Single"/>
    <n v="5326"/>
    <n v="3064"/>
    <n v="6"/>
    <s v="Y"/>
    <s v="No"/>
    <n v="17"/>
    <n v="3"/>
    <n v="3"/>
    <n v="80"/>
    <n v="0"/>
    <n v="6"/>
    <n v="2"/>
    <n v="2"/>
    <n v="4"/>
    <n v="3"/>
    <n v="1"/>
    <n v="2"/>
    <s v="LAB-796"/>
    <x v="0"/>
    <x v="0"/>
    <x v="0"/>
    <n v="4"/>
    <x v="0"/>
  </r>
  <r>
    <n v="34"/>
    <s v="No"/>
    <s v="Travel_Rarely"/>
    <n v="182"/>
    <x v="1"/>
    <n v="1"/>
    <n v="4"/>
    <s v="Life Sciences"/>
    <n v="1"/>
    <n v="797"/>
    <n v="2"/>
    <s v="Female"/>
    <n v="72"/>
    <n v="4"/>
    <n v="1"/>
    <s v="Research Scientist"/>
    <n v="4"/>
    <s v="Single"/>
    <n v="3280"/>
    <n v="13551"/>
    <n v="2"/>
    <s v="Y"/>
    <s v="No"/>
    <n v="16"/>
    <n v="3"/>
    <n v="3"/>
    <n v="80"/>
    <n v="0"/>
    <n v="10"/>
    <n v="2"/>
    <n v="3"/>
    <n v="4"/>
    <n v="2"/>
    <n v="1"/>
    <n v="3"/>
    <s v="LAB-797"/>
    <x v="1"/>
    <x v="1"/>
    <x v="1"/>
    <n v="4"/>
    <x v="0"/>
  </r>
  <r>
    <n v="54"/>
    <s v="No"/>
    <s v="Travel_Rarely"/>
    <n v="376"/>
    <x v="1"/>
    <n v="19"/>
    <n v="4"/>
    <s v="Medical"/>
    <n v="1"/>
    <n v="799"/>
    <n v="4"/>
    <s v="Female"/>
    <n v="95"/>
    <n v="3"/>
    <n v="2"/>
    <s v="Manufacturing Director"/>
    <n v="1"/>
    <s v="Divorced"/>
    <n v="5485"/>
    <n v="22670"/>
    <n v="9"/>
    <s v="Y"/>
    <s v="Yes"/>
    <n v="11"/>
    <n v="3"/>
    <n v="2"/>
    <n v="80"/>
    <n v="2"/>
    <n v="9"/>
    <n v="4"/>
    <n v="3"/>
    <n v="5"/>
    <n v="3"/>
    <n v="1"/>
    <n v="4"/>
    <s v="LAB-799"/>
    <x v="3"/>
    <x v="1"/>
    <x v="1"/>
    <n v="5"/>
    <x v="0"/>
  </r>
  <r>
    <n v="27"/>
    <s v="No"/>
    <s v="Travel_Frequently"/>
    <n v="829"/>
    <x v="0"/>
    <n v="8"/>
    <n v="1"/>
    <s v="Marketing"/>
    <n v="1"/>
    <n v="800"/>
    <n v="3"/>
    <s v="Male"/>
    <n v="84"/>
    <n v="3"/>
    <n v="2"/>
    <s v="Sales Executive"/>
    <n v="4"/>
    <s v="Married"/>
    <n v="4342"/>
    <n v="24008"/>
    <n v="0"/>
    <s v="Y"/>
    <s v="No"/>
    <n v="19"/>
    <n v="3"/>
    <n v="2"/>
    <n v="80"/>
    <n v="1"/>
    <n v="5"/>
    <n v="3"/>
    <n v="3"/>
    <n v="4"/>
    <n v="2"/>
    <n v="1"/>
    <n v="1"/>
    <s v="LAB-800"/>
    <x v="0"/>
    <x v="0"/>
    <x v="1"/>
    <n v="4"/>
    <x v="0"/>
  </r>
  <r>
    <n v="37"/>
    <s v="No"/>
    <s v="Travel_Rarely"/>
    <n v="571"/>
    <x v="1"/>
    <n v="10"/>
    <n v="1"/>
    <s v="Life Sciences"/>
    <n v="1"/>
    <n v="802"/>
    <n v="4"/>
    <s v="Female"/>
    <n v="82"/>
    <n v="3"/>
    <n v="1"/>
    <s v="Research Scientist"/>
    <n v="1"/>
    <s v="Divorced"/>
    <n v="2782"/>
    <n v="19905"/>
    <n v="0"/>
    <s v="Y"/>
    <s v="Yes"/>
    <n v="13"/>
    <n v="3"/>
    <n v="2"/>
    <n v="80"/>
    <n v="2"/>
    <n v="6"/>
    <n v="3"/>
    <n v="2"/>
    <n v="5"/>
    <n v="3"/>
    <n v="4"/>
    <n v="3"/>
    <s v="LAB-802"/>
    <x v="1"/>
    <x v="1"/>
    <x v="1"/>
    <n v="5"/>
    <x v="0"/>
  </r>
  <r>
    <n v="38"/>
    <s v="No"/>
    <s v="Travel_Frequently"/>
    <n v="240"/>
    <x v="1"/>
    <n v="2"/>
    <n v="4"/>
    <s v="Life Sciences"/>
    <n v="1"/>
    <n v="803"/>
    <n v="1"/>
    <s v="Female"/>
    <n v="75"/>
    <n v="4"/>
    <n v="2"/>
    <s v="Manufacturing Director"/>
    <n v="1"/>
    <s v="Single"/>
    <n v="5980"/>
    <n v="26085"/>
    <n v="6"/>
    <s v="Y"/>
    <s v="Yes"/>
    <n v="12"/>
    <n v="3"/>
    <n v="4"/>
    <n v="80"/>
    <n v="0"/>
    <n v="17"/>
    <n v="2"/>
    <n v="3"/>
    <n v="15"/>
    <n v="7"/>
    <n v="4"/>
    <n v="12"/>
    <s v="LAB-803"/>
    <x v="3"/>
    <x v="1"/>
    <x v="1"/>
    <n v="15"/>
    <x v="0"/>
  </r>
  <r>
    <n v="34"/>
    <s v="No"/>
    <s v="Travel_Rarely"/>
    <n v="121"/>
    <x v="1"/>
    <n v="2"/>
    <n v="4"/>
    <s v="Medical"/>
    <n v="1"/>
    <n v="804"/>
    <n v="3"/>
    <s v="Female"/>
    <n v="86"/>
    <n v="2"/>
    <n v="1"/>
    <s v="Research Scientist"/>
    <n v="1"/>
    <s v="Single"/>
    <n v="4381"/>
    <n v="7530"/>
    <n v="1"/>
    <s v="Y"/>
    <s v="No"/>
    <n v="11"/>
    <n v="3"/>
    <n v="3"/>
    <n v="80"/>
    <n v="0"/>
    <n v="6"/>
    <n v="3"/>
    <n v="3"/>
    <n v="6"/>
    <n v="5"/>
    <n v="1"/>
    <n v="3"/>
    <s v="LAB-804"/>
    <x v="1"/>
    <x v="1"/>
    <x v="1"/>
    <n v="6"/>
    <x v="0"/>
  </r>
  <r>
    <n v="35"/>
    <s v="No"/>
    <s v="Travel_Rarely"/>
    <n v="384"/>
    <x v="0"/>
    <n v="8"/>
    <n v="4"/>
    <s v="Life Sciences"/>
    <n v="1"/>
    <n v="805"/>
    <n v="1"/>
    <s v="Female"/>
    <n v="72"/>
    <n v="3"/>
    <n v="1"/>
    <s v="Sales Representative"/>
    <n v="4"/>
    <s v="Married"/>
    <n v="2572"/>
    <n v="20317"/>
    <n v="1"/>
    <s v="Y"/>
    <s v="No"/>
    <n v="16"/>
    <n v="3"/>
    <n v="2"/>
    <n v="80"/>
    <n v="1"/>
    <n v="3"/>
    <n v="1"/>
    <n v="2"/>
    <n v="3"/>
    <n v="2"/>
    <n v="0"/>
    <n v="2"/>
    <s v="LAB-805"/>
    <x v="6"/>
    <x v="0"/>
    <x v="1"/>
    <n v="3"/>
    <x v="0"/>
  </r>
  <r>
    <n v="30"/>
    <s v="No"/>
    <s v="Travel_Rarely"/>
    <n v="921"/>
    <x v="1"/>
    <n v="1"/>
    <n v="3"/>
    <s v="Life Sciences"/>
    <n v="1"/>
    <n v="806"/>
    <n v="4"/>
    <s v="Male"/>
    <n v="38"/>
    <n v="1"/>
    <n v="1"/>
    <s v="Laboratory Technician"/>
    <n v="3"/>
    <s v="Married"/>
    <n v="3833"/>
    <n v="24375"/>
    <n v="3"/>
    <s v="Y"/>
    <s v="No"/>
    <n v="21"/>
    <n v="4"/>
    <n v="3"/>
    <n v="80"/>
    <n v="2"/>
    <n v="7"/>
    <n v="2"/>
    <n v="3"/>
    <n v="2"/>
    <n v="2"/>
    <n v="0"/>
    <n v="2"/>
    <s v="LAB-806"/>
    <x v="2"/>
    <x v="1"/>
    <x v="1"/>
    <n v="2"/>
    <x v="0"/>
  </r>
  <r>
    <n v="40"/>
    <s v="No"/>
    <s v="Travel_Frequently"/>
    <n v="791"/>
    <x v="1"/>
    <n v="2"/>
    <n v="2"/>
    <s v="Medical"/>
    <n v="1"/>
    <n v="807"/>
    <n v="3"/>
    <s v="Female"/>
    <n v="38"/>
    <n v="4"/>
    <n v="2"/>
    <s v="Healthcare Representative"/>
    <n v="2"/>
    <s v="Married"/>
    <n v="4244"/>
    <n v="9931"/>
    <n v="1"/>
    <s v="Y"/>
    <s v="No"/>
    <n v="24"/>
    <n v="4"/>
    <n v="4"/>
    <n v="80"/>
    <n v="1"/>
    <n v="8"/>
    <n v="2"/>
    <n v="3"/>
    <n v="8"/>
    <n v="7"/>
    <n v="3"/>
    <n v="7"/>
    <s v="LAB-807"/>
    <x v="4"/>
    <x v="1"/>
    <x v="1"/>
    <n v="8"/>
    <x v="0"/>
  </r>
  <r>
    <n v="34"/>
    <s v="No"/>
    <s v="Travel_Rarely"/>
    <n v="1111"/>
    <x v="0"/>
    <n v="8"/>
    <n v="2"/>
    <s v="Life Sciences"/>
    <n v="1"/>
    <n v="808"/>
    <n v="3"/>
    <s v="Female"/>
    <n v="93"/>
    <n v="3"/>
    <n v="2"/>
    <s v="Sales Executive"/>
    <n v="1"/>
    <s v="Married"/>
    <n v="6500"/>
    <n v="13305"/>
    <n v="5"/>
    <s v="Y"/>
    <s v="No"/>
    <n v="17"/>
    <n v="3"/>
    <n v="2"/>
    <n v="80"/>
    <n v="1"/>
    <n v="6"/>
    <n v="1"/>
    <n v="3"/>
    <n v="3"/>
    <n v="2"/>
    <n v="1"/>
    <n v="2"/>
    <s v="LAB-808"/>
    <x v="0"/>
    <x v="0"/>
    <x v="1"/>
    <n v="3"/>
    <x v="0"/>
  </r>
  <r>
    <n v="42"/>
    <s v="No"/>
    <s v="Travel_Frequently"/>
    <n v="570"/>
    <x v="1"/>
    <n v="8"/>
    <n v="3"/>
    <s v="Life Sciences"/>
    <n v="1"/>
    <n v="809"/>
    <n v="2"/>
    <s v="Male"/>
    <n v="66"/>
    <n v="3"/>
    <n v="5"/>
    <s v="Manager"/>
    <n v="4"/>
    <s v="Divorced"/>
    <n v="18430"/>
    <n v="16225"/>
    <n v="1"/>
    <s v="Y"/>
    <s v="No"/>
    <n v="13"/>
    <n v="3"/>
    <n v="2"/>
    <n v="80"/>
    <n v="1"/>
    <n v="24"/>
    <n v="4"/>
    <n v="2"/>
    <n v="24"/>
    <n v="7"/>
    <n v="14"/>
    <n v="9"/>
    <s v="LAB-809"/>
    <x v="5"/>
    <x v="1"/>
    <x v="1"/>
    <n v="24"/>
    <x v="0"/>
  </r>
  <r>
    <n v="23"/>
    <s v="Yes"/>
    <s v="Travel_Rarely"/>
    <n v="1243"/>
    <x v="1"/>
    <n v="6"/>
    <n v="3"/>
    <s v="Life Sciences"/>
    <n v="1"/>
    <n v="811"/>
    <n v="3"/>
    <s v="Male"/>
    <n v="63"/>
    <n v="4"/>
    <n v="1"/>
    <s v="Laboratory Technician"/>
    <n v="1"/>
    <s v="Married"/>
    <n v="1601"/>
    <n v="3445"/>
    <n v="1"/>
    <s v="Y"/>
    <s v="Yes"/>
    <n v="21"/>
    <n v="4"/>
    <n v="3"/>
    <n v="80"/>
    <n v="2"/>
    <n v="1"/>
    <n v="2"/>
    <n v="3"/>
    <n v="0"/>
    <n v="0"/>
    <n v="0"/>
    <n v="0"/>
    <s v="LAB-811"/>
    <x v="2"/>
    <x v="1"/>
    <x v="0"/>
    <n v="0"/>
    <x v="0"/>
  </r>
  <r>
    <n v="24"/>
    <s v="No"/>
    <s v="Non-Travel"/>
    <n v="1092"/>
    <x v="1"/>
    <n v="9"/>
    <n v="3"/>
    <s v="Life Sciences"/>
    <n v="1"/>
    <n v="812"/>
    <n v="3"/>
    <s v="Male"/>
    <n v="60"/>
    <n v="2"/>
    <n v="1"/>
    <s v="Laboratory Technician"/>
    <n v="2"/>
    <s v="Divorced"/>
    <n v="2694"/>
    <n v="26551"/>
    <n v="1"/>
    <s v="Y"/>
    <s v="No"/>
    <n v="11"/>
    <n v="3"/>
    <n v="3"/>
    <n v="80"/>
    <n v="3"/>
    <n v="1"/>
    <n v="4"/>
    <n v="3"/>
    <n v="1"/>
    <n v="0"/>
    <n v="0"/>
    <n v="0"/>
    <s v="LAB-812"/>
    <x v="2"/>
    <x v="1"/>
    <x v="1"/>
    <n v="1"/>
    <x v="0"/>
  </r>
  <r>
    <n v="52"/>
    <s v="No"/>
    <s v="Travel_Rarely"/>
    <n v="1325"/>
    <x v="1"/>
    <n v="11"/>
    <n v="4"/>
    <s v="Life Sciences"/>
    <n v="1"/>
    <n v="813"/>
    <n v="4"/>
    <s v="Female"/>
    <n v="82"/>
    <n v="3"/>
    <n v="2"/>
    <s v="Laboratory Technician"/>
    <n v="3"/>
    <s v="Married"/>
    <n v="3149"/>
    <n v="21821"/>
    <n v="8"/>
    <s v="Y"/>
    <s v="No"/>
    <n v="20"/>
    <n v="4"/>
    <n v="2"/>
    <n v="80"/>
    <n v="1"/>
    <n v="9"/>
    <n v="3"/>
    <n v="3"/>
    <n v="5"/>
    <n v="2"/>
    <n v="1"/>
    <n v="4"/>
    <s v="LAB-813"/>
    <x v="2"/>
    <x v="1"/>
    <x v="1"/>
    <n v="5"/>
    <x v="0"/>
  </r>
  <r>
    <n v="50"/>
    <s v="No"/>
    <s v="Travel_Rarely"/>
    <n v="691"/>
    <x v="1"/>
    <n v="2"/>
    <n v="3"/>
    <s v="Medical"/>
    <n v="1"/>
    <n v="815"/>
    <n v="3"/>
    <s v="Male"/>
    <n v="64"/>
    <n v="3"/>
    <n v="4"/>
    <s v="Research Director"/>
    <n v="3"/>
    <s v="Married"/>
    <n v="17639"/>
    <n v="6881"/>
    <n v="5"/>
    <s v="Y"/>
    <s v="No"/>
    <n v="16"/>
    <n v="3"/>
    <n v="4"/>
    <n v="80"/>
    <n v="0"/>
    <n v="30"/>
    <n v="3"/>
    <n v="3"/>
    <n v="4"/>
    <n v="3"/>
    <n v="0"/>
    <n v="3"/>
    <s v="LAB-815"/>
    <x v="7"/>
    <x v="1"/>
    <x v="1"/>
    <n v="4"/>
    <x v="0"/>
  </r>
  <r>
    <n v="29"/>
    <s v="Yes"/>
    <s v="Travel_Rarely"/>
    <n v="805"/>
    <x v="1"/>
    <n v="1"/>
    <n v="2"/>
    <s v="Life Sciences"/>
    <n v="1"/>
    <n v="816"/>
    <n v="2"/>
    <s v="Female"/>
    <n v="36"/>
    <n v="2"/>
    <n v="1"/>
    <s v="Laboratory Technician"/>
    <n v="1"/>
    <s v="Married"/>
    <n v="2319"/>
    <n v="6689"/>
    <n v="1"/>
    <s v="Y"/>
    <s v="Yes"/>
    <n v="11"/>
    <n v="3"/>
    <n v="4"/>
    <n v="80"/>
    <n v="1"/>
    <n v="1"/>
    <n v="1"/>
    <n v="3"/>
    <n v="1"/>
    <n v="0"/>
    <n v="0"/>
    <n v="0"/>
    <s v="LAB-816"/>
    <x v="2"/>
    <x v="1"/>
    <x v="0"/>
    <n v="1"/>
    <x v="0"/>
  </r>
  <r>
    <n v="33"/>
    <s v="No"/>
    <s v="Travel_Rarely"/>
    <n v="213"/>
    <x v="1"/>
    <n v="7"/>
    <n v="3"/>
    <s v="Medical"/>
    <n v="1"/>
    <n v="817"/>
    <n v="3"/>
    <s v="Male"/>
    <n v="49"/>
    <n v="3"/>
    <n v="3"/>
    <s v="Research Director"/>
    <n v="3"/>
    <s v="Married"/>
    <n v="11691"/>
    <n v="25995"/>
    <n v="0"/>
    <s v="Y"/>
    <s v="No"/>
    <n v="11"/>
    <n v="3"/>
    <n v="4"/>
    <n v="80"/>
    <n v="0"/>
    <n v="14"/>
    <n v="3"/>
    <n v="4"/>
    <n v="13"/>
    <n v="9"/>
    <n v="3"/>
    <n v="7"/>
    <s v="LAB-817"/>
    <x v="7"/>
    <x v="1"/>
    <x v="1"/>
    <n v="13"/>
    <x v="0"/>
  </r>
  <r>
    <n v="33"/>
    <s v="Yes"/>
    <s v="Travel_Rarely"/>
    <n v="118"/>
    <x v="0"/>
    <n v="16"/>
    <n v="3"/>
    <s v="Marketing"/>
    <n v="1"/>
    <n v="819"/>
    <n v="1"/>
    <s v="Female"/>
    <n v="69"/>
    <n v="3"/>
    <n v="2"/>
    <s v="Sales Executive"/>
    <n v="1"/>
    <s v="Single"/>
    <n v="5324"/>
    <n v="26507"/>
    <n v="5"/>
    <s v="Y"/>
    <s v="No"/>
    <n v="15"/>
    <n v="3"/>
    <n v="3"/>
    <n v="80"/>
    <n v="0"/>
    <n v="6"/>
    <n v="3"/>
    <n v="3"/>
    <n v="3"/>
    <n v="2"/>
    <n v="0"/>
    <n v="2"/>
    <s v="LAB-819"/>
    <x v="0"/>
    <x v="0"/>
    <x v="0"/>
    <n v="3"/>
    <x v="0"/>
  </r>
  <r>
    <n v="47"/>
    <s v="No"/>
    <s v="Travel_Rarely"/>
    <n v="202"/>
    <x v="1"/>
    <n v="2"/>
    <n v="2"/>
    <s v="Other"/>
    <n v="1"/>
    <n v="820"/>
    <n v="3"/>
    <s v="Female"/>
    <n v="33"/>
    <n v="3"/>
    <n v="4"/>
    <s v="Manager"/>
    <n v="4"/>
    <s v="Married"/>
    <n v="16752"/>
    <n v="12982"/>
    <n v="1"/>
    <s v="Y"/>
    <s v="Yes"/>
    <n v="11"/>
    <n v="3"/>
    <n v="3"/>
    <n v="80"/>
    <n v="1"/>
    <n v="26"/>
    <n v="3"/>
    <n v="2"/>
    <n v="26"/>
    <n v="14"/>
    <n v="3"/>
    <n v="0"/>
    <s v="LAB-820"/>
    <x v="5"/>
    <x v="1"/>
    <x v="1"/>
    <n v="26"/>
    <x v="0"/>
  </r>
  <r>
    <n v="36"/>
    <s v="No"/>
    <s v="Travel_Rarely"/>
    <n v="676"/>
    <x v="1"/>
    <n v="1"/>
    <n v="3"/>
    <s v="Other"/>
    <n v="1"/>
    <n v="823"/>
    <n v="3"/>
    <s v="Female"/>
    <n v="35"/>
    <n v="3"/>
    <n v="2"/>
    <s v="Manufacturing Director"/>
    <n v="2"/>
    <s v="Married"/>
    <n v="5228"/>
    <n v="23361"/>
    <n v="0"/>
    <s v="Y"/>
    <s v="No"/>
    <n v="15"/>
    <n v="3"/>
    <n v="1"/>
    <n v="80"/>
    <n v="1"/>
    <n v="10"/>
    <n v="2"/>
    <n v="3"/>
    <n v="9"/>
    <n v="7"/>
    <n v="0"/>
    <n v="5"/>
    <s v="LAB-823"/>
    <x v="3"/>
    <x v="1"/>
    <x v="1"/>
    <n v="9"/>
    <x v="0"/>
  </r>
  <r>
    <n v="29"/>
    <s v="No"/>
    <s v="Travel_Rarely"/>
    <n v="1252"/>
    <x v="1"/>
    <n v="23"/>
    <n v="2"/>
    <s v="Life Sciences"/>
    <n v="1"/>
    <n v="824"/>
    <n v="3"/>
    <s v="Male"/>
    <n v="81"/>
    <n v="4"/>
    <n v="1"/>
    <s v="Research Scientist"/>
    <n v="3"/>
    <s v="Married"/>
    <n v="2700"/>
    <n v="23779"/>
    <n v="1"/>
    <s v="Y"/>
    <s v="No"/>
    <n v="24"/>
    <n v="4"/>
    <n v="3"/>
    <n v="80"/>
    <n v="1"/>
    <n v="10"/>
    <n v="3"/>
    <n v="3"/>
    <n v="10"/>
    <n v="7"/>
    <n v="0"/>
    <n v="7"/>
    <s v="LAB-824"/>
    <x v="1"/>
    <x v="1"/>
    <x v="1"/>
    <n v="10"/>
    <x v="0"/>
  </r>
  <r>
    <n v="58"/>
    <s v="Yes"/>
    <s v="Travel_Rarely"/>
    <n v="286"/>
    <x v="1"/>
    <n v="2"/>
    <n v="4"/>
    <s v="Life Sciences"/>
    <n v="1"/>
    <n v="825"/>
    <n v="4"/>
    <s v="Male"/>
    <n v="31"/>
    <n v="3"/>
    <n v="5"/>
    <s v="Research Director"/>
    <n v="2"/>
    <s v="Single"/>
    <n v="19246"/>
    <n v="25761"/>
    <n v="7"/>
    <s v="Y"/>
    <s v="Yes"/>
    <n v="12"/>
    <n v="3"/>
    <n v="4"/>
    <n v="80"/>
    <n v="0"/>
    <n v="40"/>
    <n v="2"/>
    <n v="3"/>
    <n v="31"/>
    <n v="15"/>
    <n v="13"/>
    <n v="8"/>
    <s v="LAB-825"/>
    <x v="7"/>
    <x v="1"/>
    <x v="0"/>
    <n v="31"/>
    <x v="0"/>
  </r>
  <r>
    <n v="35"/>
    <s v="No"/>
    <s v="Travel_Rarely"/>
    <n v="1258"/>
    <x v="1"/>
    <n v="1"/>
    <n v="4"/>
    <s v="Life Sciences"/>
    <n v="1"/>
    <n v="826"/>
    <n v="4"/>
    <s v="Female"/>
    <n v="40"/>
    <n v="4"/>
    <n v="1"/>
    <s v="Research Scientist"/>
    <n v="3"/>
    <s v="Single"/>
    <n v="2506"/>
    <n v="13301"/>
    <n v="3"/>
    <s v="Y"/>
    <s v="No"/>
    <n v="13"/>
    <n v="3"/>
    <n v="3"/>
    <n v="80"/>
    <n v="0"/>
    <n v="7"/>
    <n v="0"/>
    <n v="3"/>
    <n v="2"/>
    <n v="2"/>
    <n v="2"/>
    <n v="2"/>
    <s v="LAB-826"/>
    <x v="1"/>
    <x v="1"/>
    <x v="1"/>
    <n v="2"/>
    <x v="0"/>
  </r>
  <r>
    <n v="42"/>
    <s v="No"/>
    <s v="Travel_Rarely"/>
    <n v="932"/>
    <x v="1"/>
    <n v="1"/>
    <n v="2"/>
    <s v="Life Sciences"/>
    <n v="1"/>
    <n v="827"/>
    <n v="4"/>
    <s v="Female"/>
    <n v="43"/>
    <n v="2"/>
    <n v="2"/>
    <s v="Manufacturing Director"/>
    <n v="4"/>
    <s v="Married"/>
    <n v="6062"/>
    <n v="4051"/>
    <n v="9"/>
    <s v="Y"/>
    <s v="Yes"/>
    <n v="13"/>
    <n v="3"/>
    <n v="4"/>
    <n v="80"/>
    <n v="1"/>
    <n v="8"/>
    <n v="4"/>
    <n v="3"/>
    <n v="4"/>
    <n v="3"/>
    <n v="0"/>
    <n v="2"/>
    <s v="LAB-827"/>
    <x v="3"/>
    <x v="1"/>
    <x v="1"/>
    <n v="4"/>
    <x v="0"/>
  </r>
  <r>
    <n v="28"/>
    <s v="Yes"/>
    <s v="Travel_Rarely"/>
    <n v="890"/>
    <x v="1"/>
    <n v="2"/>
    <n v="4"/>
    <s v="Medical"/>
    <n v="1"/>
    <n v="828"/>
    <n v="3"/>
    <s v="Male"/>
    <n v="46"/>
    <n v="3"/>
    <n v="1"/>
    <s v="Research Scientist"/>
    <n v="3"/>
    <s v="Single"/>
    <n v="4382"/>
    <n v="16374"/>
    <n v="6"/>
    <s v="Y"/>
    <s v="No"/>
    <n v="17"/>
    <n v="3"/>
    <n v="4"/>
    <n v="80"/>
    <n v="0"/>
    <n v="5"/>
    <n v="3"/>
    <n v="2"/>
    <n v="2"/>
    <n v="2"/>
    <n v="2"/>
    <n v="1"/>
    <s v="LAB-828"/>
    <x v="1"/>
    <x v="1"/>
    <x v="0"/>
    <n v="2"/>
    <x v="0"/>
  </r>
  <r>
    <n v="36"/>
    <s v="No"/>
    <s v="Travel_Rarely"/>
    <n v="1041"/>
    <x v="2"/>
    <n v="13"/>
    <n v="3"/>
    <s v="Human Resources"/>
    <n v="1"/>
    <n v="829"/>
    <n v="3"/>
    <s v="Male"/>
    <n v="36"/>
    <n v="3"/>
    <n v="1"/>
    <s v="Human Resources"/>
    <n v="2"/>
    <s v="Married"/>
    <n v="2143"/>
    <n v="25527"/>
    <n v="4"/>
    <s v="Y"/>
    <s v="No"/>
    <n v="13"/>
    <n v="3"/>
    <n v="2"/>
    <n v="80"/>
    <n v="1"/>
    <n v="8"/>
    <n v="2"/>
    <n v="3"/>
    <n v="5"/>
    <n v="2"/>
    <n v="0"/>
    <n v="4"/>
    <s v="LAB-829"/>
    <x v="8"/>
    <x v="2"/>
    <x v="1"/>
    <n v="5"/>
    <x v="0"/>
  </r>
  <r>
    <n v="32"/>
    <s v="No"/>
    <s v="Travel_Rarely"/>
    <n v="859"/>
    <x v="1"/>
    <n v="4"/>
    <n v="3"/>
    <s v="Life Sciences"/>
    <n v="1"/>
    <n v="830"/>
    <n v="3"/>
    <s v="Female"/>
    <n v="98"/>
    <n v="2"/>
    <n v="2"/>
    <s v="Manufacturing Director"/>
    <n v="3"/>
    <s v="Married"/>
    <n v="6162"/>
    <n v="19124"/>
    <n v="1"/>
    <s v="Y"/>
    <s v="No"/>
    <n v="12"/>
    <n v="3"/>
    <n v="3"/>
    <n v="80"/>
    <n v="1"/>
    <n v="14"/>
    <n v="3"/>
    <n v="3"/>
    <n v="14"/>
    <n v="13"/>
    <n v="6"/>
    <n v="8"/>
    <s v="LAB-830"/>
    <x v="3"/>
    <x v="1"/>
    <x v="1"/>
    <n v="14"/>
    <x v="0"/>
  </r>
  <r>
    <n v="40"/>
    <s v="No"/>
    <s v="Travel_Frequently"/>
    <n v="720"/>
    <x v="1"/>
    <n v="16"/>
    <n v="4"/>
    <s v="Medical"/>
    <n v="1"/>
    <n v="832"/>
    <n v="1"/>
    <s v="Male"/>
    <n v="51"/>
    <n v="2"/>
    <n v="2"/>
    <s v="Laboratory Technician"/>
    <n v="3"/>
    <s v="Single"/>
    <n v="5094"/>
    <n v="11983"/>
    <n v="6"/>
    <s v="Y"/>
    <s v="No"/>
    <n v="14"/>
    <n v="3"/>
    <n v="4"/>
    <n v="80"/>
    <n v="0"/>
    <n v="10"/>
    <n v="6"/>
    <n v="3"/>
    <n v="1"/>
    <n v="0"/>
    <n v="0"/>
    <n v="0"/>
    <s v="LAB-832"/>
    <x v="2"/>
    <x v="1"/>
    <x v="1"/>
    <n v="1"/>
    <x v="0"/>
  </r>
  <r>
    <n v="30"/>
    <s v="No"/>
    <s v="Travel_Rarely"/>
    <n v="946"/>
    <x v="1"/>
    <n v="2"/>
    <n v="3"/>
    <s v="Medical"/>
    <n v="1"/>
    <n v="833"/>
    <n v="3"/>
    <s v="Female"/>
    <n v="52"/>
    <n v="2"/>
    <n v="2"/>
    <s v="Manufacturing Director"/>
    <n v="4"/>
    <s v="Single"/>
    <n v="6877"/>
    <n v="20234"/>
    <n v="5"/>
    <s v="Y"/>
    <s v="Yes"/>
    <n v="24"/>
    <n v="4"/>
    <n v="2"/>
    <n v="80"/>
    <n v="0"/>
    <n v="12"/>
    <n v="4"/>
    <n v="2"/>
    <n v="0"/>
    <n v="0"/>
    <n v="0"/>
    <n v="0"/>
    <s v="LAB-833"/>
    <x v="3"/>
    <x v="1"/>
    <x v="1"/>
    <n v="0"/>
    <x v="0"/>
  </r>
  <r>
    <n v="45"/>
    <s v="No"/>
    <s v="Travel_Rarely"/>
    <n v="252"/>
    <x v="1"/>
    <n v="2"/>
    <n v="3"/>
    <s v="Life Sciences"/>
    <n v="1"/>
    <n v="834"/>
    <n v="2"/>
    <s v="Female"/>
    <n v="95"/>
    <n v="2"/>
    <n v="1"/>
    <s v="Research Scientist"/>
    <n v="3"/>
    <s v="Single"/>
    <n v="2274"/>
    <n v="6153"/>
    <n v="1"/>
    <s v="Y"/>
    <s v="No"/>
    <n v="14"/>
    <n v="3"/>
    <n v="4"/>
    <n v="80"/>
    <n v="0"/>
    <n v="1"/>
    <n v="3"/>
    <n v="3"/>
    <n v="1"/>
    <n v="0"/>
    <n v="0"/>
    <n v="0"/>
    <s v="LAB-834"/>
    <x v="1"/>
    <x v="1"/>
    <x v="1"/>
    <n v="1"/>
    <x v="0"/>
  </r>
  <r>
    <n v="42"/>
    <s v="No"/>
    <s v="Travel_Rarely"/>
    <n v="933"/>
    <x v="1"/>
    <n v="29"/>
    <n v="3"/>
    <s v="Life Sciences"/>
    <n v="1"/>
    <n v="836"/>
    <n v="2"/>
    <s v="Male"/>
    <n v="98"/>
    <n v="3"/>
    <n v="2"/>
    <s v="Manufacturing Director"/>
    <n v="2"/>
    <s v="Married"/>
    <n v="4434"/>
    <n v="11806"/>
    <n v="1"/>
    <s v="Y"/>
    <s v="No"/>
    <n v="13"/>
    <n v="3"/>
    <n v="4"/>
    <n v="80"/>
    <n v="1"/>
    <n v="10"/>
    <n v="3"/>
    <n v="2"/>
    <n v="9"/>
    <n v="8"/>
    <n v="7"/>
    <n v="8"/>
    <s v="LAB-836"/>
    <x v="3"/>
    <x v="1"/>
    <x v="1"/>
    <n v="9"/>
    <x v="0"/>
  </r>
  <r>
    <n v="38"/>
    <s v="No"/>
    <s v="Travel_Frequently"/>
    <n v="471"/>
    <x v="1"/>
    <n v="12"/>
    <n v="3"/>
    <s v="Life Sciences"/>
    <n v="1"/>
    <n v="837"/>
    <n v="1"/>
    <s v="Male"/>
    <n v="45"/>
    <n v="2"/>
    <n v="2"/>
    <s v="Healthcare Representative"/>
    <n v="1"/>
    <s v="Divorced"/>
    <n v="6288"/>
    <n v="4284"/>
    <n v="2"/>
    <s v="Y"/>
    <s v="No"/>
    <n v="15"/>
    <n v="3"/>
    <n v="3"/>
    <n v="80"/>
    <n v="1"/>
    <n v="13"/>
    <n v="3"/>
    <n v="2"/>
    <n v="4"/>
    <n v="3"/>
    <n v="1"/>
    <n v="2"/>
    <s v="LAB-837"/>
    <x v="4"/>
    <x v="1"/>
    <x v="1"/>
    <n v="4"/>
    <x v="0"/>
  </r>
  <r>
    <n v="34"/>
    <s v="No"/>
    <s v="Travel_Frequently"/>
    <n v="702"/>
    <x v="1"/>
    <n v="16"/>
    <n v="4"/>
    <s v="Life Sciences"/>
    <n v="1"/>
    <n v="838"/>
    <n v="3"/>
    <s v="Female"/>
    <n v="100"/>
    <n v="2"/>
    <n v="1"/>
    <s v="Research Scientist"/>
    <n v="4"/>
    <s v="Single"/>
    <n v="2553"/>
    <n v="8306"/>
    <n v="1"/>
    <s v="Y"/>
    <s v="No"/>
    <n v="16"/>
    <n v="3"/>
    <n v="3"/>
    <n v="80"/>
    <n v="0"/>
    <n v="6"/>
    <n v="3"/>
    <n v="3"/>
    <n v="5"/>
    <n v="2"/>
    <n v="1"/>
    <n v="3"/>
    <s v="LAB-838"/>
    <x v="1"/>
    <x v="1"/>
    <x v="1"/>
    <n v="5"/>
    <x v="0"/>
  </r>
  <r>
    <n v="49"/>
    <s v="Yes"/>
    <s v="Travel_Rarely"/>
    <n v="1184"/>
    <x v="0"/>
    <n v="11"/>
    <n v="3"/>
    <s v="Marketing"/>
    <n v="1"/>
    <n v="840"/>
    <n v="3"/>
    <s v="Female"/>
    <n v="43"/>
    <n v="3"/>
    <n v="3"/>
    <s v="Sales Executive"/>
    <n v="4"/>
    <s v="Married"/>
    <n v="7654"/>
    <n v="5860"/>
    <n v="1"/>
    <s v="Y"/>
    <s v="No"/>
    <n v="18"/>
    <n v="3"/>
    <n v="1"/>
    <n v="80"/>
    <n v="2"/>
    <n v="9"/>
    <n v="3"/>
    <n v="4"/>
    <n v="9"/>
    <n v="8"/>
    <n v="7"/>
    <n v="7"/>
    <s v="LAB-840"/>
    <x v="0"/>
    <x v="0"/>
    <x v="0"/>
    <n v="9"/>
    <x v="0"/>
  </r>
  <r>
    <n v="55"/>
    <s v="Yes"/>
    <s v="Travel_Rarely"/>
    <n v="436"/>
    <x v="0"/>
    <n v="2"/>
    <n v="1"/>
    <s v="Medical"/>
    <n v="1"/>
    <n v="842"/>
    <n v="3"/>
    <s v="Male"/>
    <n v="37"/>
    <n v="3"/>
    <n v="2"/>
    <s v="Sales Executive"/>
    <n v="4"/>
    <s v="Single"/>
    <n v="5160"/>
    <n v="21519"/>
    <n v="4"/>
    <s v="Y"/>
    <s v="No"/>
    <n v="16"/>
    <n v="3"/>
    <n v="3"/>
    <n v="80"/>
    <n v="0"/>
    <n v="12"/>
    <n v="3"/>
    <n v="2"/>
    <n v="9"/>
    <n v="7"/>
    <n v="7"/>
    <n v="3"/>
    <s v="LAB-842"/>
    <x v="0"/>
    <x v="0"/>
    <x v="0"/>
    <n v="9"/>
    <x v="0"/>
  </r>
  <r>
    <n v="43"/>
    <s v="No"/>
    <s v="Travel_Rarely"/>
    <n v="589"/>
    <x v="1"/>
    <n v="14"/>
    <n v="2"/>
    <s v="Life Sciences"/>
    <n v="1"/>
    <n v="843"/>
    <n v="2"/>
    <s v="Male"/>
    <n v="94"/>
    <n v="3"/>
    <n v="4"/>
    <s v="Research Director"/>
    <n v="1"/>
    <s v="Married"/>
    <n v="17159"/>
    <n v="5200"/>
    <n v="6"/>
    <s v="Y"/>
    <s v="No"/>
    <n v="24"/>
    <n v="4"/>
    <n v="3"/>
    <n v="80"/>
    <n v="1"/>
    <n v="22"/>
    <n v="3"/>
    <n v="3"/>
    <n v="4"/>
    <n v="1"/>
    <n v="1"/>
    <n v="0"/>
    <s v="LAB-843"/>
    <x v="7"/>
    <x v="1"/>
    <x v="1"/>
    <n v="4"/>
    <x v="0"/>
  </r>
  <r>
    <n v="27"/>
    <s v="No"/>
    <s v="Travel_Rarely"/>
    <n v="269"/>
    <x v="1"/>
    <n v="5"/>
    <n v="1"/>
    <s v="Technical Degree"/>
    <n v="1"/>
    <n v="844"/>
    <n v="3"/>
    <s v="Male"/>
    <n v="42"/>
    <n v="2"/>
    <n v="3"/>
    <s v="Research Director"/>
    <n v="4"/>
    <s v="Divorced"/>
    <n v="12808"/>
    <n v="8842"/>
    <n v="1"/>
    <s v="Y"/>
    <s v="Yes"/>
    <n v="16"/>
    <n v="3"/>
    <n v="2"/>
    <n v="80"/>
    <n v="1"/>
    <n v="9"/>
    <n v="3"/>
    <n v="3"/>
    <n v="9"/>
    <n v="8"/>
    <n v="0"/>
    <n v="8"/>
    <s v="LAB-844"/>
    <x v="7"/>
    <x v="1"/>
    <x v="1"/>
    <n v="9"/>
    <x v="0"/>
  </r>
  <r>
    <n v="35"/>
    <s v="No"/>
    <s v="Travel_Rarely"/>
    <n v="950"/>
    <x v="1"/>
    <n v="7"/>
    <n v="3"/>
    <s v="Other"/>
    <n v="1"/>
    <n v="845"/>
    <n v="3"/>
    <s v="Male"/>
    <n v="59"/>
    <n v="3"/>
    <n v="3"/>
    <s v="Manufacturing Director"/>
    <n v="3"/>
    <s v="Single"/>
    <n v="10221"/>
    <n v="18869"/>
    <n v="3"/>
    <s v="Y"/>
    <s v="No"/>
    <n v="21"/>
    <n v="4"/>
    <n v="2"/>
    <n v="80"/>
    <n v="0"/>
    <n v="17"/>
    <n v="3"/>
    <n v="4"/>
    <n v="8"/>
    <n v="5"/>
    <n v="1"/>
    <n v="6"/>
    <s v="LAB-845"/>
    <x v="3"/>
    <x v="1"/>
    <x v="1"/>
    <n v="8"/>
    <x v="0"/>
  </r>
  <r>
    <n v="28"/>
    <s v="No"/>
    <s v="Travel_Rarely"/>
    <n v="760"/>
    <x v="0"/>
    <n v="2"/>
    <n v="4"/>
    <s v="Marketing"/>
    <n v="1"/>
    <n v="846"/>
    <n v="2"/>
    <s v="Female"/>
    <n v="81"/>
    <n v="3"/>
    <n v="2"/>
    <s v="Sales Executive"/>
    <n v="2"/>
    <s v="Married"/>
    <n v="4779"/>
    <n v="3698"/>
    <n v="1"/>
    <s v="Y"/>
    <s v="Yes"/>
    <n v="20"/>
    <n v="4"/>
    <n v="1"/>
    <n v="80"/>
    <n v="0"/>
    <n v="8"/>
    <n v="2"/>
    <n v="3"/>
    <n v="8"/>
    <n v="7"/>
    <n v="7"/>
    <n v="5"/>
    <s v="LAB-846"/>
    <x v="0"/>
    <x v="0"/>
    <x v="1"/>
    <n v="8"/>
    <x v="0"/>
  </r>
  <r>
    <n v="34"/>
    <s v="No"/>
    <s v="Travel_Rarely"/>
    <n v="829"/>
    <x v="2"/>
    <n v="3"/>
    <n v="2"/>
    <s v="Human Resources"/>
    <n v="1"/>
    <n v="847"/>
    <n v="3"/>
    <s v="Male"/>
    <n v="88"/>
    <n v="3"/>
    <n v="1"/>
    <s v="Human Resources"/>
    <n v="4"/>
    <s v="Married"/>
    <n v="3737"/>
    <n v="2243"/>
    <n v="0"/>
    <s v="Y"/>
    <s v="No"/>
    <n v="19"/>
    <n v="3"/>
    <n v="3"/>
    <n v="80"/>
    <n v="1"/>
    <n v="4"/>
    <n v="1"/>
    <n v="1"/>
    <n v="3"/>
    <n v="2"/>
    <n v="0"/>
    <n v="2"/>
    <s v="LAB-847"/>
    <x v="8"/>
    <x v="2"/>
    <x v="1"/>
    <n v="3"/>
    <x v="0"/>
  </r>
  <r>
    <n v="26"/>
    <s v="Yes"/>
    <s v="Travel_Frequently"/>
    <n v="887"/>
    <x v="1"/>
    <n v="5"/>
    <n v="2"/>
    <s v="Medical"/>
    <n v="1"/>
    <n v="848"/>
    <n v="3"/>
    <s v="Female"/>
    <n v="88"/>
    <n v="2"/>
    <n v="1"/>
    <s v="Research Scientist"/>
    <n v="3"/>
    <s v="Married"/>
    <n v="2366"/>
    <n v="20898"/>
    <n v="1"/>
    <s v="Y"/>
    <s v="Yes"/>
    <n v="14"/>
    <n v="3"/>
    <n v="1"/>
    <n v="80"/>
    <n v="1"/>
    <n v="8"/>
    <n v="2"/>
    <n v="3"/>
    <n v="8"/>
    <n v="7"/>
    <n v="1"/>
    <n v="7"/>
    <s v="LAB-848"/>
    <x v="1"/>
    <x v="1"/>
    <x v="0"/>
    <n v="8"/>
    <x v="0"/>
  </r>
  <r>
    <n v="27"/>
    <s v="No"/>
    <s v="Non-Travel"/>
    <n v="443"/>
    <x v="1"/>
    <n v="3"/>
    <n v="3"/>
    <s v="Medical"/>
    <n v="1"/>
    <n v="850"/>
    <n v="4"/>
    <s v="Male"/>
    <n v="50"/>
    <n v="3"/>
    <n v="1"/>
    <s v="Research Scientist"/>
    <n v="4"/>
    <s v="Married"/>
    <n v="1706"/>
    <n v="16571"/>
    <n v="1"/>
    <s v="Y"/>
    <s v="No"/>
    <n v="11"/>
    <n v="3"/>
    <n v="3"/>
    <n v="80"/>
    <n v="3"/>
    <n v="0"/>
    <n v="6"/>
    <n v="2"/>
    <n v="0"/>
    <n v="0"/>
    <n v="0"/>
    <n v="0"/>
    <s v="LAB-850"/>
    <x v="1"/>
    <x v="1"/>
    <x v="1"/>
    <n v="0"/>
    <x v="0"/>
  </r>
  <r>
    <n v="51"/>
    <s v="No"/>
    <s v="Travel_Rarely"/>
    <n v="1318"/>
    <x v="0"/>
    <n v="26"/>
    <n v="4"/>
    <s v="Marketing"/>
    <n v="1"/>
    <n v="851"/>
    <n v="1"/>
    <s v="Female"/>
    <n v="66"/>
    <n v="3"/>
    <n v="4"/>
    <s v="Manager"/>
    <n v="3"/>
    <s v="Married"/>
    <n v="16307"/>
    <n v="5594"/>
    <n v="2"/>
    <s v="Y"/>
    <s v="No"/>
    <n v="14"/>
    <n v="3"/>
    <n v="3"/>
    <n v="80"/>
    <n v="1"/>
    <n v="29"/>
    <n v="2"/>
    <n v="2"/>
    <n v="20"/>
    <n v="6"/>
    <n v="4"/>
    <n v="17"/>
    <s v="LAB-851"/>
    <x v="5"/>
    <x v="0"/>
    <x v="1"/>
    <n v="20"/>
    <x v="0"/>
  </r>
  <r>
    <n v="44"/>
    <s v="No"/>
    <s v="Travel_Rarely"/>
    <n v="625"/>
    <x v="1"/>
    <n v="4"/>
    <n v="3"/>
    <s v="Medical"/>
    <n v="1"/>
    <n v="852"/>
    <n v="4"/>
    <s v="Male"/>
    <n v="50"/>
    <n v="3"/>
    <n v="2"/>
    <s v="Healthcare Representative"/>
    <n v="2"/>
    <s v="Single"/>
    <n v="5933"/>
    <n v="5197"/>
    <n v="9"/>
    <s v="Y"/>
    <s v="No"/>
    <n v="12"/>
    <n v="3"/>
    <n v="4"/>
    <n v="80"/>
    <n v="0"/>
    <n v="10"/>
    <n v="2"/>
    <n v="2"/>
    <n v="5"/>
    <n v="2"/>
    <n v="2"/>
    <n v="3"/>
    <s v="LAB-852"/>
    <x v="4"/>
    <x v="1"/>
    <x v="1"/>
    <n v="5"/>
    <x v="0"/>
  </r>
  <r>
    <n v="25"/>
    <s v="No"/>
    <s v="Travel_Rarely"/>
    <n v="180"/>
    <x v="1"/>
    <n v="2"/>
    <n v="1"/>
    <s v="Medical"/>
    <n v="1"/>
    <n v="854"/>
    <n v="1"/>
    <s v="Male"/>
    <n v="65"/>
    <n v="4"/>
    <n v="1"/>
    <s v="Research Scientist"/>
    <n v="1"/>
    <s v="Single"/>
    <n v="3424"/>
    <n v="21632"/>
    <n v="7"/>
    <s v="Y"/>
    <s v="No"/>
    <n v="13"/>
    <n v="3"/>
    <n v="3"/>
    <n v="80"/>
    <n v="0"/>
    <n v="6"/>
    <n v="3"/>
    <n v="2"/>
    <n v="4"/>
    <n v="3"/>
    <n v="0"/>
    <n v="1"/>
    <s v="LAB-854"/>
    <x v="1"/>
    <x v="1"/>
    <x v="1"/>
    <n v="4"/>
    <x v="0"/>
  </r>
  <r>
    <n v="33"/>
    <s v="No"/>
    <s v="Travel_Rarely"/>
    <n v="586"/>
    <x v="0"/>
    <n v="1"/>
    <n v="3"/>
    <s v="Medical"/>
    <n v="1"/>
    <n v="855"/>
    <n v="1"/>
    <s v="Male"/>
    <n v="48"/>
    <n v="4"/>
    <n v="2"/>
    <s v="Sales Executive"/>
    <n v="1"/>
    <s v="Divorced"/>
    <n v="4037"/>
    <n v="21816"/>
    <n v="1"/>
    <s v="Y"/>
    <s v="No"/>
    <n v="22"/>
    <n v="4"/>
    <n v="1"/>
    <n v="80"/>
    <n v="1"/>
    <n v="9"/>
    <n v="5"/>
    <n v="3"/>
    <n v="9"/>
    <n v="8"/>
    <n v="0"/>
    <n v="8"/>
    <s v="LAB-855"/>
    <x v="0"/>
    <x v="0"/>
    <x v="1"/>
    <n v="9"/>
    <x v="0"/>
  </r>
  <r>
    <n v="35"/>
    <s v="No"/>
    <s v="Travel_Rarely"/>
    <n v="1343"/>
    <x v="1"/>
    <n v="27"/>
    <n v="1"/>
    <s v="Medical"/>
    <n v="1"/>
    <n v="856"/>
    <n v="3"/>
    <s v="Female"/>
    <n v="53"/>
    <n v="2"/>
    <n v="1"/>
    <s v="Research Scientist"/>
    <n v="1"/>
    <s v="Single"/>
    <n v="2559"/>
    <n v="17852"/>
    <n v="1"/>
    <s v="Y"/>
    <s v="No"/>
    <n v="11"/>
    <n v="3"/>
    <n v="4"/>
    <n v="80"/>
    <n v="0"/>
    <n v="6"/>
    <n v="3"/>
    <n v="2"/>
    <n v="6"/>
    <n v="5"/>
    <n v="1"/>
    <n v="1"/>
    <s v="LAB-856"/>
    <x v="1"/>
    <x v="1"/>
    <x v="1"/>
    <n v="6"/>
    <x v="0"/>
  </r>
  <r>
    <n v="36"/>
    <s v="No"/>
    <s v="Travel_Rarely"/>
    <n v="928"/>
    <x v="0"/>
    <n v="1"/>
    <n v="2"/>
    <s v="Life Sciences"/>
    <n v="1"/>
    <n v="857"/>
    <n v="2"/>
    <s v="Male"/>
    <n v="56"/>
    <n v="3"/>
    <n v="2"/>
    <s v="Sales Executive"/>
    <n v="4"/>
    <s v="Married"/>
    <n v="6201"/>
    <n v="2823"/>
    <n v="1"/>
    <s v="Y"/>
    <s v="Yes"/>
    <n v="14"/>
    <n v="3"/>
    <n v="4"/>
    <n v="80"/>
    <n v="1"/>
    <n v="18"/>
    <n v="1"/>
    <n v="2"/>
    <n v="18"/>
    <n v="14"/>
    <n v="4"/>
    <n v="11"/>
    <s v="LAB-857"/>
    <x v="0"/>
    <x v="0"/>
    <x v="1"/>
    <n v="18"/>
    <x v="0"/>
  </r>
  <r>
    <n v="32"/>
    <s v="No"/>
    <s v="Travel_Rarely"/>
    <n v="117"/>
    <x v="0"/>
    <n v="13"/>
    <n v="4"/>
    <s v="Life Sciences"/>
    <n v="1"/>
    <n v="859"/>
    <n v="2"/>
    <s v="Male"/>
    <n v="73"/>
    <n v="3"/>
    <n v="2"/>
    <s v="Sales Executive"/>
    <n v="4"/>
    <s v="Divorced"/>
    <n v="4403"/>
    <n v="9250"/>
    <n v="2"/>
    <s v="Y"/>
    <s v="No"/>
    <n v="11"/>
    <n v="3"/>
    <n v="3"/>
    <n v="80"/>
    <n v="1"/>
    <n v="8"/>
    <n v="3"/>
    <n v="2"/>
    <n v="5"/>
    <n v="2"/>
    <n v="0"/>
    <n v="3"/>
    <s v="LAB-859"/>
    <x v="0"/>
    <x v="0"/>
    <x v="1"/>
    <n v="5"/>
    <x v="0"/>
  </r>
  <r>
    <n v="30"/>
    <s v="No"/>
    <s v="Travel_Frequently"/>
    <n v="1012"/>
    <x v="1"/>
    <n v="5"/>
    <n v="4"/>
    <s v="Life Sciences"/>
    <n v="1"/>
    <n v="861"/>
    <n v="2"/>
    <s v="Male"/>
    <n v="75"/>
    <n v="2"/>
    <n v="1"/>
    <s v="Research Scientist"/>
    <n v="4"/>
    <s v="Divorced"/>
    <n v="3761"/>
    <n v="2373"/>
    <n v="9"/>
    <s v="Y"/>
    <s v="No"/>
    <n v="12"/>
    <n v="3"/>
    <n v="2"/>
    <n v="80"/>
    <n v="1"/>
    <n v="10"/>
    <n v="3"/>
    <n v="2"/>
    <n v="5"/>
    <n v="4"/>
    <n v="0"/>
    <n v="3"/>
    <s v="LAB-861"/>
    <x v="1"/>
    <x v="1"/>
    <x v="1"/>
    <n v="5"/>
    <x v="0"/>
  </r>
  <r>
    <n v="53"/>
    <s v="No"/>
    <s v="Travel_Rarely"/>
    <n v="661"/>
    <x v="0"/>
    <n v="7"/>
    <n v="2"/>
    <s v="Marketing"/>
    <n v="1"/>
    <n v="862"/>
    <n v="1"/>
    <s v="Female"/>
    <n v="78"/>
    <n v="2"/>
    <n v="3"/>
    <s v="Sales Executive"/>
    <n v="4"/>
    <s v="Married"/>
    <n v="10934"/>
    <n v="20715"/>
    <n v="7"/>
    <s v="Y"/>
    <s v="Yes"/>
    <n v="18"/>
    <n v="3"/>
    <n v="4"/>
    <n v="80"/>
    <n v="1"/>
    <n v="35"/>
    <n v="3"/>
    <n v="3"/>
    <n v="5"/>
    <n v="2"/>
    <n v="0"/>
    <n v="4"/>
    <s v="LAB-862"/>
    <x v="0"/>
    <x v="0"/>
    <x v="1"/>
    <n v="5"/>
    <x v="0"/>
  </r>
  <r>
    <n v="45"/>
    <s v="No"/>
    <s v="Travel_Rarely"/>
    <n v="930"/>
    <x v="0"/>
    <n v="9"/>
    <n v="3"/>
    <s v="Marketing"/>
    <n v="1"/>
    <n v="864"/>
    <n v="4"/>
    <s v="Male"/>
    <n v="74"/>
    <n v="3"/>
    <n v="3"/>
    <s v="Sales Executive"/>
    <n v="1"/>
    <s v="Divorced"/>
    <n v="10761"/>
    <n v="19239"/>
    <n v="4"/>
    <s v="Y"/>
    <s v="Yes"/>
    <n v="12"/>
    <n v="3"/>
    <n v="3"/>
    <n v="80"/>
    <n v="1"/>
    <n v="18"/>
    <n v="2"/>
    <n v="3"/>
    <n v="5"/>
    <n v="4"/>
    <n v="0"/>
    <n v="2"/>
    <s v="LAB-864"/>
    <x v="0"/>
    <x v="0"/>
    <x v="1"/>
    <n v="5"/>
    <x v="0"/>
  </r>
  <r>
    <n v="32"/>
    <s v="No"/>
    <s v="Travel_Rarely"/>
    <n v="638"/>
    <x v="1"/>
    <n v="8"/>
    <n v="2"/>
    <s v="Medical"/>
    <n v="1"/>
    <n v="865"/>
    <n v="3"/>
    <s v="Female"/>
    <n v="91"/>
    <n v="4"/>
    <n v="2"/>
    <s v="Research Scientist"/>
    <n v="3"/>
    <s v="Married"/>
    <n v="5175"/>
    <n v="22162"/>
    <n v="5"/>
    <s v="Y"/>
    <s v="No"/>
    <n v="12"/>
    <n v="3"/>
    <n v="3"/>
    <n v="80"/>
    <n v="1"/>
    <n v="9"/>
    <n v="3"/>
    <n v="2"/>
    <n v="5"/>
    <n v="3"/>
    <n v="1"/>
    <n v="3"/>
    <s v="LAB-865"/>
    <x v="1"/>
    <x v="1"/>
    <x v="1"/>
    <n v="5"/>
    <x v="0"/>
  </r>
  <r>
    <n v="52"/>
    <s v="No"/>
    <s v="Travel_Frequently"/>
    <n v="890"/>
    <x v="1"/>
    <n v="25"/>
    <n v="4"/>
    <s v="Medical"/>
    <n v="1"/>
    <n v="867"/>
    <n v="3"/>
    <s v="Female"/>
    <n v="81"/>
    <n v="2"/>
    <n v="4"/>
    <s v="Manufacturing Director"/>
    <n v="4"/>
    <s v="Married"/>
    <n v="13826"/>
    <n v="19028"/>
    <n v="3"/>
    <s v="Y"/>
    <s v="No"/>
    <n v="22"/>
    <n v="4"/>
    <n v="3"/>
    <n v="80"/>
    <n v="0"/>
    <n v="31"/>
    <n v="3"/>
    <n v="3"/>
    <n v="9"/>
    <n v="8"/>
    <n v="0"/>
    <n v="0"/>
    <s v="LAB-867"/>
    <x v="3"/>
    <x v="1"/>
    <x v="1"/>
    <n v="9"/>
    <x v="0"/>
  </r>
  <r>
    <n v="37"/>
    <s v="No"/>
    <s v="Travel_Rarely"/>
    <n v="342"/>
    <x v="0"/>
    <n v="16"/>
    <n v="4"/>
    <s v="Marketing"/>
    <n v="1"/>
    <n v="868"/>
    <n v="4"/>
    <s v="Male"/>
    <n v="66"/>
    <n v="2"/>
    <n v="2"/>
    <s v="Sales Executive"/>
    <n v="3"/>
    <s v="Divorced"/>
    <n v="6334"/>
    <n v="24558"/>
    <n v="4"/>
    <s v="Y"/>
    <s v="No"/>
    <n v="19"/>
    <n v="3"/>
    <n v="4"/>
    <n v="80"/>
    <n v="2"/>
    <n v="9"/>
    <n v="2"/>
    <n v="3"/>
    <n v="1"/>
    <n v="0"/>
    <n v="0"/>
    <n v="0"/>
    <s v="LAB-868"/>
    <x v="0"/>
    <x v="0"/>
    <x v="1"/>
    <n v="1"/>
    <x v="0"/>
  </r>
  <r>
    <n v="28"/>
    <s v="No"/>
    <s v="Travel_Rarely"/>
    <n v="1169"/>
    <x v="2"/>
    <n v="8"/>
    <n v="2"/>
    <s v="Medical"/>
    <n v="1"/>
    <n v="869"/>
    <n v="2"/>
    <s v="Male"/>
    <n v="63"/>
    <n v="2"/>
    <n v="1"/>
    <s v="Human Resources"/>
    <n v="4"/>
    <s v="Divorced"/>
    <n v="4936"/>
    <n v="23965"/>
    <n v="1"/>
    <s v="Y"/>
    <s v="No"/>
    <n v="13"/>
    <n v="3"/>
    <n v="4"/>
    <n v="80"/>
    <n v="1"/>
    <n v="6"/>
    <n v="6"/>
    <n v="3"/>
    <n v="5"/>
    <n v="1"/>
    <n v="0"/>
    <n v="4"/>
    <s v="LAB-869"/>
    <x v="8"/>
    <x v="2"/>
    <x v="1"/>
    <n v="5"/>
    <x v="0"/>
  </r>
  <r>
    <n v="22"/>
    <s v="No"/>
    <s v="Travel_Rarely"/>
    <n v="1230"/>
    <x v="1"/>
    <n v="1"/>
    <n v="2"/>
    <s v="Life Sciences"/>
    <n v="1"/>
    <n v="872"/>
    <n v="4"/>
    <s v="Male"/>
    <n v="33"/>
    <n v="2"/>
    <n v="2"/>
    <s v="Manufacturing Director"/>
    <n v="4"/>
    <s v="Married"/>
    <n v="4775"/>
    <n v="19146"/>
    <n v="6"/>
    <s v="Y"/>
    <s v="No"/>
    <n v="22"/>
    <n v="4"/>
    <n v="1"/>
    <n v="80"/>
    <n v="2"/>
    <n v="4"/>
    <n v="2"/>
    <n v="1"/>
    <n v="2"/>
    <n v="2"/>
    <n v="2"/>
    <n v="2"/>
    <s v="LAB-872"/>
    <x v="3"/>
    <x v="1"/>
    <x v="1"/>
    <n v="2"/>
    <x v="0"/>
  </r>
  <r>
    <n v="44"/>
    <s v="No"/>
    <s v="Travel_Rarely"/>
    <n v="986"/>
    <x v="1"/>
    <n v="8"/>
    <n v="4"/>
    <s v="Life Sciences"/>
    <n v="1"/>
    <n v="874"/>
    <n v="1"/>
    <s v="Male"/>
    <n v="62"/>
    <n v="4"/>
    <n v="1"/>
    <s v="Laboratory Technician"/>
    <n v="4"/>
    <s v="Married"/>
    <n v="2818"/>
    <n v="5044"/>
    <n v="2"/>
    <s v="Y"/>
    <s v="Yes"/>
    <n v="24"/>
    <n v="4"/>
    <n v="3"/>
    <n v="80"/>
    <n v="1"/>
    <n v="10"/>
    <n v="2"/>
    <n v="2"/>
    <n v="3"/>
    <n v="2"/>
    <n v="0"/>
    <n v="2"/>
    <s v="LAB-874"/>
    <x v="2"/>
    <x v="1"/>
    <x v="1"/>
    <n v="3"/>
    <x v="0"/>
  </r>
  <r>
    <n v="42"/>
    <s v="No"/>
    <s v="Travel_Frequently"/>
    <n v="1271"/>
    <x v="1"/>
    <n v="2"/>
    <n v="1"/>
    <s v="Medical"/>
    <n v="1"/>
    <n v="875"/>
    <n v="2"/>
    <s v="Male"/>
    <n v="35"/>
    <n v="3"/>
    <n v="1"/>
    <s v="Research Scientist"/>
    <n v="4"/>
    <s v="Single"/>
    <n v="2515"/>
    <n v="9068"/>
    <n v="5"/>
    <s v="Y"/>
    <s v="Yes"/>
    <n v="14"/>
    <n v="3"/>
    <n v="4"/>
    <n v="80"/>
    <n v="0"/>
    <n v="8"/>
    <n v="2"/>
    <n v="3"/>
    <n v="2"/>
    <n v="1"/>
    <n v="2"/>
    <n v="2"/>
    <s v="LAB-875"/>
    <x v="1"/>
    <x v="1"/>
    <x v="1"/>
    <n v="2"/>
    <x v="0"/>
  </r>
  <r>
    <n v="36"/>
    <s v="No"/>
    <s v="Travel_Rarely"/>
    <n v="1278"/>
    <x v="2"/>
    <n v="8"/>
    <n v="3"/>
    <s v="Life Sciences"/>
    <n v="1"/>
    <n v="878"/>
    <n v="1"/>
    <s v="Male"/>
    <n v="77"/>
    <n v="2"/>
    <n v="1"/>
    <s v="Human Resources"/>
    <n v="1"/>
    <s v="Married"/>
    <n v="2342"/>
    <n v="8635"/>
    <n v="0"/>
    <s v="Y"/>
    <s v="No"/>
    <n v="21"/>
    <n v="4"/>
    <n v="3"/>
    <n v="80"/>
    <n v="0"/>
    <n v="6"/>
    <n v="3"/>
    <n v="3"/>
    <n v="5"/>
    <n v="4"/>
    <n v="0"/>
    <n v="3"/>
    <s v="LAB-878"/>
    <x v="8"/>
    <x v="2"/>
    <x v="1"/>
    <n v="5"/>
    <x v="0"/>
  </r>
  <r>
    <n v="25"/>
    <s v="No"/>
    <s v="Travel_Rarely"/>
    <n v="141"/>
    <x v="0"/>
    <n v="3"/>
    <n v="1"/>
    <s v="Other"/>
    <n v="1"/>
    <n v="879"/>
    <n v="3"/>
    <s v="Male"/>
    <n v="98"/>
    <n v="3"/>
    <n v="2"/>
    <s v="Sales Executive"/>
    <n v="1"/>
    <s v="Married"/>
    <n v="4194"/>
    <n v="14363"/>
    <n v="1"/>
    <s v="Y"/>
    <s v="Yes"/>
    <n v="18"/>
    <n v="3"/>
    <n v="4"/>
    <n v="80"/>
    <n v="0"/>
    <n v="5"/>
    <n v="3"/>
    <n v="3"/>
    <n v="5"/>
    <n v="3"/>
    <n v="0"/>
    <n v="3"/>
    <s v="LAB-879"/>
    <x v="0"/>
    <x v="0"/>
    <x v="1"/>
    <n v="5"/>
    <x v="0"/>
  </r>
  <r>
    <n v="35"/>
    <s v="No"/>
    <s v="Travel_Rarely"/>
    <n v="607"/>
    <x v="1"/>
    <n v="9"/>
    <n v="3"/>
    <s v="Life Sciences"/>
    <n v="1"/>
    <n v="880"/>
    <n v="4"/>
    <s v="Female"/>
    <n v="66"/>
    <n v="2"/>
    <n v="3"/>
    <s v="Manufacturing Director"/>
    <n v="3"/>
    <s v="Married"/>
    <n v="10685"/>
    <n v="23457"/>
    <n v="1"/>
    <s v="Y"/>
    <s v="Yes"/>
    <n v="20"/>
    <n v="4"/>
    <n v="2"/>
    <n v="80"/>
    <n v="1"/>
    <n v="17"/>
    <n v="2"/>
    <n v="3"/>
    <n v="17"/>
    <n v="14"/>
    <n v="5"/>
    <n v="15"/>
    <s v="LAB-880"/>
    <x v="3"/>
    <x v="1"/>
    <x v="1"/>
    <n v="17"/>
    <x v="0"/>
  </r>
  <r>
    <n v="35"/>
    <s v="Yes"/>
    <s v="Travel_Frequently"/>
    <n v="130"/>
    <x v="1"/>
    <n v="25"/>
    <n v="4"/>
    <s v="Life Sciences"/>
    <n v="1"/>
    <n v="881"/>
    <n v="4"/>
    <s v="Female"/>
    <n v="96"/>
    <n v="3"/>
    <n v="1"/>
    <s v="Research Scientist"/>
    <n v="2"/>
    <s v="Divorced"/>
    <n v="2022"/>
    <n v="16612"/>
    <n v="1"/>
    <s v="Y"/>
    <s v="Yes"/>
    <n v="19"/>
    <n v="3"/>
    <n v="1"/>
    <n v="80"/>
    <n v="1"/>
    <n v="10"/>
    <n v="3"/>
    <n v="2"/>
    <n v="10"/>
    <n v="2"/>
    <n v="7"/>
    <n v="8"/>
    <s v="LAB-881"/>
    <x v="1"/>
    <x v="1"/>
    <x v="0"/>
    <n v="10"/>
    <x v="0"/>
  </r>
  <r>
    <n v="32"/>
    <s v="No"/>
    <s v="Non-Travel"/>
    <n v="300"/>
    <x v="1"/>
    <n v="1"/>
    <n v="3"/>
    <s v="Life Sciences"/>
    <n v="1"/>
    <n v="882"/>
    <n v="4"/>
    <s v="Male"/>
    <n v="61"/>
    <n v="3"/>
    <n v="1"/>
    <s v="Laboratory Technician"/>
    <n v="4"/>
    <s v="Divorced"/>
    <n v="2314"/>
    <n v="9148"/>
    <n v="0"/>
    <s v="Y"/>
    <s v="No"/>
    <n v="12"/>
    <n v="3"/>
    <n v="2"/>
    <n v="80"/>
    <n v="1"/>
    <n v="4"/>
    <n v="2"/>
    <n v="3"/>
    <n v="3"/>
    <n v="0"/>
    <n v="0"/>
    <n v="2"/>
    <s v="LAB-882"/>
    <x v="2"/>
    <x v="1"/>
    <x v="1"/>
    <n v="3"/>
    <x v="0"/>
  </r>
  <r>
    <n v="25"/>
    <s v="No"/>
    <s v="Travel_Rarely"/>
    <n v="583"/>
    <x v="0"/>
    <n v="4"/>
    <n v="1"/>
    <s v="Marketing"/>
    <n v="1"/>
    <n v="885"/>
    <n v="3"/>
    <s v="Male"/>
    <n v="87"/>
    <n v="2"/>
    <n v="2"/>
    <s v="Sales Executive"/>
    <n v="1"/>
    <s v="Married"/>
    <n v="4256"/>
    <n v="18154"/>
    <n v="1"/>
    <s v="Y"/>
    <s v="No"/>
    <n v="12"/>
    <n v="3"/>
    <n v="1"/>
    <n v="80"/>
    <n v="0"/>
    <n v="5"/>
    <n v="1"/>
    <n v="4"/>
    <n v="5"/>
    <n v="2"/>
    <n v="0"/>
    <n v="3"/>
    <s v="LAB-885"/>
    <x v="0"/>
    <x v="0"/>
    <x v="1"/>
    <n v="5"/>
    <x v="0"/>
  </r>
  <r>
    <n v="49"/>
    <s v="No"/>
    <s v="Travel_Rarely"/>
    <n v="1418"/>
    <x v="1"/>
    <n v="1"/>
    <n v="3"/>
    <s v="Technical Degree"/>
    <n v="1"/>
    <n v="887"/>
    <n v="3"/>
    <s v="Female"/>
    <n v="36"/>
    <n v="3"/>
    <n v="1"/>
    <s v="Research Scientist"/>
    <n v="1"/>
    <s v="Married"/>
    <n v="3580"/>
    <n v="10554"/>
    <n v="2"/>
    <s v="Y"/>
    <s v="No"/>
    <n v="16"/>
    <n v="3"/>
    <n v="2"/>
    <n v="80"/>
    <n v="1"/>
    <n v="7"/>
    <n v="2"/>
    <n v="3"/>
    <n v="4"/>
    <n v="2"/>
    <n v="0"/>
    <n v="2"/>
    <s v="LAB-887"/>
    <x v="1"/>
    <x v="1"/>
    <x v="1"/>
    <n v="4"/>
    <x v="0"/>
  </r>
  <r>
    <n v="24"/>
    <s v="No"/>
    <s v="Non-Travel"/>
    <n v="1269"/>
    <x v="1"/>
    <n v="4"/>
    <n v="1"/>
    <s v="Life Sciences"/>
    <n v="1"/>
    <n v="888"/>
    <n v="1"/>
    <s v="Male"/>
    <n v="46"/>
    <n v="2"/>
    <n v="1"/>
    <s v="Laboratory Technician"/>
    <n v="4"/>
    <s v="Married"/>
    <n v="3162"/>
    <n v="10778"/>
    <n v="0"/>
    <s v="Y"/>
    <s v="No"/>
    <n v="17"/>
    <n v="3"/>
    <n v="4"/>
    <n v="80"/>
    <n v="0"/>
    <n v="6"/>
    <n v="2"/>
    <n v="2"/>
    <n v="5"/>
    <n v="2"/>
    <n v="3"/>
    <n v="4"/>
    <s v="LAB-888"/>
    <x v="2"/>
    <x v="1"/>
    <x v="1"/>
    <n v="5"/>
    <x v="0"/>
  </r>
  <r>
    <n v="32"/>
    <s v="No"/>
    <s v="Travel_Frequently"/>
    <n v="379"/>
    <x v="0"/>
    <n v="5"/>
    <n v="2"/>
    <s v="Life Sciences"/>
    <n v="1"/>
    <n v="889"/>
    <n v="2"/>
    <s v="Male"/>
    <n v="48"/>
    <n v="3"/>
    <n v="2"/>
    <s v="Sales Executive"/>
    <n v="2"/>
    <s v="Married"/>
    <n v="6524"/>
    <n v="8891"/>
    <n v="1"/>
    <s v="Y"/>
    <s v="No"/>
    <n v="14"/>
    <n v="3"/>
    <n v="4"/>
    <n v="80"/>
    <n v="1"/>
    <n v="10"/>
    <n v="3"/>
    <n v="3"/>
    <n v="10"/>
    <n v="8"/>
    <n v="5"/>
    <n v="3"/>
    <s v="LAB-889"/>
    <x v="0"/>
    <x v="0"/>
    <x v="1"/>
    <n v="10"/>
    <x v="0"/>
  </r>
  <r>
    <n v="38"/>
    <s v="No"/>
    <s v="Travel_Rarely"/>
    <n v="395"/>
    <x v="0"/>
    <n v="9"/>
    <n v="3"/>
    <s v="Marketing"/>
    <n v="1"/>
    <n v="893"/>
    <n v="2"/>
    <s v="Male"/>
    <n v="98"/>
    <n v="2"/>
    <n v="1"/>
    <s v="Sales Representative"/>
    <n v="2"/>
    <s v="Married"/>
    <n v="2899"/>
    <n v="12102"/>
    <n v="0"/>
    <s v="Y"/>
    <s v="No"/>
    <n v="19"/>
    <n v="3"/>
    <n v="4"/>
    <n v="80"/>
    <n v="1"/>
    <n v="3"/>
    <n v="3"/>
    <n v="3"/>
    <n v="2"/>
    <n v="2"/>
    <n v="1"/>
    <n v="2"/>
    <s v="LAB-893"/>
    <x v="6"/>
    <x v="0"/>
    <x v="1"/>
    <n v="2"/>
    <x v="0"/>
  </r>
  <r>
    <n v="42"/>
    <s v="No"/>
    <s v="Travel_Rarely"/>
    <n v="1265"/>
    <x v="1"/>
    <n v="3"/>
    <n v="3"/>
    <s v="Life Sciences"/>
    <n v="1"/>
    <n v="894"/>
    <n v="3"/>
    <s v="Female"/>
    <n v="95"/>
    <n v="4"/>
    <n v="2"/>
    <s v="Laboratory Technician"/>
    <n v="4"/>
    <s v="Married"/>
    <n v="5231"/>
    <n v="23726"/>
    <n v="2"/>
    <s v="Y"/>
    <s v="Yes"/>
    <n v="13"/>
    <n v="3"/>
    <n v="2"/>
    <n v="80"/>
    <n v="1"/>
    <n v="17"/>
    <n v="1"/>
    <n v="2"/>
    <n v="5"/>
    <n v="3"/>
    <n v="1"/>
    <n v="3"/>
    <s v="LAB-894"/>
    <x v="2"/>
    <x v="1"/>
    <x v="1"/>
    <n v="5"/>
    <x v="0"/>
  </r>
  <r>
    <n v="31"/>
    <s v="No"/>
    <s v="Travel_Rarely"/>
    <n v="1222"/>
    <x v="1"/>
    <n v="11"/>
    <n v="4"/>
    <s v="Life Sciences"/>
    <n v="1"/>
    <n v="895"/>
    <n v="4"/>
    <s v="Male"/>
    <n v="48"/>
    <n v="3"/>
    <n v="1"/>
    <s v="Research Scientist"/>
    <n v="4"/>
    <s v="Married"/>
    <n v="2356"/>
    <n v="14871"/>
    <n v="3"/>
    <s v="Y"/>
    <s v="Yes"/>
    <n v="19"/>
    <n v="3"/>
    <n v="2"/>
    <n v="80"/>
    <n v="1"/>
    <n v="8"/>
    <n v="2"/>
    <n v="3"/>
    <n v="6"/>
    <n v="4"/>
    <n v="0"/>
    <n v="2"/>
    <s v="LAB-895"/>
    <x v="1"/>
    <x v="1"/>
    <x v="1"/>
    <n v="6"/>
    <x v="0"/>
  </r>
  <r>
    <n v="29"/>
    <s v="Yes"/>
    <s v="Travel_Rarely"/>
    <n v="341"/>
    <x v="0"/>
    <n v="1"/>
    <n v="3"/>
    <s v="Medical"/>
    <n v="1"/>
    <n v="896"/>
    <n v="2"/>
    <s v="Female"/>
    <n v="48"/>
    <n v="2"/>
    <n v="1"/>
    <s v="Sales Representative"/>
    <n v="3"/>
    <s v="Divorced"/>
    <n v="2800"/>
    <n v="23522"/>
    <n v="6"/>
    <s v="Y"/>
    <s v="Yes"/>
    <n v="19"/>
    <n v="3"/>
    <n v="3"/>
    <n v="80"/>
    <n v="3"/>
    <n v="5"/>
    <n v="3"/>
    <n v="3"/>
    <n v="3"/>
    <n v="2"/>
    <n v="0"/>
    <n v="2"/>
    <s v="LAB-896"/>
    <x v="6"/>
    <x v="0"/>
    <x v="0"/>
    <n v="3"/>
    <x v="0"/>
  </r>
  <r>
    <n v="53"/>
    <s v="No"/>
    <s v="Travel_Rarely"/>
    <n v="868"/>
    <x v="0"/>
    <n v="8"/>
    <n v="3"/>
    <s v="Marketing"/>
    <n v="1"/>
    <n v="897"/>
    <n v="1"/>
    <s v="Male"/>
    <n v="73"/>
    <n v="3"/>
    <n v="4"/>
    <s v="Sales Executive"/>
    <n v="4"/>
    <s v="Married"/>
    <n v="11836"/>
    <n v="22789"/>
    <n v="5"/>
    <s v="Y"/>
    <s v="No"/>
    <n v="14"/>
    <n v="3"/>
    <n v="3"/>
    <n v="80"/>
    <n v="1"/>
    <n v="28"/>
    <n v="3"/>
    <n v="3"/>
    <n v="2"/>
    <n v="0"/>
    <n v="2"/>
    <n v="2"/>
    <s v="LAB-897"/>
    <x v="0"/>
    <x v="0"/>
    <x v="1"/>
    <n v="2"/>
    <x v="0"/>
  </r>
  <r>
    <n v="35"/>
    <s v="No"/>
    <s v="Travel_Rarely"/>
    <n v="672"/>
    <x v="1"/>
    <n v="25"/>
    <n v="3"/>
    <s v="Technical Degree"/>
    <n v="1"/>
    <n v="899"/>
    <n v="4"/>
    <s v="Male"/>
    <n v="78"/>
    <n v="2"/>
    <n v="3"/>
    <s v="Manufacturing Director"/>
    <n v="2"/>
    <s v="Married"/>
    <n v="10903"/>
    <n v="9129"/>
    <n v="3"/>
    <s v="Y"/>
    <s v="No"/>
    <n v="16"/>
    <n v="3"/>
    <n v="1"/>
    <n v="80"/>
    <n v="0"/>
    <n v="16"/>
    <n v="2"/>
    <n v="3"/>
    <n v="13"/>
    <n v="10"/>
    <n v="4"/>
    <n v="8"/>
    <s v="LAB-899"/>
    <x v="3"/>
    <x v="1"/>
    <x v="1"/>
    <n v="13"/>
    <x v="0"/>
  </r>
  <r>
    <n v="37"/>
    <s v="No"/>
    <s v="Travel_Frequently"/>
    <n v="1231"/>
    <x v="0"/>
    <n v="21"/>
    <n v="2"/>
    <s v="Medical"/>
    <n v="1"/>
    <n v="900"/>
    <n v="3"/>
    <s v="Female"/>
    <n v="54"/>
    <n v="3"/>
    <n v="1"/>
    <s v="Sales Representative"/>
    <n v="4"/>
    <s v="Married"/>
    <n v="2973"/>
    <n v="21222"/>
    <n v="5"/>
    <s v="Y"/>
    <s v="No"/>
    <n v="15"/>
    <n v="3"/>
    <n v="2"/>
    <n v="80"/>
    <n v="1"/>
    <n v="10"/>
    <n v="3"/>
    <n v="3"/>
    <n v="5"/>
    <n v="4"/>
    <n v="0"/>
    <n v="0"/>
    <s v="LAB-900"/>
    <x v="6"/>
    <x v="0"/>
    <x v="1"/>
    <n v="5"/>
    <x v="0"/>
  </r>
  <r>
    <n v="53"/>
    <s v="No"/>
    <s v="Travel_Rarely"/>
    <n v="102"/>
    <x v="1"/>
    <n v="23"/>
    <n v="4"/>
    <s v="Life Sciences"/>
    <n v="1"/>
    <n v="901"/>
    <n v="4"/>
    <s v="Female"/>
    <n v="72"/>
    <n v="3"/>
    <n v="4"/>
    <s v="Research Director"/>
    <n v="4"/>
    <s v="Single"/>
    <n v="14275"/>
    <n v="20206"/>
    <n v="6"/>
    <s v="Y"/>
    <s v="No"/>
    <n v="18"/>
    <n v="3"/>
    <n v="3"/>
    <n v="80"/>
    <n v="0"/>
    <n v="33"/>
    <n v="0"/>
    <n v="3"/>
    <n v="12"/>
    <n v="9"/>
    <n v="3"/>
    <n v="8"/>
    <s v="LAB-901"/>
    <x v="7"/>
    <x v="1"/>
    <x v="1"/>
    <n v="12"/>
    <x v="0"/>
  </r>
  <r>
    <n v="43"/>
    <s v="No"/>
    <s v="Travel_Frequently"/>
    <n v="422"/>
    <x v="1"/>
    <n v="1"/>
    <n v="3"/>
    <s v="Life Sciences"/>
    <n v="1"/>
    <n v="902"/>
    <n v="4"/>
    <s v="Female"/>
    <n v="33"/>
    <n v="3"/>
    <n v="2"/>
    <s v="Healthcare Representative"/>
    <n v="4"/>
    <s v="Married"/>
    <n v="5562"/>
    <n v="21782"/>
    <n v="4"/>
    <s v="Y"/>
    <s v="No"/>
    <n v="13"/>
    <n v="3"/>
    <n v="2"/>
    <n v="80"/>
    <n v="1"/>
    <n v="12"/>
    <n v="2"/>
    <n v="2"/>
    <n v="5"/>
    <n v="2"/>
    <n v="2"/>
    <n v="2"/>
    <s v="LAB-902"/>
    <x v="4"/>
    <x v="1"/>
    <x v="1"/>
    <n v="5"/>
    <x v="0"/>
  </r>
  <r>
    <n v="47"/>
    <s v="No"/>
    <s v="Travel_Rarely"/>
    <n v="249"/>
    <x v="0"/>
    <n v="2"/>
    <n v="2"/>
    <s v="Marketing"/>
    <n v="1"/>
    <n v="903"/>
    <n v="3"/>
    <s v="Female"/>
    <n v="35"/>
    <n v="3"/>
    <n v="2"/>
    <s v="Sales Executive"/>
    <n v="4"/>
    <s v="Married"/>
    <n v="4537"/>
    <n v="17783"/>
    <n v="0"/>
    <s v="Y"/>
    <s v="Yes"/>
    <n v="22"/>
    <n v="4"/>
    <n v="1"/>
    <n v="80"/>
    <n v="1"/>
    <n v="8"/>
    <n v="2"/>
    <n v="3"/>
    <n v="7"/>
    <n v="6"/>
    <n v="7"/>
    <n v="7"/>
    <s v="LAB-903"/>
    <x v="0"/>
    <x v="0"/>
    <x v="1"/>
    <n v="7"/>
    <x v="0"/>
  </r>
  <r>
    <n v="37"/>
    <s v="No"/>
    <s v="Non-Travel"/>
    <n v="1252"/>
    <x v="0"/>
    <n v="19"/>
    <n v="2"/>
    <s v="Medical"/>
    <n v="1"/>
    <n v="904"/>
    <n v="1"/>
    <s v="Male"/>
    <n v="32"/>
    <n v="3"/>
    <n v="3"/>
    <s v="Sales Executive"/>
    <n v="2"/>
    <s v="Single"/>
    <n v="7642"/>
    <n v="4814"/>
    <n v="1"/>
    <s v="Y"/>
    <s v="Yes"/>
    <n v="13"/>
    <n v="3"/>
    <n v="4"/>
    <n v="80"/>
    <n v="0"/>
    <n v="10"/>
    <n v="2"/>
    <n v="3"/>
    <n v="10"/>
    <n v="0"/>
    <n v="0"/>
    <n v="9"/>
    <s v="LAB-904"/>
    <x v="0"/>
    <x v="0"/>
    <x v="1"/>
    <n v="10"/>
    <x v="0"/>
  </r>
  <r>
    <n v="50"/>
    <s v="No"/>
    <s v="Non-Travel"/>
    <n v="881"/>
    <x v="1"/>
    <n v="2"/>
    <n v="4"/>
    <s v="Life Sciences"/>
    <n v="1"/>
    <n v="905"/>
    <n v="1"/>
    <s v="Male"/>
    <n v="98"/>
    <n v="3"/>
    <n v="4"/>
    <s v="Manager"/>
    <n v="1"/>
    <s v="Divorced"/>
    <n v="17924"/>
    <n v="4544"/>
    <n v="1"/>
    <s v="Y"/>
    <s v="No"/>
    <n v="11"/>
    <n v="3"/>
    <n v="4"/>
    <n v="80"/>
    <n v="1"/>
    <n v="31"/>
    <n v="3"/>
    <n v="3"/>
    <n v="31"/>
    <n v="6"/>
    <n v="14"/>
    <n v="7"/>
    <s v="LAB-905"/>
    <x v="5"/>
    <x v="1"/>
    <x v="1"/>
    <n v="31"/>
    <x v="0"/>
  </r>
  <r>
    <n v="39"/>
    <s v="No"/>
    <s v="Travel_Rarely"/>
    <n v="1383"/>
    <x v="2"/>
    <n v="2"/>
    <n v="3"/>
    <s v="Life Sciences"/>
    <n v="1"/>
    <n v="909"/>
    <n v="4"/>
    <s v="Female"/>
    <n v="42"/>
    <n v="2"/>
    <n v="2"/>
    <s v="Human Resources"/>
    <n v="4"/>
    <s v="Married"/>
    <n v="5204"/>
    <n v="7790"/>
    <n v="8"/>
    <s v="Y"/>
    <s v="No"/>
    <n v="11"/>
    <n v="3"/>
    <n v="3"/>
    <n v="80"/>
    <n v="2"/>
    <n v="13"/>
    <n v="2"/>
    <n v="3"/>
    <n v="5"/>
    <n v="4"/>
    <n v="0"/>
    <n v="4"/>
    <s v="LAB-909"/>
    <x v="8"/>
    <x v="2"/>
    <x v="1"/>
    <n v="5"/>
    <x v="0"/>
  </r>
  <r>
    <n v="33"/>
    <s v="No"/>
    <s v="Travel_Rarely"/>
    <n v="1075"/>
    <x v="2"/>
    <n v="3"/>
    <n v="2"/>
    <s v="Human Resources"/>
    <n v="1"/>
    <n v="910"/>
    <n v="4"/>
    <s v="Male"/>
    <n v="57"/>
    <n v="3"/>
    <n v="1"/>
    <s v="Human Resources"/>
    <n v="2"/>
    <s v="Divorced"/>
    <n v="2277"/>
    <n v="22650"/>
    <n v="3"/>
    <s v="Y"/>
    <s v="Yes"/>
    <n v="11"/>
    <n v="3"/>
    <n v="3"/>
    <n v="80"/>
    <n v="1"/>
    <n v="7"/>
    <n v="4"/>
    <n v="4"/>
    <n v="4"/>
    <n v="3"/>
    <n v="0"/>
    <n v="3"/>
    <s v="LAB-910"/>
    <x v="8"/>
    <x v="2"/>
    <x v="1"/>
    <n v="4"/>
    <x v="0"/>
  </r>
  <r>
    <n v="32"/>
    <s v="Yes"/>
    <s v="Travel_Rarely"/>
    <n v="374"/>
    <x v="1"/>
    <n v="25"/>
    <n v="4"/>
    <s v="Life Sciences"/>
    <n v="1"/>
    <n v="911"/>
    <n v="1"/>
    <s v="Male"/>
    <n v="87"/>
    <n v="3"/>
    <n v="1"/>
    <s v="Laboratory Technician"/>
    <n v="4"/>
    <s v="Single"/>
    <n v="2795"/>
    <n v="18016"/>
    <n v="1"/>
    <s v="Y"/>
    <s v="Yes"/>
    <n v="24"/>
    <n v="4"/>
    <n v="3"/>
    <n v="80"/>
    <n v="0"/>
    <n v="1"/>
    <n v="2"/>
    <n v="1"/>
    <n v="1"/>
    <n v="0"/>
    <n v="0"/>
    <n v="1"/>
    <s v="LAB-911"/>
    <x v="2"/>
    <x v="1"/>
    <x v="0"/>
    <n v="1"/>
    <x v="0"/>
  </r>
  <r>
    <n v="29"/>
    <s v="No"/>
    <s v="Travel_Rarely"/>
    <n v="1086"/>
    <x v="1"/>
    <n v="7"/>
    <n v="1"/>
    <s v="Medical"/>
    <n v="1"/>
    <n v="912"/>
    <n v="1"/>
    <s v="Female"/>
    <n v="62"/>
    <n v="2"/>
    <n v="1"/>
    <s v="Laboratory Technician"/>
    <n v="4"/>
    <s v="Divorced"/>
    <n v="2532"/>
    <n v="6054"/>
    <n v="6"/>
    <s v="Y"/>
    <s v="No"/>
    <n v="14"/>
    <n v="3"/>
    <n v="3"/>
    <n v="80"/>
    <n v="3"/>
    <n v="8"/>
    <n v="5"/>
    <n v="3"/>
    <n v="4"/>
    <n v="3"/>
    <n v="0"/>
    <n v="3"/>
    <s v="LAB-912"/>
    <x v="2"/>
    <x v="1"/>
    <x v="1"/>
    <n v="4"/>
    <x v="0"/>
  </r>
  <r>
    <n v="44"/>
    <s v="No"/>
    <s v="Travel_Rarely"/>
    <n v="661"/>
    <x v="1"/>
    <n v="9"/>
    <n v="2"/>
    <s v="Life Sciences"/>
    <n v="1"/>
    <n v="913"/>
    <n v="2"/>
    <s v="Male"/>
    <n v="61"/>
    <n v="3"/>
    <n v="1"/>
    <s v="Research Scientist"/>
    <n v="1"/>
    <s v="Married"/>
    <n v="2559"/>
    <n v="7508"/>
    <n v="1"/>
    <s v="Y"/>
    <s v="Yes"/>
    <n v="13"/>
    <n v="3"/>
    <n v="4"/>
    <n v="80"/>
    <n v="0"/>
    <n v="8"/>
    <n v="0"/>
    <n v="3"/>
    <n v="8"/>
    <n v="7"/>
    <n v="7"/>
    <n v="1"/>
    <s v="LAB-913"/>
    <x v="1"/>
    <x v="1"/>
    <x v="1"/>
    <n v="8"/>
    <x v="0"/>
  </r>
  <r>
    <n v="28"/>
    <s v="No"/>
    <s v="Travel_Rarely"/>
    <n v="821"/>
    <x v="0"/>
    <n v="5"/>
    <n v="4"/>
    <s v="Medical"/>
    <n v="1"/>
    <n v="916"/>
    <n v="1"/>
    <s v="Male"/>
    <n v="98"/>
    <n v="3"/>
    <n v="2"/>
    <s v="Sales Executive"/>
    <n v="4"/>
    <s v="Single"/>
    <n v="4908"/>
    <n v="24252"/>
    <n v="1"/>
    <s v="Y"/>
    <s v="No"/>
    <n v="14"/>
    <n v="3"/>
    <n v="2"/>
    <n v="80"/>
    <n v="0"/>
    <n v="4"/>
    <n v="3"/>
    <n v="3"/>
    <n v="4"/>
    <n v="2"/>
    <n v="0"/>
    <n v="2"/>
    <s v="LAB-916"/>
    <x v="0"/>
    <x v="0"/>
    <x v="1"/>
    <n v="4"/>
    <x v="0"/>
  </r>
  <r>
    <n v="58"/>
    <s v="Yes"/>
    <s v="Travel_Frequently"/>
    <n v="781"/>
    <x v="1"/>
    <n v="2"/>
    <n v="1"/>
    <s v="Life Sciences"/>
    <n v="1"/>
    <n v="918"/>
    <n v="4"/>
    <s v="Male"/>
    <n v="57"/>
    <n v="2"/>
    <n v="1"/>
    <s v="Laboratory Technician"/>
    <n v="4"/>
    <s v="Divorced"/>
    <n v="2380"/>
    <n v="13384"/>
    <n v="9"/>
    <s v="Y"/>
    <s v="Yes"/>
    <n v="14"/>
    <n v="3"/>
    <n v="4"/>
    <n v="80"/>
    <n v="1"/>
    <n v="3"/>
    <n v="3"/>
    <n v="2"/>
    <n v="1"/>
    <n v="0"/>
    <n v="0"/>
    <n v="0"/>
    <s v="LAB-918"/>
    <x v="2"/>
    <x v="1"/>
    <x v="0"/>
    <n v="1"/>
    <x v="0"/>
  </r>
  <r>
    <n v="43"/>
    <s v="No"/>
    <s v="Travel_Rarely"/>
    <n v="177"/>
    <x v="1"/>
    <n v="8"/>
    <n v="3"/>
    <s v="Life Sciences"/>
    <n v="1"/>
    <n v="920"/>
    <n v="1"/>
    <s v="Female"/>
    <n v="55"/>
    <n v="3"/>
    <n v="2"/>
    <s v="Manufacturing Director"/>
    <n v="2"/>
    <s v="Divorced"/>
    <n v="4765"/>
    <n v="23814"/>
    <n v="4"/>
    <s v="Y"/>
    <s v="No"/>
    <n v="21"/>
    <n v="4"/>
    <n v="3"/>
    <n v="80"/>
    <n v="1"/>
    <n v="4"/>
    <n v="2"/>
    <n v="4"/>
    <n v="1"/>
    <n v="0"/>
    <n v="0"/>
    <n v="0"/>
    <s v="LAB-920"/>
    <x v="3"/>
    <x v="1"/>
    <x v="1"/>
    <n v="1"/>
    <x v="0"/>
  </r>
  <r>
    <n v="20"/>
    <s v="Yes"/>
    <s v="Travel_Rarely"/>
    <n v="500"/>
    <x v="0"/>
    <n v="2"/>
    <n v="3"/>
    <s v="Medical"/>
    <n v="1"/>
    <n v="922"/>
    <n v="3"/>
    <s v="Female"/>
    <n v="49"/>
    <n v="2"/>
    <n v="1"/>
    <s v="Sales Representative"/>
    <n v="3"/>
    <s v="Single"/>
    <n v="2044"/>
    <n v="22052"/>
    <n v="1"/>
    <s v="Y"/>
    <s v="No"/>
    <n v="13"/>
    <n v="3"/>
    <n v="4"/>
    <n v="80"/>
    <n v="0"/>
    <n v="2"/>
    <n v="3"/>
    <n v="2"/>
    <n v="2"/>
    <n v="2"/>
    <n v="0"/>
    <n v="2"/>
    <s v="LAB-922"/>
    <x v="6"/>
    <x v="0"/>
    <x v="0"/>
    <n v="2"/>
    <x v="0"/>
  </r>
  <r>
    <n v="21"/>
    <s v="Yes"/>
    <s v="Travel_Rarely"/>
    <n v="1427"/>
    <x v="1"/>
    <n v="18"/>
    <n v="1"/>
    <s v="Other"/>
    <n v="1"/>
    <n v="923"/>
    <n v="4"/>
    <s v="Female"/>
    <n v="65"/>
    <n v="3"/>
    <n v="1"/>
    <s v="Research Scientist"/>
    <n v="4"/>
    <s v="Single"/>
    <n v="2693"/>
    <n v="8870"/>
    <n v="1"/>
    <s v="Y"/>
    <s v="No"/>
    <n v="19"/>
    <n v="3"/>
    <n v="1"/>
    <n v="80"/>
    <n v="0"/>
    <n v="1"/>
    <n v="3"/>
    <n v="2"/>
    <n v="1"/>
    <n v="0"/>
    <n v="0"/>
    <n v="0"/>
    <s v="LAB-923"/>
    <x v="1"/>
    <x v="1"/>
    <x v="0"/>
    <n v="1"/>
    <x v="0"/>
  </r>
  <r>
    <n v="36"/>
    <s v="No"/>
    <s v="Travel_Rarely"/>
    <n v="1425"/>
    <x v="1"/>
    <n v="14"/>
    <n v="1"/>
    <s v="Life Sciences"/>
    <n v="1"/>
    <n v="924"/>
    <n v="3"/>
    <s v="Male"/>
    <n v="68"/>
    <n v="3"/>
    <n v="2"/>
    <s v="Healthcare Representative"/>
    <n v="4"/>
    <s v="Married"/>
    <n v="6586"/>
    <n v="4821"/>
    <n v="0"/>
    <s v="Y"/>
    <s v="Yes"/>
    <n v="17"/>
    <n v="3"/>
    <n v="1"/>
    <n v="80"/>
    <n v="1"/>
    <n v="17"/>
    <n v="2"/>
    <n v="2"/>
    <n v="16"/>
    <n v="8"/>
    <n v="4"/>
    <n v="11"/>
    <s v="LAB-924"/>
    <x v="4"/>
    <x v="1"/>
    <x v="1"/>
    <n v="16"/>
    <x v="0"/>
  </r>
  <r>
    <n v="47"/>
    <s v="No"/>
    <s v="Travel_Rarely"/>
    <n v="1454"/>
    <x v="0"/>
    <n v="2"/>
    <n v="4"/>
    <s v="Life Sciences"/>
    <n v="1"/>
    <n v="925"/>
    <n v="4"/>
    <s v="Female"/>
    <n v="65"/>
    <n v="2"/>
    <n v="1"/>
    <s v="Sales Representative"/>
    <n v="4"/>
    <s v="Single"/>
    <n v="3294"/>
    <n v="13137"/>
    <n v="1"/>
    <s v="Y"/>
    <s v="Yes"/>
    <n v="18"/>
    <n v="3"/>
    <n v="1"/>
    <n v="80"/>
    <n v="0"/>
    <n v="3"/>
    <n v="3"/>
    <n v="2"/>
    <n v="3"/>
    <n v="2"/>
    <n v="1"/>
    <n v="2"/>
    <s v="LAB-925"/>
    <x v="6"/>
    <x v="0"/>
    <x v="1"/>
    <n v="3"/>
    <x v="0"/>
  </r>
  <r>
    <n v="22"/>
    <s v="Yes"/>
    <s v="Travel_Rarely"/>
    <n v="617"/>
    <x v="1"/>
    <n v="3"/>
    <n v="1"/>
    <s v="Life Sciences"/>
    <n v="1"/>
    <n v="926"/>
    <n v="2"/>
    <s v="Female"/>
    <n v="34"/>
    <n v="3"/>
    <n v="2"/>
    <s v="Manufacturing Director"/>
    <n v="3"/>
    <s v="Married"/>
    <n v="4171"/>
    <n v="10022"/>
    <n v="0"/>
    <s v="Y"/>
    <s v="Yes"/>
    <n v="19"/>
    <n v="3"/>
    <n v="1"/>
    <n v="80"/>
    <n v="1"/>
    <n v="4"/>
    <n v="3"/>
    <n v="4"/>
    <n v="3"/>
    <n v="2"/>
    <n v="0"/>
    <n v="2"/>
    <s v="LAB-926"/>
    <x v="3"/>
    <x v="1"/>
    <x v="0"/>
    <n v="3"/>
    <x v="0"/>
  </r>
  <r>
    <n v="41"/>
    <s v="Yes"/>
    <s v="Travel_Rarely"/>
    <n v="1085"/>
    <x v="1"/>
    <n v="2"/>
    <n v="4"/>
    <s v="Life Sciences"/>
    <n v="1"/>
    <n v="927"/>
    <n v="2"/>
    <s v="Female"/>
    <n v="57"/>
    <n v="1"/>
    <n v="1"/>
    <s v="Laboratory Technician"/>
    <n v="4"/>
    <s v="Divorced"/>
    <n v="2778"/>
    <n v="17725"/>
    <n v="4"/>
    <s v="Y"/>
    <s v="Yes"/>
    <n v="13"/>
    <n v="3"/>
    <n v="3"/>
    <n v="80"/>
    <n v="1"/>
    <n v="10"/>
    <n v="1"/>
    <n v="2"/>
    <n v="7"/>
    <n v="7"/>
    <n v="1"/>
    <n v="0"/>
    <s v="LAB-927"/>
    <x v="2"/>
    <x v="1"/>
    <x v="0"/>
    <n v="7"/>
    <x v="0"/>
  </r>
  <r>
    <n v="28"/>
    <s v="No"/>
    <s v="Travel_Rarely"/>
    <n v="995"/>
    <x v="1"/>
    <n v="9"/>
    <n v="3"/>
    <s v="Medical"/>
    <n v="1"/>
    <n v="930"/>
    <n v="3"/>
    <s v="Female"/>
    <n v="77"/>
    <n v="3"/>
    <n v="1"/>
    <s v="Research Scientist"/>
    <n v="3"/>
    <s v="Divorced"/>
    <n v="2377"/>
    <n v="9834"/>
    <n v="5"/>
    <s v="Y"/>
    <s v="No"/>
    <n v="18"/>
    <n v="3"/>
    <n v="2"/>
    <n v="80"/>
    <n v="1"/>
    <n v="6"/>
    <n v="2"/>
    <n v="3"/>
    <n v="2"/>
    <n v="2"/>
    <n v="2"/>
    <n v="2"/>
    <s v="LAB-930"/>
    <x v="1"/>
    <x v="1"/>
    <x v="1"/>
    <n v="2"/>
    <x v="0"/>
  </r>
  <r>
    <n v="39"/>
    <s v="Yes"/>
    <s v="Travel_Rarely"/>
    <n v="1122"/>
    <x v="1"/>
    <n v="6"/>
    <n v="3"/>
    <s v="Medical"/>
    <n v="1"/>
    <n v="932"/>
    <n v="4"/>
    <s v="Male"/>
    <n v="70"/>
    <n v="3"/>
    <n v="1"/>
    <s v="Laboratory Technician"/>
    <n v="1"/>
    <s v="Married"/>
    <n v="2404"/>
    <n v="4303"/>
    <n v="7"/>
    <s v="Y"/>
    <s v="Yes"/>
    <n v="21"/>
    <n v="4"/>
    <n v="4"/>
    <n v="80"/>
    <n v="0"/>
    <n v="8"/>
    <n v="2"/>
    <n v="1"/>
    <n v="2"/>
    <n v="2"/>
    <n v="2"/>
    <n v="2"/>
    <s v="LAB-932"/>
    <x v="2"/>
    <x v="1"/>
    <x v="0"/>
    <n v="2"/>
    <x v="0"/>
  </r>
  <r>
    <n v="27"/>
    <s v="No"/>
    <s v="Travel_Rarely"/>
    <n v="618"/>
    <x v="1"/>
    <n v="4"/>
    <n v="3"/>
    <s v="Life Sciences"/>
    <n v="1"/>
    <n v="933"/>
    <n v="2"/>
    <s v="Female"/>
    <n v="76"/>
    <n v="3"/>
    <n v="1"/>
    <s v="Research Scientist"/>
    <n v="3"/>
    <s v="Single"/>
    <n v="2318"/>
    <n v="17808"/>
    <n v="1"/>
    <s v="Y"/>
    <s v="No"/>
    <n v="19"/>
    <n v="3"/>
    <n v="3"/>
    <n v="80"/>
    <n v="0"/>
    <n v="1"/>
    <n v="2"/>
    <n v="3"/>
    <n v="1"/>
    <n v="1"/>
    <n v="0"/>
    <n v="0"/>
    <s v="LAB-933"/>
    <x v="1"/>
    <x v="1"/>
    <x v="1"/>
    <n v="1"/>
    <x v="0"/>
  </r>
  <r>
    <n v="34"/>
    <s v="No"/>
    <s v="Travel_Rarely"/>
    <n v="546"/>
    <x v="1"/>
    <n v="10"/>
    <n v="3"/>
    <s v="Life Sciences"/>
    <n v="1"/>
    <n v="934"/>
    <n v="2"/>
    <s v="Male"/>
    <n v="83"/>
    <n v="3"/>
    <n v="1"/>
    <s v="Laboratory Technician"/>
    <n v="2"/>
    <s v="Divorced"/>
    <n v="2008"/>
    <n v="6896"/>
    <n v="1"/>
    <s v="Y"/>
    <s v="No"/>
    <n v="14"/>
    <n v="3"/>
    <n v="2"/>
    <n v="80"/>
    <n v="2"/>
    <n v="1"/>
    <n v="3"/>
    <n v="3"/>
    <n v="1"/>
    <n v="0"/>
    <n v="1"/>
    <n v="0"/>
    <s v="LAB-934"/>
    <x v="2"/>
    <x v="1"/>
    <x v="1"/>
    <n v="1"/>
    <x v="0"/>
  </r>
  <r>
    <n v="42"/>
    <s v="No"/>
    <s v="Travel_Rarely"/>
    <n v="462"/>
    <x v="0"/>
    <n v="14"/>
    <n v="2"/>
    <s v="Medical"/>
    <n v="1"/>
    <n v="936"/>
    <n v="3"/>
    <s v="Female"/>
    <n v="68"/>
    <n v="2"/>
    <n v="2"/>
    <s v="Sales Executive"/>
    <n v="3"/>
    <s v="Single"/>
    <n v="6244"/>
    <n v="7824"/>
    <n v="7"/>
    <s v="Y"/>
    <s v="No"/>
    <n v="17"/>
    <n v="3"/>
    <n v="1"/>
    <n v="80"/>
    <n v="0"/>
    <n v="10"/>
    <n v="6"/>
    <n v="3"/>
    <n v="5"/>
    <n v="4"/>
    <n v="0"/>
    <n v="3"/>
    <s v="LAB-936"/>
    <x v="0"/>
    <x v="0"/>
    <x v="1"/>
    <n v="5"/>
    <x v="0"/>
  </r>
  <r>
    <n v="33"/>
    <s v="No"/>
    <s v="Travel_Rarely"/>
    <n v="1198"/>
    <x v="1"/>
    <n v="1"/>
    <n v="4"/>
    <s v="Other"/>
    <n v="1"/>
    <n v="939"/>
    <n v="3"/>
    <s v="Male"/>
    <n v="100"/>
    <n v="2"/>
    <n v="1"/>
    <s v="Research Scientist"/>
    <n v="1"/>
    <s v="Single"/>
    <n v="2799"/>
    <n v="3339"/>
    <n v="3"/>
    <s v="Y"/>
    <s v="Yes"/>
    <n v="11"/>
    <n v="3"/>
    <n v="2"/>
    <n v="80"/>
    <n v="0"/>
    <n v="6"/>
    <n v="1"/>
    <n v="3"/>
    <n v="3"/>
    <n v="2"/>
    <n v="0"/>
    <n v="2"/>
    <s v="LAB-939"/>
    <x v="1"/>
    <x v="1"/>
    <x v="1"/>
    <n v="3"/>
    <x v="0"/>
  </r>
  <r>
    <n v="58"/>
    <s v="No"/>
    <s v="Travel_Rarely"/>
    <n v="1272"/>
    <x v="1"/>
    <n v="5"/>
    <n v="3"/>
    <s v="Technical Degree"/>
    <n v="1"/>
    <n v="940"/>
    <n v="3"/>
    <s v="Female"/>
    <n v="37"/>
    <n v="2"/>
    <n v="3"/>
    <s v="Healthcare Representative"/>
    <n v="2"/>
    <s v="Divorced"/>
    <n v="10552"/>
    <n v="9255"/>
    <n v="2"/>
    <s v="Y"/>
    <s v="Yes"/>
    <n v="13"/>
    <n v="3"/>
    <n v="4"/>
    <n v="80"/>
    <n v="1"/>
    <n v="24"/>
    <n v="3"/>
    <n v="3"/>
    <n v="6"/>
    <n v="0"/>
    <n v="0"/>
    <n v="4"/>
    <s v="LAB-940"/>
    <x v="4"/>
    <x v="1"/>
    <x v="1"/>
    <n v="6"/>
    <x v="0"/>
  </r>
  <r>
    <n v="31"/>
    <s v="No"/>
    <s v="Travel_Rarely"/>
    <n v="154"/>
    <x v="0"/>
    <n v="7"/>
    <n v="4"/>
    <s v="Life Sciences"/>
    <n v="1"/>
    <n v="941"/>
    <n v="2"/>
    <s v="Male"/>
    <n v="41"/>
    <n v="2"/>
    <n v="1"/>
    <s v="Sales Representative"/>
    <n v="3"/>
    <s v="Married"/>
    <n v="2329"/>
    <n v="11737"/>
    <n v="3"/>
    <s v="Y"/>
    <s v="No"/>
    <n v="15"/>
    <n v="3"/>
    <n v="2"/>
    <n v="80"/>
    <n v="0"/>
    <n v="13"/>
    <n v="2"/>
    <n v="4"/>
    <n v="7"/>
    <n v="7"/>
    <n v="5"/>
    <n v="2"/>
    <s v="LAB-941"/>
    <x v="6"/>
    <x v="0"/>
    <x v="1"/>
    <n v="7"/>
    <x v="0"/>
  </r>
  <r>
    <n v="35"/>
    <s v="No"/>
    <s v="Travel_Rarely"/>
    <n v="1137"/>
    <x v="1"/>
    <n v="21"/>
    <n v="1"/>
    <s v="Life Sciences"/>
    <n v="1"/>
    <n v="942"/>
    <n v="4"/>
    <s v="Female"/>
    <n v="51"/>
    <n v="3"/>
    <n v="2"/>
    <s v="Healthcare Representative"/>
    <n v="4"/>
    <s v="Married"/>
    <n v="4014"/>
    <n v="19170"/>
    <n v="1"/>
    <s v="Y"/>
    <s v="Yes"/>
    <n v="25"/>
    <n v="4"/>
    <n v="4"/>
    <n v="80"/>
    <n v="1"/>
    <n v="10"/>
    <n v="2"/>
    <n v="1"/>
    <n v="10"/>
    <n v="6"/>
    <n v="0"/>
    <n v="7"/>
    <s v="LAB-942"/>
    <x v="4"/>
    <x v="1"/>
    <x v="1"/>
    <n v="10"/>
    <x v="0"/>
  </r>
  <r>
    <n v="49"/>
    <s v="No"/>
    <s v="Travel_Rarely"/>
    <n v="527"/>
    <x v="1"/>
    <n v="8"/>
    <n v="2"/>
    <s v="Other"/>
    <n v="1"/>
    <n v="944"/>
    <n v="1"/>
    <s v="Female"/>
    <n v="51"/>
    <n v="3"/>
    <n v="3"/>
    <s v="Laboratory Technician"/>
    <n v="2"/>
    <s v="Married"/>
    <n v="7403"/>
    <n v="22477"/>
    <n v="4"/>
    <s v="Y"/>
    <s v="No"/>
    <n v="11"/>
    <n v="3"/>
    <n v="3"/>
    <n v="80"/>
    <n v="1"/>
    <n v="29"/>
    <n v="3"/>
    <n v="2"/>
    <n v="26"/>
    <n v="9"/>
    <n v="1"/>
    <n v="7"/>
    <s v="LAB-944"/>
    <x v="2"/>
    <x v="1"/>
    <x v="1"/>
    <n v="26"/>
    <x v="0"/>
  </r>
  <r>
    <n v="48"/>
    <s v="No"/>
    <s v="Travel_Rarely"/>
    <n v="1469"/>
    <x v="1"/>
    <n v="20"/>
    <n v="4"/>
    <s v="Medical"/>
    <n v="1"/>
    <n v="945"/>
    <n v="4"/>
    <s v="Male"/>
    <n v="51"/>
    <n v="3"/>
    <n v="1"/>
    <s v="Research Scientist"/>
    <n v="3"/>
    <s v="Married"/>
    <n v="2259"/>
    <n v="5543"/>
    <n v="4"/>
    <s v="Y"/>
    <s v="No"/>
    <n v="17"/>
    <n v="3"/>
    <n v="1"/>
    <n v="80"/>
    <n v="2"/>
    <n v="13"/>
    <n v="2"/>
    <n v="2"/>
    <n v="0"/>
    <n v="0"/>
    <n v="0"/>
    <n v="0"/>
    <s v="LAB-945"/>
    <x v="1"/>
    <x v="1"/>
    <x v="1"/>
    <n v="0"/>
    <x v="0"/>
  </r>
  <r>
    <n v="31"/>
    <s v="No"/>
    <s v="Non-Travel"/>
    <n v="1188"/>
    <x v="0"/>
    <n v="20"/>
    <n v="2"/>
    <s v="Marketing"/>
    <n v="1"/>
    <n v="947"/>
    <n v="4"/>
    <s v="Female"/>
    <n v="45"/>
    <n v="3"/>
    <n v="2"/>
    <s v="Sales Executive"/>
    <n v="3"/>
    <s v="Married"/>
    <n v="6932"/>
    <n v="24406"/>
    <n v="1"/>
    <s v="Y"/>
    <s v="No"/>
    <n v="13"/>
    <n v="3"/>
    <n v="4"/>
    <n v="80"/>
    <n v="1"/>
    <n v="9"/>
    <n v="2"/>
    <n v="2"/>
    <n v="9"/>
    <n v="8"/>
    <n v="0"/>
    <n v="0"/>
    <s v="LAB-947"/>
    <x v="0"/>
    <x v="0"/>
    <x v="1"/>
    <n v="9"/>
    <x v="0"/>
  </r>
  <r>
    <n v="36"/>
    <s v="No"/>
    <s v="Travel_Rarely"/>
    <n v="188"/>
    <x v="1"/>
    <n v="7"/>
    <n v="4"/>
    <s v="Other"/>
    <n v="1"/>
    <n v="949"/>
    <n v="2"/>
    <s v="Male"/>
    <n v="65"/>
    <n v="3"/>
    <n v="1"/>
    <s v="Research Scientist"/>
    <n v="4"/>
    <s v="Single"/>
    <n v="4678"/>
    <n v="23293"/>
    <n v="2"/>
    <s v="Y"/>
    <s v="No"/>
    <n v="18"/>
    <n v="3"/>
    <n v="3"/>
    <n v="80"/>
    <n v="0"/>
    <n v="8"/>
    <n v="6"/>
    <n v="3"/>
    <n v="6"/>
    <n v="2"/>
    <n v="0"/>
    <n v="1"/>
    <s v="LAB-949"/>
    <x v="1"/>
    <x v="1"/>
    <x v="1"/>
    <n v="6"/>
    <x v="0"/>
  </r>
  <r>
    <n v="38"/>
    <s v="No"/>
    <s v="Travel_Rarely"/>
    <n v="1333"/>
    <x v="1"/>
    <n v="1"/>
    <n v="3"/>
    <s v="Technical Degree"/>
    <n v="1"/>
    <n v="950"/>
    <n v="4"/>
    <s v="Female"/>
    <n v="80"/>
    <n v="3"/>
    <n v="3"/>
    <s v="Research Director"/>
    <n v="1"/>
    <s v="Married"/>
    <n v="13582"/>
    <n v="16292"/>
    <n v="1"/>
    <s v="Y"/>
    <s v="No"/>
    <n v="13"/>
    <n v="3"/>
    <n v="2"/>
    <n v="80"/>
    <n v="1"/>
    <n v="15"/>
    <n v="3"/>
    <n v="3"/>
    <n v="15"/>
    <n v="12"/>
    <n v="5"/>
    <n v="11"/>
    <s v="LAB-950"/>
    <x v="7"/>
    <x v="1"/>
    <x v="1"/>
    <n v="15"/>
    <x v="0"/>
  </r>
  <r>
    <n v="32"/>
    <s v="No"/>
    <s v="Non-Travel"/>
    <n v="1184"/>
    <x v="1"/>
    <n v="1"/>
    <n v="3"/>
    <s v="Life Sciences"/>
    <n v="1"/>
    <n v="951"/>
    <n v="3"/>
    <s v="Female"/>
    <n v="70"/>
    <n v="2"/>
    <n v="1"/>
    <s v="Laboratory Technician"/>
    <n v="2"/>
    <s v="Married"/>
    <n v="2332"/>
    <n v="3974"/>
    <n v="6"/>
    <s v="Y"/>
    <s v="No"/>
    <n v="20"/>
    <n v="4"/>
    <n v="3"/>
    <n v="80"/>
    <n v="0"/>
    <n v="5"/>
    <n v="3"/>
    <n v="3"/>
    <n v="3"/>
    <n v="0"/>
    <n v="0"/>
    <n v="2"/>
    <s v="LAB-951"/>
    <x v="2"/>
    <x v="1"/>
    <x v="1"/>
    <n v="3"/>
    <x v="0"/>
  </r>
  <r>
    <n v="25"/>
    <s v="Yes"/>
    <s v="Travel_Rarely"/>
    <n v="867"/>
    <x v="0"/>
    <n v="19"/>
    <n v="2"/>
    <s v="Marketing"/>
    <n v="1"/>
    <n v="952"/>
    <n v="3"/>
    <s v="Male"/>
    <n v="36"/>
    <n v="2"/>
    <n v="1"/>
    <s v="Sales Representative"/>
    <n v="2"/>
    <s v="Married"/>
    <n v="2413"/>
    <n v="18798"/>
    <n v="1"/>
    <s v="Y"/>
    <s v="Yes"/>
    <n v="18"/>
    <n v="3"/>
    <n v="3"/>
    <n v="80"/>
    <n v="3"/>
    <n v="1"/>
    <n v="2"/>
    <n v="3"/>
    <n v="1"/>
    <n v="0"/>
    <n v="0"/>
    <n v="0"/>
    <s v="LAB-952"/>
    <x v="6"/>
    <x v="0"/>
    <x v="0"/>
    <n v="1"/>
    <x v="0"/>
  </r>
  <r>
    <n v="40"/>
    <s v="No"/>
    <s v="Travel_Rarely"/>
    <n v="658"/>
    <x v="0"/>
    <n v="10"/>
    <n v="4"/>
    <s v="Marketing"/>
    <n v="1"/>
    <n v="954"/>
    <n v="1"/>
    <s v="Male"/>
    <n v="67"/>
    <n v="2"/>
    <n v="3"/>
    <s v="Sales Executive"/>
    <n v="2"/>
    <s v="Divorced"/>
    <n v="9705"/>
    <n v="20652"/>
    <n v="2"/>
    <s v="Y"/>
    <s v="No"/>
    <n v="12"/>
    <n v="3"/>
    <n v="2"/>
    <n v="80"/>
    <n v="1"/>
    <n v="11"/>
    <n v="2"/>
    <n v="2"/>
    <n v="1"/>
    <n v="0"/>
    <n v="0"/>
    <n v="0"/>
    <s v="LAB-954"/>
    <x v="0"/>
    <x v="0"/>
    <x v="1"/>
    <n v="1"/>
    <x v="0"/>
  </r>
  <r>
    <n v="26"/>
    <s v="No"/>
    <s v="Travel_Frequently"/>
    <n v="1283"/>
    <x v="0"/>
    <n v="1"/>
    <n v="3"/>
    <s v="Medical"/>
    <n v="1"/>
    <n v="956"/>
    <n v="3"/>
    <s v="Male"/>
    <n v="52"/>
    <n v="2"/>
    <n v="2"/>
    <s v="Sales Executive"/>
    <n v="1"/>
    <s v="Single"/>
    <n v="4294"/>
    <n v="11148"/>
    <n v="1"/>
    <s v="Y"/>
    <s v="No"/>
    <n v="12"/>
    <n v="3"/>
    <n v="2"/>
    <n v="80"/>
    <n v="0"/>
    <n v="7"/>
    <n v="2"/>
    <n v="3"/>
    <n v="7"/>
    <n v="7"/>
    <n v="0"/>
    <n v="7"/>
    <s v="LAB-956"/>
    <x v="0"/>
    <x v="0"/>
    <x v="1"/>
    <n v="7"/>
    <x v="0"/>
  </r>
  <r>
    <n v="41"/>
    <s v="No"/>
    <s v="Travel_Rarely"/>
    <n v="263"/>
    <x v="1"/>
    <n v="6"/>
    <n v="3"/>
    <s v="Medical"/>
    <n v="1"/>
    <n v="957"/>
    <n v="4"/>
    <s v="Male"/>
    <n v="59"/>
    <n v="3"/>
    <n v="1"/>
    <s v="Laboratory Technician"/>
    <n v="1"/>
    <s v="Single"/>
    <n v="4721"/>
    <n v="3119"/>
    <n v="2"/>
    <s v="Y"/>
    <s v="Yes"/>
    <n v="13"/>
    <n v="3"/>
    <n v="3"/>
    <n v="80"/>
    <n v="0"/>
    <n v="20"/>
    <n v="3"/>
    <n v="3"/>
    <n v="18"/>
    <n v="13"/>
    <n v="2"/>
    <n v="17"/>
    <s v="LAB-957"/>
    <x v="2"/>
    <x v="1"/>
    <x v="1"/>
    <n v="18"/>
    <x v="0"/>
  </r>
  <r>
    <n v="36"/>
    <s v="No"/>
    <s v="Travel_Rarely"/>
    <n v="938"/>
    <x v="1"/>
    <n v="2"/>
    <n v="4"/>
    <s v="Medical"/>
    <n v="1"/>
    <n v="958"/>
    <n v="3"/>
    <s v="Male"/>
    <n v="79"/>
    <n v="3"/>
    <n v="1"/>
    <s v="Laboratory Technician"/>
    <n v="3"/>
    <s v="Single"/>
    <n v="2519"/>
    <n v="12287"/>
    <n v="4"/>
    <s v="Y"/>
    <s v="No"/>
    <n v="21"/>
    <n v="4"/>
    <n v="3"/>
    <n v="80"/>
    <n v="0"/>
    <n v="16"/>
    <n v="6"/>
    <n v="3"/>
    <n v="11"/>
    <n v="8"/>
    <n v="3"/>
    <n v="9"/>
    <s v="LAB-958"/>
    <x v="2"/>
    <x v="1"/>
    <x v="1"/>
    <n v="11"/>
    <x v="0"/>
  </r>
  <r>
    <n v="19"/>
    <s v="Yes"/>
    <s v="Travel_Rarely"/>
    <n v="419"/>
    <x v="0"/>
    <n v="21"/>
    <n v="3"/>
    <s v="Other"/>
    <n v="1"/>
    <n v="959"/>
    <n v="4"/>
    <s v="Male"/>
    <n v="37"/>
    <n v="2"/>
    <n v="1"/>
    <s v="Sales Representative"/>
    <n v="2"/>
    <s v="Single"/>
    <n v="2121"/>
    <n v="9947"/>
    <n v="1"/>
    <s v="Y"/>
    <s v="Yes"/>
    <n v="13"/>
    <n v="3"/>
    <n v="2"/>
    <n v="80"/>
    <n v="0"/>
    <n v="1"/>
    <n v="3"/>
    <n v="4"/>
    <n v="1"/>
    <n v="0"/>
    <n v="0"/>
    <n v="0"/>
    <s v="LAB-959"/>
    <x v="6"/>
    <x v="0"/>
    <x v="0"/>
    <n v="1"/>
    <x v="0"/>
  </r>
  <r>
    <n v="20"/>
    <s v="Yes"/>
    <s v="Travel_Rarely"/>
    <n v="129"/>
    <x v="1"/>
    <n v="4"/>
    <n v="3"/>
    <s v="Technical Degree"/>
    <n v="1"/>
    <n v="960"/>
    <n v="1"/>
    <s v="Male"/>
    <n v="84"/>
    <n v="3"/>
    <n v="1"/>
    <s v="Laboratory Technician"/>
    <n v="1"/>
    <s v="Single"/>
    <n v="2973"/>
    <n v="13008"/>
    <n v="1"/>
    <s v="Y"/>
    <s v="No"/>
    <n v="19"/>
    <n v="3"/>
    <n v="2"/>
    <n v="80"/>
    <n v="0"/>
    <n v="1"/>
    <n v="2"/>
    <n v="3"/>
    <n v="1"/>
    <n v="0"/>
    <n v="0"/>
    <n v="0"/>
    <s v="LAB-960"/>
    <x v="2"/>
    <x v="1"/>
    <x v="0"/>
    <n v="1"/>
    <x v="0"/>
  </r>
  <r>
    <n v="31"/>
    <s v="No"/>
    <s v="Travel_Rarely"/>
    <n v="616"/>
    <x v="1"/>
    <n v="12"/>
    <n v="3"/>
    <s v="Medical"/>
    <n v="1"/>
    <n v="961"/>
    <n v="4"/>
    <s v="Female"/>
    <n v="41"/>
    <n v="3"/>
    <n v="2"/>
    <s v="Healthcare Representative"/>
    <n v="4"/>
    <s v="Married"/>
    <n v="5855"/>
    <n v="17369"/>
    <n v="0"/>
    <s v="Y"/>
    <s v="Yes"/>
    <n v="11"/>
    <n v="3"/>
    <n v="3"/>
    <n v="80"/>
    <n v="2"/>
    <n v="10"/>
    <n v="2"/>
    <n v="1"/>
    <n v="9"/>
    <n v="7"/>
    <n v="8"/>
    <n v="5"/>
    <s v="LAB-961"/>
    <x v="4"/>
    <x v="1"/>
    <x v="1"/>
    <n v="9"/>
    <x v="0"/>
  </r>
  <r>
    <n v="40"/>
    <s v="No"/>
    <s v="Travel_Frequently"/>
    <n v="1469"/>
    <x v="1"/>
    <n v="9"/>
    <n v="4"/>
    <s v="Medical"/>
    <n v="1"/>
    <n v="964"/>
    <n v="4"/>
    <s v="Male"/>
    <n v="35"/>
    <n v="3"/>
    <n v="1"/>
    <s v="Research Scientist"/>
    <n v="2"/>
    <s v="Divorced"/>
    <n v="3617"/>
    <n v="25063"/>
    <n v="8"/>
    <s v="Y"/>
    <s v="Yes"/>
    <n v="14"/>
    <n v="3"/>
    <n v="4"/>
    <n v="80"/>
    <n v="1"/>
    <n v="3"/>
    <n v="2"/>
    <n v="3"/>
    <n v="1"/>
    <n v="1"/>
    <n v="0"/>
    <n v="0"/>
    <s v="LAB-964"/>
    <x v="1"/>
    <x v="1"/>
    <x v="1"/>
    <n v="1"/>
    <x v="0"/>
  </r>
  <r>
    <n v="32"/>
    <s v="No"/>
    <s v="Travel_Rarely"/>
    <n v="498"/>
    <x v="1"/>
    <n v="3"/>
    <n v="4"/>
    <s v="Medical"/>
    <n v="1"/>
    <n v="966"/>
    <n v="3"/>
    <s v="Female"/>
    <n v="93"/>
    <n v="3"/>
    <n v="2"/>
    <s v="Manufacturing Director"/>
    <n v="1"/>
    <s v="Married"/>
    <n v="6725"/>
    <n v="13554"/>
    <n v="1"/>
    <s v="Y"/>
    <s v="No"/>
    <n v="12"/>
    <n v="3"/>
    <n v="3"/>
    <n v="80"/>
    <n v="1"/>
    <n v="8"/>
    <n v="2"/>
    <n v="4"/>
    <n v="8"/>
    <n v="7"/>
    <n v="6"/>
    <n v="3"/>
    <s v="LAB-966"/>
    <x v="3"/>
    <x v="1"/>
    <x v="1"/>
    <n v="8"/>
    <x v="0"/>
  </r>
  <r>
    <n v="36"/>
    <s v="Yes"/>
    <s v="Travel_Rarely"/>
    <n v="530"/>
    <x v="0"/>
    <n v="3"/>
    <n v="1"/>
    <s v="Life Sciences"/>
    <n v="1"/>
    <n v="967"/>
    <n v="3"/>
    <s v="Male"/>
    <n v="51"/>
    <n v="2"/>
    <n v="3"/>
    <s v="Sales Executive"/>
    <n v="4"/>
    <s v="Married"/>
    <n v="10325"/>
    <n v="5518"/>
    <n v="1"/>
    <s v="Y"/>
    <s v="Yes"/>
    <n v="11"/>
    <n v="3"/>
    <n v="1"/>
    <n v="80"/>
    <n v="1"/>
    <n v="16"/>
    <n v="6"/>
    <n v="3"/>
    <n v="16"/>
    <n v="7"/>
    <n v="3"/>
    <n v="7"/>
    <s v="LAB-967"/>
    <x v="0"/>
    <x v="0"/>
    <x v="0"/>
    <n v="16"/>
    <x v="0"/>
  </r>
  <r>
    <n v="33"/>
    <s v="No"/>
    <s v="Travel_Rarely"/>
    <n v="1069"/>
    <x v="1"/>
    <n v="1"/>
    <n v="3"/>
    <s v="Life Sciences"/>
    <n v="1"/>
    <n v="969"/>
    <n v="2"/>
    <s v="Female"/>
    <n v="42"/>
    <n v="2"/>
    <n v="2"/>
    <s v="Healthcare Representative"/>
    <n v="4"/>
    <s v="Single"/>
    <n v="6949"/>
    <n v="12291"/>
    <n v="0"/>
    <s v="Y"/>
    <s v="No"/>
    <n v="14"/>
    <n v="3"/>
    <n v="1"/>
    <n v="80"/>
    <n v="0"/>
    <n v="6"/>
    <n v="3"/>
    <n v="3"/>
    <n v="5"/>
    <n v="0"/>
    <n v="1"/>
    <n v="4"/>
    <s v="LAB-969"/>
    <x v="4"/>
    <x v="1"/>
    <x v="1"/>
    <n v="5"/>
    <x v="0"/>
  </r>
  <r>
    <n v="37"/>
    <s v="Yes"/>
    <s v="Travel_Rarely"/>
    <n v="625"/>
    <x v="0"/>
    <n v="1"/>
    <n v="4"/>
    <s v="Life Sciences"/>
    <n v="1"/>
    <n v="970"/>
    <n v="1"/>
    <s v="Male"/>
    <n v="46"/>
    <n v="2"/>
    <n v="3"/>
    <s v="Sales Executive"/>
    <n v="3"/>
    <s v="Married"/>
    <n v="10609"/>
    <n v="14922"/>
    <n v="5"/>
    <s v="Y"/>
    <s v="No"/>
    <n v="11"/>
    <n v="3"/>
    <n v="3"/>
    <n v="80"/>
    <n v="0"/>
    <n v="17"/>
    <n v="2"/>
    <n v="1"/>
    <n v="14"/>
    <n v="1"/>
    <n v="11"/>
    <n v="7"/>
    <s v="LAB-970"/>
    <x v="0"/>
    <x v="0"/>
    <x v="0"/>
    <n v="14"/>
    <x v="0"/>
  </r>
  <r>
    <n v="45"/>
    <s v="No"/>
    <s v="Non-Travel"/>
    <n v="805"/>
    <x v="1"/>
    <n v="4"/>
    <n v="2"/>
    <s v="Life Sciences"/>
    <n v="1"/>
    <n v="972"/>
    <n v="3"/>
    <s v="Male"/>
    <n v="57"/>
    <n v="3"/>
    <n v="2"/>
    <s v="Laboratory Technician"/>
    <n v="2"/>
    <s v="Married"/>
    <n v="4447"/>
    <n v="23163"/>
    <n v="1"/>
    <s v="Y"/>
    <s v="No"/>
    <n v="12"/>
    <n v="3"/>
    <n v="2"/>
    <n v="80"/>
    <n v="0"/>
    <n v="9"/>
    <n v="5"/>
    <n v="2"/>
    <n v="9"/>
    <n v="7"/>
    <n v="0"/>
    <n v="8"/>
    <s v="LAB-972"/>
    <x v="2"/>
    <x v="1"/>
    <x v="1"/>
    <n v="9"/>
    <x v="0"/>
  </r>
  <r>
    <n v="29"/>
    <s v="No"/>
    <s v="Travel_Frequently"/>
    <n v="1404"/>
    <x v="0"/>
    <n v="20"/>
    <n v="3"/>
    <s v="Technical Degree"/>
    <n v="1"/>
    <n v="974"/>
    <n v="3"/>
    <s v="Female"/>
    <n v="84"/>
    <n v="3"/>
    <n v="1"/>
    <s v="Sales Representative"/>
    <n v="4"/>
    <s v="Married"/>
    <n v="2157"/>
    <n v="18203"/>
    <n v="1"/>
    <s v="Y"/>
    <s v="No"/>
    <n v="15"/>
    <n v="3"/>
    <n v="2"/>
    <n v="80"/>
    <n v="1"/>
    <n v="3"/>
    <n v="5"/>
    <n v="3"/>
    <n v="3"/>
    <n v="1"/>
    <n v="0"/>
    <n v="2"/>
    <s v="LAB-974"/>
    <x v="6"/>
    <x v="0"/>
    <x v="1"/>
    <n v="3"/>
    <x v="0"/>
  </r>
  <r>
    <n v="35"/>
    <s v="No"/>
    <s v="Travel_Rarely"/>
    <n v="1219"/>
    <x v="0"/>
    <n v="18"/>
    <n v="3"/>
    <s v="Medical"/>
    <n v="1"/>
    <n v="975"/>
    <n v="3"/>
    <s v="Female"/>
    <n v="86"/>
    <n v="3"/>
    <n v="2"/>
    <s v="Sales Executive"/>
    <n v="3"/>
    <s v="Married"/>
    <n v="4601"/>
    <n v="6179"/>
    <n v="1"/>
    <s v="Y"/>
    <s v="No"/>
    <n v="16"/>
    <n v="3"/>
    <n v="2"/>
    <n v="80"/>
    <n v="0"/>
    <n v="5"/>
    <n v="3"/>
    <n v="3"/>
    <n v="5"/>
    <n v="2"/>
    <n v="1"/>
    <n v="0"/>
    <s v="LAB-975"/>
    <x v="0"/>
    <x v="0"/>
    <x v="1"/>
    <n v="5"/>
    <x v="0"/>
  </r>
  <r>
    <n v="52"/>
    <s v="No"/>
    <s v="Travel_Rarely"/>
    <n v="1053"/>
    <x v="1"/>
    <n v="1"/>
    <n v="2"/>
    <s v="Life Sciences"/>
    <n v="1"/>
    <n v="976"/>
    <n v="4"/>
    <s v="Male"/>
    <n v="70"/>
    <n v="3"/>
    <n v="4"/>
    <s v="Manager"/>
    <n v="4"/>
    <s v="Married"/>
    <n v="17099"/>
    <n v="13829"/>
    <n v="2"/>
    <s v="Y"/>
    <s v="No"/>
    <n v="15"/>
    <n v="3"/>
    <n v="2"/>
    <n v="80"/>
    <n v="1"/>
    <n v="26"/>
    <n v="2"/>
    <n v="2"/>
    <n v="9"/>
    <n v="8"/>
    <n v="7"/>
    <n v="8"/>
    <s v="LAB-976"/>
    <x v="5"/>
    <x v="1"/>
    <x v="1"/>
    <n v="9"/>
    <x v="0"/>
  </r>
  <r>
    <n v="58"/>
    <s v="Yes"/>
    <s v="Travel_Rarely"/>
    <n v="289"/>
    <x v="1"/>
    <n v="2"/>
    <n v="3"/>
    <s v="Technical Degree"/>
    <n v="1"/>
    <n v="977"/>
    <n v="4"/>
    <s v="Male"/>
    <n v="51"/>
    <n v="3"/>
    <n v="1"/>
    <s v="Research Scientist"/>
    <n v="3"/>
    <s v="Single"/>
    <n v="2479"/>
    <n v="26227"/>
    <n v="4"/>
    <s v="Y"/>
    <s v="No"/>
    <n v="24"/>
    <n v="4"/>
    <n v="1"/>
    <n v="80"/>
    <n v="0"/>
    <n v="7"/>
    <n v="4"/>
    <n v="3"/>
    <n v="1"/>
    <n v="0"/>
    <n v="0"/>
    <n v="0"/>
    <s v="LAB-977"/>
    <x v="1"/>
    <x v="1"/>
    <x v="0"/>
    <n v="1"/>
    <x v="0"/>
  </r>
  <r>
    <n v="53"/>
    <s v="No"/>
    <s v="Travel_Rarely"/>
    <n v="1376"/>
    <x v="0"/>
    <n v="2"/>
    <n v="2"/>
    <s v="Medical"/>
    <n v="1"/>
    <n v="981"/>
    <n v="3"/>
    <s v="Male"/>
    <n v="45"/>
    <n v="3"/>
    <n v="4"/>
    <s v="Manager"/>
    <n v="3"/>
    <s v="Divorced"/>
    <n v="14852"/>
    <n v="13938"/>
    <n v="6"/>
    <s v="Y"/>
    <s v="No"/>
    <n v="13"/>
    <n v="3"/>
    <n v="3"/>
    <n v="80"/>
    <n v="1"/>
    <n v="22"/>
    <n v="3"/>
    <n v="4"/>
    <n v="17"/>
    <n v="13"/>
    <n v="15"/>
    <n v="2"/>
    <s v="LAB-981"/>
    <x v="5"/>
    <x v="0"/>
    <x v="1"/>
    <n v="17"/>
    <x v="0"/>
  </r>
  <r>
    <n v="30"/>
    <s v="No"/>
    <s v="Travel_Rarely"/>
    <n v="231"/>
    <x v="0"/>
    <n v="8"/>
    <n v="2"/>
    <s v="Other"/>
    <n v="1"/>
    <n v="982"/>
    <n v="3"/>
    <s v="Male"/>
    <n v="62"/>
    <n v="3"/>
    <n v="3"/>
    <s v="Sales Executive"/>
    <n v="3"/>
    <s v="Divorced"/>
    <n v="7264"/>
    <n v="9977"/>
    <n v="5"/>
    <s v="Y"/>
    <s v="No"/>
    <n v="11"/>
    <n v="3"/>
    <n v="1"/>
    <n v="80"/>
    <n v="1"/>
    <n v="10"/>
    <n v="2"/>
    <n v="4"/>
    <n v="8"/>
    <n v="4"/>
    <n v="7"/>
    <n v="7"/>
    <s v="LAB-982"/>
    <x v="0"/>
    <x v="0"/>
    <x v="1"/>
    <n v="8"/>
    <x v="0"/>
  </r>
  <r>
    <n v="38"/>
    <s v="No"/>
    <s v="Non-Travel"/>
    <n v="152"/>
    <x v="0"/>
    <n v="10"/>
    <n v="3"/>
    <s v="Technical Degree"/>
    <n v="1"/>
    <n v="983"/>
    <n v="3"/>
    <s v="Female"/>
    <n v="85"/>
    <n v="3"/>
    <n v="2"/>
    <s v="Sales Executive"/>
    <n v="4"/>
    <s v="Single"/>
    <n v="5666"/>
    <n v="19899"/>
    <n v="1"/>
    <s v="Y"/>
    <s v="Yes"/>
    <n v="13"/>
    <n v="3"/>
    <n v="2"/>
    <n v="80"/>
    <n v="0"/>
    <n v="6"/>
    <n v="1"/>
    <n v="3"/>
    <n v="5"/>
    <n v="3"/>
    <n v="1"/>
    <n v="3"/>
    <s v="LAB-983"/>
    <x v="0"/>
    <x v="0"/>
    <x v="1"/>
    <n v="5"/>
    <x v="0"/>
  </r>
  <r>
    <n v="35"/>
    <s v="No"/>
    <s v="Travel_Rarely"/>
    <n v="882"/>
    <x v="0"/>
    <n v="3"/>
    <n v="4"/>
    <s v="Life Sciences"/>
    <n v="1"/>
    <n v="984"/>
    <n v="4"/>
    <s v="Male"/>
    <n v="92"/>
    <n v="3"/>
    <n v="3"/>
    <s v="Sales Executive"/>
    <n v="4"/>
    <s v="Divorced"/>
    <n v="7823"/>
    <n v="6812"/>
    <n v="6"/>
    <s v="Y"/>
    <s v="No"/>
    <n v="13"/>
    <n v="3"/>
    <n v="2"/>
    <n v="80"/>
    <n v="1"/>
    <n v="12"/>
    <n v="2"/>
    <n v="3"/>
    <n v="10"/>
    <n v="9"/>
    <n v="0"/>
    <n v="8"/>
    <s v="LAB-984"/>
    <x v="0"/>
    <x v="0"/>
    <x v="1"/>
    <n v="10"/>
    <x v="0"/>
  </r>
  <r>
    <n v="39"/>
    <s v="No"/>
    <s v="Travel_Rarely"/>
    <n v="903"/>
    <x v="0"/>
    <n v="2"/>
    <n v="5"/>
    <s v="Life Sciences"/>
    <n v="1"/>
    <n v="985"/>
    <n v="1"/>
    <s v="Male"/>
    <n v="41"/>
    <n v="4"/>
    <n v="3"/>
    <s v="Sales Executive"/>
    <n v="3"/>
    <s v="Single"/>
    <n v="7880"/>
    <n v="2560"/>
    <n v="0"/>
    <s v="Y"/>
    <s v="No"/>
    <n v="18"/>
    <n v="3"/>
    <n v="4"/>
    <n v="80"/>
    <n v="0"/>
    <n v="9"/>
    <n v="3"/>
    <n v="3"/>
    <n v="8"/>
    <n v="7"/>
    <n v="0"/>
    <n v="7"/>
    <s v="LAB-985"/>
    <x v="0"/>
    <x v="0"/>
    <x v="1"/>
    <n v="8"/>
    <x v="0"/>
  </r>
  <r>
    <n v="40"/>
    <s v="Yes"/>
    <s v="Non-Travel"/>
    <n v="1479"/>
    <x v="0"/>
    <n v="24"/>
    <n v="3"/>
    <s v="Life Sciences"/>
    <n v="1"/>
    <n v="986"/>
    <n v="2"/>
    <s v="Female"/>
    <n v="100"/>
    <n v="4"/>
    <n v="4"/>
    <s v="Sales Executive"/>
    <n v="2"/>
    <s v="Single"/>
    <n v="13194"/>
    <n v="17071"/>
    <n v="4"/>
    <s v="Y"/>
    <s v="Yes"/>
    <n v="16"/>
    <n v="3"/>
    <n v="4"/>
    <n v="80"/>
    <n v="0"/>
    <n v="22"/>
    <n v="2"/>
    <n v="2"/>
    <n v="1"/>
    <n v="0"/>
    <n v="0"/>
    <n v="0"/>
    <s v="LAB-986"/>
    <x v="0"/>
    <x v="0"/>
    <x v="0"/>
    <n v="1"/>
    <x v="0"/>
  </r>
  <r>
    <n v="47"/>
    <s v="No"/>
    <s v="Travel_Frequently"/>
    <n v="1379"/>
    <x v="1"/>
    <n v="16"/>
    <n v="4"/>
    <s v="Medical"/>
    <n v="1"/>
    <n v="987"/>
    <n v="3"/>
    <s v="Male"/>
    <n v="64"/>
    <n v="4"/>
    <n v="2"/>
    <s v="Manufacturing Director"/>
    <n v="3"/>
    <s v="Divorced"/>
    <n v="5067"/>
    <n v="6759"/>
    <n v="1"/>
    <s v="Y"/>
    <s v="Yes"/>
    <n v="19"/>
    <n v="3"/>
    <n v="3"/>
    <n v="80"/>
    <n v="0"/>
    <n v="20"/>
    <n v="3"/>
    <n v="4"/>
    <n v="19"/>
    <n v="10"/>
    <n v="2"/>
    <n v="7"/>
    <s v="LAB-987"/>
    <x v="3"/>
    <x v="1"/>
    <x v="1"/>
    <n v="19"/>
    <x v="0"/>
  </r>
  <r>
    <n v="36"/>
    <s v="No"/>
    <s v="Non-Travel"/>
    <n v="1229"/>
    <x v="0"/>
    <n v="8"/>
    <n v="4"/>
    <s v="Technical Degree"/>
    <n v="1"/>
    <n v="990"/>
    <n v="1"/>
    <s v="Male"/>
    <n v="84"/>
    <n v="3"/>
    <n v="2"/>
    <s v="Sales Executive"/>
    <n v="4"/>
    <s v="Divorced"/>
    <n v="5079"/>
    <n v="25952"/>
    <n v="4"/>
    <s v="Y"/>
    <s v="No"/>
    <n v="13"/>
    <n v="3"/>
    <n v="4"/>
    <n v="80"/>
    <n v="2"/>
    <n v="12"/>
    <n v="3"/>
    <n v="3"/>
    <n v="7"/>
    <n v="7"/>
    <n v="0"/>
    <n v="7"/>
    <s v="LAB-990"/>
    <x v="0"/>
    <x v="0"/>
    <x v="1"/>
    <n v="7"/>
    <x v="0"/>
  </r>
  <r>
    <n v="31"/>
    <s v="Yes"/>
    <s v="Non-Travel"/>
    <n v="335"/>
    <x v="1"/>
    <n v="9"/>
    <n v="2"/>
    <s v="Medical"/>
    <n v="1"/>
    <n v="991"/>
    <n v="3"/>
    <s v="Male"/>
    <n v="46"/>
    <n v="2"/>
    <n v="1"/>
    <s v="Research Scientist"/>
    <n v="1"/>
    <s v="Single"/>
    <n v="2321"/>
    <n v="10322"/>
    <n v="0"/>
    <s v="Y"/>
    <s v="Yes"/>
    <n v="22"/>
    <n v="4"/>
    <n v="1"/>
    <n v="80"/>
    <n v="0"/>
    <n v="4"/>
    <n v="0"/>
    <n v="3"/>
    <n v="3"/>
    <n v="2"/>
    <n v="1"/>
    <n v="2"/>
    <s v="LAB-991"/>
    <x v="1"/>
    <x v="1"/>
    <x v="0"/>
    <n v="3"/>
    <x v="0"/>
  </r>
  <r>
    <n v="33"/>
    <s v="No"/>
    <s v="Non-Travel"/>
    <n v="722"/>
    <x v="0"/>
    <n v="17"/>
    <n v="3"/>
    <s v="Life Sciences"/>
    <n v="1"/>
    <n v="992"/>
    <n v="4"/>
    <s v="Male"/>
    <n v="38"/>
    <n v="3"/>
    <n v="4"/>
    <s v="Manager"/>
    <n v="3"/>
    <s v="Single"/>
    <n v="17444"/>
    <n v="20489"/>
    <n v="1"/>
    <s v="Y"/>
    <s v="No"/>
    <n v="11"/>
    <n v="3"/>
    <n v="4"/>
    <n v="80"/>
    <n v="0"/>
    <n v="10"/>
    <n v="2"/>
    <n v="3"/>
    <n v="10"/>
    <n v="8"/>
    <n v="6"/>
    <n v="0"/>
    <s v="LAB-992"/>
    <x v="5"/>
    <x v="0"/>
    <x v="1"/>
    <n v="10"/>
    <x v="0"/>
  </r>
  <r>
    <n v="29"/>
    <s v="Yes"/>
    <s v="Travel_Rarely"/>
    <n v="906"/>
    <x v="1"/>
    <n v="10"/>
    <n v="3"/>
    <s v="Life Sciences"/>
    <n v="1"/>
    <n v="994"/>
    <n v="4"/>
    <s v="Female"/>
    <n v="92"/>
    <n v="2"/>
    <n v="1"/>
    <s v="Research Scientist"/>
    <n v="1"/>
    <s v="Single"/>
    <n v="2404"/>
    <n v="11479"/>
    <n v="6"/>
    <s v="Y"/>
    <s v="Yes"/>
    <n v="20"/>
    <n v="4"/>
    <n v="3"/>
    <n v="80"/>
    <n v="0"/>
    <n v="3"/>
    <n v="5"/>
    <n v="3"/>
    <n v="0"/>
    <n v="0"/>
    <n v="0"/>
    <n v="0"/>
    <s v="LAB-994"/>
    <x v="1"/>
    <x v="1"/>
    <x v="0"/>
    <n v="0"/>
    <x v="0"/>
  </r>
  <r>
    <n v="33"/>
    <s v="No"/>
    <s v="Travel_Rarely"/>
    <n v="461"/>
    <x v="1"/>
    <n v="13"/>
    <n v="1"/>
    <s v="Life Sciences"/>
    <n v="1"/>
    <n v="995"/>
    <n v="2"/>
    <s v="Female"/>
    <n v="53"/>
    <n v="3"/>
    <n v="1"/>
    <s v="Research Scientist"/>
    <n v="4"/>
    <s v="Single"/>
    <n v="3452"/>
    <n v="17241"/>
    <n v="3"/>
    <s v="Y"/>
    <s v="No"/>
    <n v="18"/>
    <n v="3"/>
    <n v="1"/>
    <n v="80"/>
    <n v="0"/>
    <n v="5"/>
    <n v="4"/>
    <n v="3"/>
    <n v="3"/>
    <n v="2"/>
    <n v="0"/>
    <n v="2"/>
    <s v="LAB-995"/>
    <x v="1"/>
    <x v="1"/>
    <x v="1"/>
    <n v="3"/>
    <x v="0"/>
  </r>
  <r>
    <n v="45"/>
    <s v="No"/>
    <s v="Travel_Rarely"/>
    <n v="974"/>
    <x v="1"/>
    <n v="1"/>
    <n v="4"/>
    <s v="Medical"/>
    <n v="1"/>
    <n v="996"/>
    <n v="4"/>
    <s v="Female"/>
    <n v="91"/>
    <n v="3"/>
    <n v="1"/>
    <s v="Laboratory Technician"/>
    <n v="4"/>
    <s v="Divorced"/>
    <n v="2270"/>
    <n v="11005"/>
    <n v="3"/>
    <s v="Y"/>
    <s v="No"/>
    <n v="14"/>
    <n v="3"/>
    <n v="4"/>
    <n v="80"/>
    <n v="2"/>
    <n v="8"/>
    <n v="2"/>
    <n v="3"/>
    <n v="5"/>
    <n v="3"/>
    <n v="0"/>
    <n v="2"/>
    <s v="LAB-996"/>
    <x v="2"/>
    <x v="1"/>
    <x v="1"/>
    <n v="5"/>
    <x v="0"/>
  </r>
  <r>
    <n v="50"/>
    <s v="No"/>
    <s v="Travel_Rarely"/>
    <n v="1126"/>
    <x v="1"/>
    <n v="1"/>
    <n v="2"/>
    <s v="Medical"/>
    <n v="1"/>
    <n v="997"/>
    <n v="4"/>
    <s v="Male"/>
    <n v="66"/>
    <n v="3"/>
    <n v="4"/>
    <s v="Research Director"/>
    <n v="4"/>
    <s v="Divorced"/>
    <n v="17399"/>
    <n v="6615"/>
    <n v="9"/>
    <s v="Y"/>
    <s v="No"/>
    <n v="22"/>
    <n v="4"/>
    <n v="3"/>
    <n v="80"/>
    <n v="1"/>
    <n v="32"/>
    <n v="1"/>
    <n v="2"/>
    <n v="5"/>
    <n v="4"/>
    <n v="1"/>
    <n v="3"/>
    <s v="LAB-997"/>
    <x v="7"/>
    <x v="1"/>
    <x v="1"/>
    <n v="5"/>
    <x v="0"/>
  </r>
  <r>
    <n v="33"/>
    <s v="No"/>
    <s v="Travel_Frequently"/>
    <n v="827"/>
    <x v="1"/>
    <n v="1"/>
    <n v="4"/>
    <s v="Other"/>
    <n v="1"/>
    <n v="998"/>
    <n v="3"/>
    <s v="Female"/>
    <n v="84"/>
    <n v="4"/>
    <n v="2"/>
    <s v="Healthcare Representative"/>
    <n v="2"/>
    <s v="Married"/>
    <n v="5488"/>
    <n v="20161"/>
    <n v="1"/>
    <s v="Y"/>
    <s v="Yes"/>
    <n v="13"/>
    <n v="3"/>
    <n v="1"/>
    <n v="80"/>
    <n v="1"/>
    <n v="6"/>
    <n v="2"/>
    <n v="3"/>
    <n v="6"/>
    <n v="5"/>
    <n v="1"/>
    <n v="2"/>
    <s v="LAB-998"/>
    <x v="4"/>
    <x v="1"/>
    <x v="1"/>
    <n v="6"/>
    <x v="0"/>
  </r>
  <r>
    <n v="41"/>
    <s v="No"/>
    <s v="Travel_Frequently"/>
    <n v="840"/>
    <x v="1"/>
    <n v="9"/>
    <n v="3"/>
    <s v="Medical"/>
    <n v="1"/>
    <n v="999"/>
    <n v="1"/>
    <s v="Male"/>
    <n v="64"/>
    <n v="3"/>
    <n v="5"/>
    <s v="Research Director"/>
    <n v="3"/>
    <s v="Divorced"/>
    <n v="19419"/>
    <n v="3735"/>
    <n v="2"/>
    <s v="Y"/>
    <s v="No"/>
    <n v="17"/>
    <n v="3"/>
    <n v="2"/>
    <n v="80"/>
    <n v="1"/>
    <n v="21"/>
    <n v="2"/>
    <n v="4"/>
    <n v="18"/>
    <n v="16"/>
    <n v="0"/>
    <n v="11"/>
    <s v="LAB-999"/>
    <x v="7"/>
    <x v="1"/>
    <x v="1"/>
    <n v="18"/>
    <x v="0"/>
  </r>
  <r>
    <n v="27"/>
    <s v="No"/>
    <s v="Travel_Rarely"/>
    <n v="1134"/>
    <x v="1"/>
    <n v="16"/>
    <n v="4"/>
    <s v="Technical Degree"/>
    <n v="1"/>
    <n v="1001"/>
    <n v="3"/>
    <s v="Female"/>
    <n v="37"/>
    <n v="3"/>
    <n v="1"/>
    <s v="Laboratory Technician"/>
    <n v="2"/>
    <s v="Married"/>
    <n v="2811"/>
    <n v="12086"/>
    <n v="9"/>
    <s v="Y"/>
    <s v="No"/>
    <n v="14"/>
    <n v="3"/>
    <n v="2"/>
    <n v="80"/>
    <n v="1"/>
    <n v="4"/>
    <n v="2"/>
    <n v="3"/>
    <n v="2"/>
    <n v="2"/>
    <n v="2"/>
    <n v="2"/>
    <s v="LAB-1001"/>
    <x v="2"/>
    <x v="1"/>
    <x v="1"/>
    <n v="2"/>
    <x v="0"/>
  </r>
  <r>
    <n v="45"/>
    <s v="No"/>
    <s v="Non-Travel"/>
    <n v="248"/>
    <x v="1"/>
    <n v="23"/>
    <n v="2"/>
    <s v="Life Sciences"/>
    <n v="1"/>
    <n v="1002"/>
    <n v="4"/>
    <s v="Male"/>
    <n v="42"/>
    <n v="3"/>
    <n v="2"/>
    <s v="Laboratory Technician"/>
    <n v="1"/>
    <s v="Married"/>
    <n v="3633"/>
    <n v="14039"/>
    <n v="1"/>
    <s v="Y"/>
    <s v="Yes"/>
    <n v="15"/>
    <n v="3"/>
    <n v="3"/>
    <n v="80"/>
    <n v="1"/>
    <n v="9"/>
    <n v="2"/>
    <n v="3"/>
    <n v="9"/>
    <n v="8"/>
    <n v="0"/>
    <n v="8"/>
    <s v="LAB-1002"/>
    <x v="2"/>
    <x v="1"/>
    <x v="1"/>
    <n v="9"/>
    <x v="0"/>
  </r>
  <r>
    <n v="47"/>
    <s v="No"/>
    <s v="Travel_Rarely"/>
    <n v="955"/>
    <x v="0"/>
    <n v="4"/>
    <n v="2"/>
    <s v="Life Sciences"/>
    <n v="1"/>
    <n v="1003"/>
    <n v="4"/>
    <s v="Female"/>
    <n v="83"/>
    <n v="3"/>
    <n v="2"/>
    <s v="Sales Executive"/>
    <n v="4"/>
    <s v="Single"/>
    <n v="4163"/>
    <n v="8571"/>
    <n v="1"/>
    <s v="Y"/>
    <s v="Yes"/>
    <n v="17"/>
    <n v="3"/>
    <n v="3"/>
    <n v="80"/>
    <n v="0"/>
    <n v="9"/>
    <n v="0"/>
    <n v="3"/>
    <n v="9"/>
    <n v="0"/>
    <n v="0"/>
    <n v="7"/>
    <s v="LAB-1003"/>
    <x v="0"/>
    <x v="0"/>
    <x v="1"/>
    <n v="9"/>
    <x v="0"/>
  </r>
  <r>
    <n v="30"/>
    <s v="Yes"/>
    <s v="Travel_Rarely"/>
    <n v="138"/>
    <x v="1"/>
    <n v="22"/>
    <n v="3"/>
    <s v="Life Sciences"/>
    <n v="1"/>
    <n v="1004"/>
    <n v="1"/>
    <s v="Female"/>
    <n v="48"/>
    <n v="3"/>
    <n v="1"/>
    <s v="Research Scientist"/>
    <n v="3"/>
    <s v="Married"/>
    <n v="2132"/>
    <n v="11539"/>
    <n v="4"/>
    <s v="Y"/>
    <s v="Yes"/>
    <n v="11"/>
    <n v="3"/>
    <n v="2"/>
    <n v="80"/>
    <n v="0"/>
    <n v="7"/>
    <n v="2"/>
    <n v="3"/>
    <n v="5"/>
    <n v="2"/>
    <n v="0"/>
    <n v="1"/>
    <s v="LAB-1004"/>
    <x v="1"/>
    <x v="1"/>
    <x v="0"/>
    <n v="5"/>
    <x v="0"/>
  </r>
  <r>
    <n v="50"/>
    <s v="No"/>
    <s v="Travel_Rarely"/>
    <n v="939"/>
    <x v="1"/>
    <n v="24"/>
    <n v="3"/>
    <s v="Life Sciences"/>
    <n v="1"/>
    <n v="1005"/>
    <n v="4"/>
    <s v="Male"/>
    <n v="95"/>
    <n v="3"/>
    <n v="4"/>
    <s v="Manufacturing Director"/>
    <n v="3"/>
    <s v="Married"/>
    <n v="13973"/>
    <n v="4161"/>
    <n v="3"/>
    <s v="Y"/>
    <s v="Yes"/>
    <n v="18"/>
    <n v="3"/>
    <n v="4"/>
    <n v="80"/>
    <n v="1"/>
    <n v="22"/>
    <n v="2"/>
    <n v="3"/>
    <n v="12"/>
    <n v="11"/>
    <n v="1"/>
    <n v="5"/>
    <s v="LAB-1005"/>
    <x v="3"/>
    <x v="1"/>
    <x v="1"/>
    <n v="12"/>
    <x v="0"/>
  </r>
  <r>
    <n v="38"/>
    <s v="No"/>
    <s v="Travel_Frequently"/>
    <n v="1391"/>
    <x v="1"/>
    <n v="10"/>
    <n v="1"/>
    <s v="Medical"/>
    <n v="1"/>
    <n v="1006"/>
    <n v="3"/>
    <s v="Male"/>
    <n v="66"/>
    <n v="3"/>
    <n v="1"/>
    <s v="Research Scientist"/>
    <n v="3"/>
    <s v="Married"/>
    <n v="2684"/>
    <n v="12127"/>
    <n v="0"/>
    <s v="Y"/>
    <s v="No"/>
    <n v="17"/>
    <n v="3"/>
    <n v="2"/>
    <n v="80"/>
    <n v="1"/>
    <n v="3"/>
    <n v="0"/>
    <n v="2"/>
    <n v="2"/>
    <n v="1"/>
    <n v="0"/>
    <n v="2"/>
    <s v="LAB-1006"/>
    <x v="1"/>
    <x v="1"/>
    <x v="1"/>
    <n v="2"/>
    <x v="0"/>
  </r>
  <r>
    <n v="46"/>
    <s v="No"/>
    <s v="Travel_Rarely"/>
    <n v="566"/>
    <x v="1"/>
    <n v="7"/>
    <n v="2"/>
    <s v="Medical"/>
    <n v="1"/>
    <n v="1007"/>
    <n v="4"/>
    <s v="Male"/>
    <n v="75"/>
    <n v="3"/>
    <n v="3"/>
    <s v="Manufacturing Director"/>
    <n v="3"/>
    <s v="Divorced"/>
    <n v="10845"/>
    <n v="24208"/>
    <n v="6"/>
    <s v="Y"/>
    <s v="No"/>
    <n v="13"/>
    <n v="3"/>
    <n v="2"/>
    <n v="80"/>
    <n v="1"/>
    <n v="13"/>
    <n v="3"/>
    <n v="3"/>
    <n v="8"/>
    <n v="7"/>
    <n v="0"/>
    <n v="7"/>
    <s v="LAB-1007"/>
    <x v="3"/>
    <x v="1"/>
    <x v="1"/>
    <n v="8"/>
    <x v="0"/>
  </r>
  <r>
    <n v="24"/>
    <s v="No"/>
    <s v="Travel_Rarely"/>
    <n v="1206"/>
    <x v="1"/>
    <n v="17"/>
    <n v="1"/>
    <s v="Medical"/>
    <n v="1"/>
    <n v="1009"/>
    <n v="4"/>
    <s v="Female"/>
    <n v="41"/>
    <n v="2"/>
    <n v="2"/>
    <s v="Manufacturing Director"/>
    <n v="3"/>
    <s v="Divorced"/>
    <n v="4377"/>
    <n v="24117"/>
    <n v="1"/>
    <s v="Y"/>
    <s v="No"/>
    <n v="15"/>
    <n v="3"/>
    <n v="2"/>
    <n v="80"/>
    <n v="2"/>
    <n v="5"/>
    <n v="6"/>
    <n v="3"/>
    <n v="4"/>
    <n v="2"/>
    <n v="3"/>
    <n v="2"/>
    <s v="LAB-1009"/>
    <x v="3"/>
    <x v="1"/>
    <x v="1"/>
    <n v="4"/>
    <x v="0"/>
  </r>
  <r>
    <n v="35"/>
    <s v="Yes"/>
    <s v="Travel_Rarely"/>
    <n v="622"/>
    <x v="1"/>
    <n v="14"/>
    <n v="4"/>
    <s v="Other"/>
    <n v="1"/>
    <n v="1010"/>
    <n v="3"/>
    <s v="Male"/>
    <n v="39"/>
    <n v="2"/>
    <n v="1"/>
    <s v="Laboratory Technician"/>
    <n v="2"/>
    <s v="Divorced"/>
    <n v="3743"/>
    <n v="10074"/>
    <n v="1"/>
    <s v="Y"/>
    <s v="Yes"/>
    <n v="24"/>
    <n v="4"/>
    <n v="4"/>
    <n v="80"/>
    <n v="1"/>
    <n v="5"/>
    <n v="2"/>
    <n v="1"/>
    <n v="4"/>
    <n v="2"/>
    <n v="0"/>
    <n v="2"/>
    <s v="LAB-1010"/>
    <x v="2"/>
    <x v="1"/>
    <x v="0"/>
    <n v="4"/>
    <x v="0"/>
  </r>
  <r>
    <n v="31"/>
    <s v="No"/>
    <s v="Travel_Frequently"/>
    <n v="853"/>
    <x v="1"/>
    <n v="1"/>
    <n v="1"/>
    <s v="Life Sciences"/>
    <n v="1"/>
    <n v="1011"/>
    <n v="3"/>
    <s v="Female"/>
    <n v="96"/>
    <n v="3"/>
    <n v="2"/>
    <s v="Manufacturing Director"/>
    <n v="1"/>
    <s v="Married"/>
    <n v="4148"/>
    <n v="11275"/>
    <n v="1"/>
    <s v="Y"/>
    <s v="No"/>
    <n v="12"/>
    <n v="3"/>
    <n v="3"/>
    <n v="80"/>
    <n v="1"/>
    <n v="4"/>
    <n v="1"/>
    <n v="3"/>
    <n v="4"/>
    <n v="3"/>
    <n v="0"/>
    <n v="3"/>
    <s v="LAB-1011"/>
    <x v="3"/>
    <x v="1"/>
    <x v="1"/>
    <n v="4"/>
    <x v="0"/>
  </r>
  <r>
    <n v="18"/>
    <s v="No"/>
    <s v="Non-Travel"/>
    <n v="287"/>
    <x v="1"/>
    <n v="5"/>
    <n v="2"/>
    <s v="Life Sciences"/>
    <n v="1"/>
    <n v="1012"/>
    <n v="2"/>
    <s v="Male"/>
    <n v="73"/>
    <n v="3"/>
    <n v="1"/>
    <s v="Research Scientist"/>
    <n v="4"/>
    <s v="Single"/>
    <n v="1051"/>
    <n v="13493"/>
    <n v="1"/>
    <s v="Y"/>
    <s v="No"/>
    <n v="15"/>
    <n v="3"/>
    <n v="4"/>
    <n v="80"/>
    <n v="0"/>
    <n v="0"/>
    <n v="2"/>
    <n v="3"/>
    <n v="0"/>
    <n v="0"/>
    <n v="0"/>
    <n v="0"/>
    <s v="LAB-1012"/>
    <x v="1"/>
    <x v="1"/>
    <x v="1"/>
    <n v="0"/>
    <x v="0"/>
  </r>
  <r>
    <n v="54"/>
    <s v="No"/>
    <s v="Travel_Rarely"/>
    <n v="1441"/>
    <x v="1"/>
    <n v="17"/>
    <n v="3"/>
    <s v="Technical Degree"/>
    <n v="1"/>
    <n v="1013"/>
    <n v="3"/>
    <s v="Female"/>
    <n v="56"/>
    <n v="3"/>
    <n v="3"/>
    <s v="Manufacturing Director"/>
    <n v="3"/>
    <s v="Married"/>
    <n v="10739"/>
    <n v="13943"/>
    <n v="8"/>
    <s v="Y"/>
    <s v="No"/>
    <n v="11"/>
    <n v="3"/>
    <n v="3"/>
    <n v="80"/>
    <n v="1"/>
    <n v="22"/>
    <n v="2"/>
    <n v="3"/>
    <n v="10"/>
    <n v="7"/>
    <n v="0"/>
    <n v="8"/>
    <s v="LAB-1013"/>
    <x v="3"/>
    <x v="1"/>
    <x v="1"/>
    <n v="10"/>
    <x v="0"/>
  </r>
  <r>
    <n v="35"/>
    <s v="No"/>
    <s v="Travel_Rarely"/>
    <n v="583"/>
    <x v="1"/>
    <n v="25"/>
    <n v="4"/>
    <s v="Medical"/>
    <n v="1"/>
    <n v="1014"/>
    <n v="3"/>
    <s v="Female"/>
    <n v="57"/>
    <n v="3"/>
    <n v="3"/>
    <s v="Healthcare Representative"/>
    <n v="3"/>
    <s v="Divorced"/>
    <n v="10388"/>
    <n v="6975"/>
    <n v="1"/>
    <s v="Y"/>
    <s v="Yes"/>
    <n v="11"/>
    <n v="3"/>
    <n v="3"/>
    <n v="80"/>
    <n v="1"/>
    <n v="16"/>
    <n v="3"/>
    <n v="2"/>
    <n v="16"/>
    <n v="10"/>
    <n v="10"/>
    <n v="1"/>
    <s v="LAB-1014"/>
    <x v="4"/>
    <x v="1"/>
    <x v="1"/>
    <n v="16"/>
    <x v="0"/>
  </r>
  <r>
    <n v="30"/>
    <s v="No"/>
    <s v="Travel_Rarely"/>
    <n v="153"/>
    <x v="1"/>
    <n v="8"/>
    <n v="2"/>
    <s v="Life Sciences"/>
    <n v="1"/>
    <n v="1015"/>
    <n v="2"/>
    <s v="Female"/>
    <n v="73"/>
    <n v="4"/>
    <n v="3"/>
    <s v="Research Director"/>
    <n v="1"/>
    <s v="Married"/>
    <n v="11416"/>
    <n v="17802"/>
    <n v="0"/>
    <s v="Y"/>
    <s v="Yes"/>
    <n v="12"/>
    <n v="3"/>
    <n v="3"/>
    <n v="80"/>
    <n v="3"/>
    <n v="9"/>
    <n v="4"/>
    <n v="2"/>
    <n v="8"/>
    <n v="7"/>
    <n v="1"/>
    <n v="7"/>
    <s v="LAB-1015"/>
    <x v="7"/>
    <x v="1"/>
    <x v="1"/>
    <n v="8"/>
    <x v="0"/>
  </r>
  <r>
    <n v="20"/>
    <s v="Yes"/>
    <s v="Travel_Rarely"/>
    <n v="1097"/>
    <x v="1"/>
    <n v="11"/>
    <n v="3"/>
    <s v="Medical"/>
    <n v="1"/>
    <n v="1016"/>
    <n v="4"/>
    <s v="Female"/>
    <n v="98"/>
    <n v="2"/>
    <n v="1"/>
    <s v="Research Scientist"/>
    <n v="1"/>
    <s v="Single"/>
    <n v="2600"/>
    <n v="18275"/>
    <n v="1"/>
    <s v="Y"/>
    <s v="Yes"/>
    <n v="15"/>
    <n v="3"/>
    <n v="1"/>
    <n v="80"/>
    <n v="0"/>
    <n v="1"/>
    <n v="2"/>
    <n v="3"/>
    <n v="1"/>
    <n v="0"/>
    <n v="0"/>
    <n v="0"/>
    <s v="LAB-1016"/>
    <x v="1"/>
    <x v="1"/>
    <x v="0"/>
    <n v="1"/>
    <x v="0"/>
  </r>
  <r>
    <n v="30"/>
    <s v="Yes"/>
    <s v="Travel_Frequently"/>
    <n v="109"/>
    <x v="1"/>
    <n v="5"/>
    <n v="3"/>
    <s v="Medical"/>
    <n v="1"/>
    <n v="1017"/>
    <n v="2"/>
    <s v="Female"/>
    <n v="60"/>
    <n v="3"/>
    <n v="1"/>
    <s v="Laboratory Technician"/>
    <n v="2"/>
    <s v="Single"/>
    <n v="2422"/>
    <n v="25725"/>
    <n v="0"/>
    <s v="Y"/>
    <s v="No"/>
    <n v="17"/>
    <n v="3"/>
    <n v="1"/>
    <n v="80"/>
    <n v="0"/>
    <n v="4"/>
    <n v="3"/>
    <n v="3"/>
    <n v="3"/>
    <n v="2"/>
    <n v="1"/>
    <n v="2"/>
    <s v="LAB-1017"/>
    <x v="2"/>
    <x v="1"/>
    <x v="0"/>
    <n v="3"/>
    <x v="0"/>
  </r>
  <r>
    <n v="26"/>
    <s v="No"/>
    <s v="Travel_Rarely"/>
    <n v="1066"/>
    <x v="1"/>
    <n v="2"/>
    <n v="2"/>
    <s v="Medical"/>
    <n v="1"/>
    <n v="1018"/>
    <n v="4"/>
    <s v="Male"/>
    <n v="32"/>
    <n v="4"/>
    <n v="2"/>
    <s v="Manufacturing Director"/>
    <n v="4"/>
    <s v="Married"/>
    <n v="5472"/>
    <n v="3334"/>
    <n v="1"/>
    <s v="Y"/>
    <s v="No"/>
    <n v="12"/>
    <n v="3"/>
    <n v="2"/>
    <n v="80"/>
    <n v="0"/>
    <n v="8"/>
    <n v="2"/>
    <n v="3"/>
    <n v="8"/>
    <n v="7"/>
    <n v="1"/>
    <n v="3"/>
    <s v="LAB-1018"/>
    <x v="3"/>
    <x v="1"/>
    <x v="1"/>
    <n v="8"/>
    <x v="0"/>
  </r>
  <r>
    <n v="22"/>
    <s v="No"/>
    <s v="Travel_Rarely"/>
    <n v="217"/>
    <x v="1"/>
    <n v="8"/>
    <n v="1"/>
    <s v="Life Sciences"/>
    <n v="1"/>
    <n v="1019"/>
    <n v="2"/>
    <s v="Male"/>
    <n v="94"/>
    <n v="1"/>
    <n v="1"/>
    <s v="Laboratory Technician"/>
    <n v="1"/>
    <s v="Married"/>
    <n v="2451"/>
    <n v="6881"/>
    <n v="1"/>
    <s v="Y"/>
    <s v="No"/>
    <n v="15"/>
    <n v="3"/>
    <n v="1"/>
    <n v="80"/>
    <n v="1"/>
    <n v="4"/>
    <n v="3"/>
    <n v="2"/>
    <n v="4"/>
    <n v="3"/>
    <n v="1"/>
    <n v="1"/>
    <s v="LAB-1019"/>
    <x v="2"/>
    <x v="1"/>
    <x v="1"/>
    <n v="4"/>
    <x v="0"/>
  </r>
  <r>
    <n v="48"/>
    <s v="No"/>
    <s v="Travel_Rarely"/>
    <n v="277"/>
    <x v="1"/>
    <n v="6"/>
    <n v="3"/>
    <s v="Life Sciences"/>
    <n v="1"/>
    <n v="1022"/>
    <n v="1"/>
    <s v="Male"/>
    <n v="97"/>
    <n v="2"/>
    <n v="2"/>
    <s v="Healthcare Representative"/>
    <n v="3"/>
    <s v="Single"/>
    <n v="4240"/>
    <n v="13119"/>
    <n v="2"/>
    <s v="Y"/>
    <s v="No"/>
    <n v="13"/>
    <n v="3"/>
    <n v="4"/>
    <n v="80"/>
    <n v="0"/>
    <n v="19"/>
    <n v="0"/>
    <n v="3"/>
    <n v="2"/>
    <n v="2"/>
    <n v="2"/>
    <n v="2"/>
    <s v="LAB-1022"/>
    <x v="4"/>
    <x v="1"/>
    <x v="1"/>
    <n v="2"/>
    <x v="0"/>
  </r>
  <r>
    <n v="48"/>
    <s v="No"/>
    <s v="Travel_Rarely"/>
    <n v="1355"/>
    <x v="1"/>
    <n v="4"/>
    <n v="4"/>
    <s v="Life Sciences"/>
    <n v="1"/>
    <n v="1024"/>
    <n v="3"/>
    <s v="Male"/>
    <n v="78"/>
    <n v="2"/>
    <n v="3"/>
    <s v="Healthcare Representative"/>
    <n v="3"/>
    <s v="Single"/>
    <n v="10999"/>
    <n v="22245"/>
    <n v="7"/>
    <s v="Y"/>
    <s v="No"/>
    <n v="14"/>
    <n v="3"/>
    <n v="2"/>
    <n v="80"/>
    <n v="0"/>
    <n v="27"/>
    <n v="3"/>
    <n v="3"/>
    <n v="15"/>
    <n v="11"/>
    <n v="4"/>
    <n v="8"/>
    <s v="LAB-1024"/>
    <x v="4"/>
    <x v="1"/>
    <x v="1"/>
    <n v="15"/>
    <x v="0"/>
  </r>
  <r>
    <n v="41"/>
    <s v="No"/>
    <s v="Travel_Rarely"/>
    <n v="549"/>
    <x v="1"/>
    <n v="7"/>
    <n v="2"/>
    <s v="Medical"/>
    <n v="1"/>
    <n v="1025"/>
    <n v="4"/>
    <s v="Female"/>
    <n v="42"/>
    <n v="3"/>
    <n v="2"/>
    <s v="Manufacturing Director"/>
    <n v="3"/>
    <s v="Single"/>
    <n v="5003"/>
    <n v="23371"/>
    <n v="6"/>
    <s v="Y"/>
    <s v="No"/>
    <n v="14"/>
    <n v="3"/>
    <n v="2"/>
    <n v="80"/>
    <n v="0"/>
    <n v="8"/>
    <n v="6"/>
    <n v="3"/>
    <n v="2"/>
    <n v="2"/>
    <n v="2"/>
    <n v="1"/>
    <s v="LAB-1025"/>
    <x v="3"/>
    <x v="1"/>
    <x v="1"/>
    <n v="2"/>
    <x v="0"/>
  </r>
  <r>
    <n v="39"/>
    <s v="No"/>
    <s v="Travel_Rarely"/>
    <n v="466"/>
    <x v="1"/>
    <n v="1"/>
    <n v="1"/>
    <s v="Life Sciences"/>
    <n v="1"/>
    <n v="1026"/>
    <n v="4"/>
    <s v="Female"/>
    <n v="65"/>
    <n v="2"/>
    <n v="4"/>
    <s v="Manufacturing Director"/>
    <n v="4"/>
    <s v="Married"/>
    <n v="12742"/>
    <n v="7060"/>
    <n v="1"/>
    <s v="Y"/>
    <s v="No"/>
    <n v="16"/>
    <n v="3"/>
    <n v="3"/>
    <n v="80"/>
    <n v="1"/>
    <n v="21"/>
    <n v="3"/>
    <n v="3"/>
    <n v="21"/>
    <n v="6"/>
    <n v="11"/>
    <n v="8"/>
    <s v="LAB-1026"/>
    <x v="3"/>
    <x v="1"/>
    <x v="1"/>
    <n v="21"/>
    <x v="0"/>
  </r>
  <r>
    <n v="27"/>
    <s v="No"/>
    <s v="Travel_Rarely"/>
    <n v="1055"/>
    <x v="1"/>
    <n v="2"/>
    <n v="4"/>
    <s v="Life Sciences"/>
    <n v="1"/>
    <n v="1027"/>
    <n v="1"/>
    <s v="Female"/>
    <n v="47"/>
    <n v="3"/>
    <n v="2"/>
    <s v="Manufacturing Director"/>
    <n v="4"/>
    <s v="Married"/>
    <n v="4227"/>
    <n v="4658"/>
    <n v="0"/>
    <s v="Y"/>
    <s v="No"/>
    <n v="18"/>
    <n v="3"/>
    <n v="2"/>
    <n v="80"/>
    <n v="1"/>
    <n v="4"/>
    <n v="2"/>
    <n v="3"/>
    <n v="3"/>
    <n v="2"/>
    <n v="2"/>
    <n v="2"/>
    <s v="LAB-1027"/>
    <x v="3"/>
    <x v="1"/>
    <x v="1"/>
    <n v="3"/>
    <x v="0"/>
  </r>
  <r>
    <n v="35"/>
    <s v="No"/>
    <s v="Travel_Rarely"/>
    <n v="802"/>
    <x v="1"/>
    <n v="10"/>
    <n v="3"/>
    <s v="Other"/>
    <n v="1"/>
    <n v="1028"/>
    <n v="2"/>
    <s v="Male"/>
    <n v="45"/>
    <n v="3"/>
    <n v="1"/>
    <s v="Laboratory Technician"/>
    <n v="4"/>
    <s v="Divorced"/>
    <n v="3917"/>
    <n v="9541"/>
    <n v="1"/>
    <s v="Y"/>
    <s v="No"/>
    <n v="20"/>
    <n v="4"/>
    <n v="1"/>
    <n v="80"/>
    <n v="1"/>
    <n v="3"/>
    <n v="4"/>
    <n v="2"/>
    <n v="3"/>
    <n v="2"/>
    <n v="1"/>
    <n v="2"/>
    <s v="LAB-1028"/>
    <x v="2"/>
    <x v="1"/>
    <x v="1"/>
    <n v="3"/>
    <x v="0"/>
  </r>
  <r>
    <n v="42"/>
    <s v="No"/>
    <s v="Travel_Rarely"/>
    <n v="265"/>
    <x v="0"/>
    <n v="5"/>
    <n v="2"/>
    <s v="Marketing"/>
    <n v="1"/>
    <n v="1029"/>
    <n v="4"/>
    <s v="Male"/>
    <n v="90"/>
    <n v="3"/>
    <n v="5"/>
    <s v="Manager"/>
    <n v="3"/>
    <s v="Married"/>
    <n v="18303"/>
    <n v="7770"/>
    <n v="6"/>
    <s v="Y"/>
    <s v="No"/>
    <n v="13"/>
    <n v="3"/>
    <n v="2"/>
    <n v="80"/>
    <n v="0"/>
    <n v="21"/>
    <n v="3"/>
    <n v="4"/>
    <n v="1"/>
    <n v="0"/>
    <n v="0"/>
    <n v="0"/>
    <s v="LAB-1029"/>
    <x v="5"/>
    <x v="0"/>
    <x v="1"/>
    <n v="1"/>
    <x v="0"/>
  </r>
  <r>
    <n v="50"/>
    <s v="No"/>
    <s v="Travel_Rarely"/>
    <n v="804"/>
    <x v="1"/>
    <n v="9"/>
    <n v="3"/>
    <s v="Life Sciences"/>
    <n v="1"/>
    <n v="1030"/>
    <n v="1"/>
    <s v="Male"/>
    <n v="64"/>
    <n v="3"/>
    <n v="1"/>
    <s v="Laboratory Technician"/>
    <n v="4"/>
    <s v="Married"/>
    <n v="2380"/>
    <n v="20165"/>
    <n v="4"/>
    <s v="Y"/>
    <s v="No"/>
    <n v="18"/>
    <n v="3"/>
    <n v="2"/>
    <n v="80"/>
    <n v="0"/>
    <n v="8"/>
    <n v="5"/>
    <n v="3"/>
    <n v="1"/>
    <n v="0"/>
    <n v="0"/>
    <n v="0"/>
    <s v="LAB-1030"/>
    <x v="2"/>
    <x v="1"/>
    <x v="1"/>
    <n v="1"/>
    <x v="0"/>
  </r>
  <r>
    <n v="59"/>
    <s v="No"/>
    <s v="Travel_Rarely"/>
    <n v="715"/>
    <x v="1"/>
    <n v="2"/>
    <n v="3"/>
    <s v="Life Sciences"/>
    <n v="1"/>
    <n v="1032"/>
    <n v="3"/>
    <s v="Female"/>
    <n v="69"/>
    <n v="2"/>
    <n v="4"/>
    <s v="Manufacturing Director"/>
    <n v="4"/>
    <s v="Single"/>
    <n v="13726"/>
    <n v="21829"/>
    <n v="3"/>
    <s v="Y"/>
    <s v="Yes"/>
    <n v="13"/>
    <n v="3"/>
    <n v="1"/>
    <n v="80"/>
    <n v="0"/>
    <n v="30"/>
    <n v="4"/>
    <n v="3"/>
    <n v="5"/>
    <n v="3"/>
    <n v="4"/>
    <n v="3"/>
    <s v="LAB-1032"/>
    <x v="3"/>
    <x v="1"/>
    <x v="1"/>
    <n v="5"/>
    <x v="0"/>
  </r>
  <r>
    <n v="37"/>
    <s v="Yes"/>
    <s v="Travel_Rarely"/>
    <n v="1141"/>
    <x v="1"/>
    <n v="11"/>
    <n v="2"/>
    <s v="Medical"/>
    <n v="1"/>
    <n v="1033"/>
    <n v="1"/>
    <s v="Female"/>
    <n v="61"/>
    <n v="1"/>
    <n v="2"/>
    <s v="Healthcare Representative"/>
    <n v="2"/>
    <s v="Married"/>
    <n v="4777"/>
    <n v="14382"/>
    <n v="5"/>
    <s v="Y"/>
    <s v="No"/>
    <n v="15"/>
    <n v="3"/>
    <n v="1"/>
    <n v="80"/>
    <n v="0"/>
    <n v="15"/>
    <n v="2"/>
    <n v="1"/>
    <n v="1"/>
    <n v="0"/>
    <n v="0"/>
    <n v="0"/>
    <s v="LAB-1033"/>
    <x v="4"/>
    <x v="1"/>
    <x v="0"/>
    <n v="1"/>
    <x v="0"/>
  </r>
  <r>
    <n v="55"/>
    <s v="No"/>
    <s v="Travel_Frequently"/>
    <n v="135"/>
    <x v="1"/>
    <n v="18"/>
    <n v="4"/>
    <s v="Medical"/>
    <n v="1"/>
    <n v="1034"/>
    <n v="3"/>
    <s v="Male"/>
    <n v="62"/>
    <n v="3"/>
    <n v="2"/>
    <s v="Healthcare Representative"/>
    <n v="2"/>
    <s v="Married"/>
    <n v="6385"/>
    <n v="12992"/>
    <n v="3"/>
    <s v="Y"/>
    <s v="Yes"/>
    <n v="14"/>
    <n v="3"/>
    <n v="4"/>
    <n v="80"/>
    <n v="2"/>
    <n v="17"/>
    <n v="3"/>
    <n v="3"/>
    <n v="8"/>
    <n v="7"/>
    <n v="6"/>
    <n v="7"/>
    <s v="LAB-1034"/>
    <x v="4"/>
    <x v="1"/>
    <x v="1"/>
    <n v="8"/>
    <x v="0"/>
  </r>
  <r>
    <n v="41"/>
    <s v="No"/>
    <s v="Non-Travel"/>
    <n v="247"/>
    <x v="1"/>
    <n v="7"/>
    <n v="1"/>
    <s v="Life Sciences"/>
    <n v="1"/>
    <n v="1035"/>
    <n v="2"/>
    <s v="Female"/>
    <n v="55"/>
    <n v="1"/>
    <n v="5"/>
    <s v="Research Director"/>
    <n v="3"/>
    <s v="Divorced"/>
    <n v="19973"/>
    <n v="20284"/>
    <n v="1"/>
    <s v="Y"/>
    <s v="No"/>
    <n v="22"/>
    <n v="4"/>
    <n v="2"/>
    <n v="80"/>
    <n v="2"/>
    <n v="21"/>
    <n v="3"/>
    <n v="3"/>
    <n v="21"/>
    <n v="16"/>
    <n v="5"/>
    <n v="10"/>
    <s v="LAB-1035"/>
    <x v="7"/>
    <x v="1"/>
    <x v="1"/>
    <n v="21"/>
    <x v="0"/>
  </r>
  <r>
    <n v="38"/>
    <s v="No"/>
    <s v="Travel_Rarely"/>
    <n v="1035"/>
    <x v="0"/>
    <n v="3"/>
    <n v="4"/>
    <s v="Life Sciences"/>
    <n v="1"/>
    <n v="1036"/>
    <n v="2"/>
    <s v="Male"/>
    <n v="42"/>
    <n v="3"/>
    <n v="2"/>
    <s v="Sales Executive"/>
    <n v="4"/>
    <s v="Single"/>
    <n v="6861"/>
    <n v="4981"/>
    <n v="8"/>
    <s v="Y"/>
    <s v="Yes"/>
    <n v="12"/>
    <n v="3"/>
    <n v="3"/>
    <n v="80"/>
    <n v="0"/>
    <n v="19"/>
    <n v="1"/>
    <n v="3"/>
    <n v="1"/>
    <n v="0"/>
    <n v="0"/>
    <n v="0"/>
    <s v="LAB-1036"/>
    <x v="0"/>
    <x v="0"/>
    <x v="1"/>
    <n v="1"/>
    <x v="0"/>
  </r>
  <r>
    <n v="26"/>
    <s v="Yes"/>
    <s v="Non-Travel"/>
    <n v="265"/>
    <x v="0"/>
    <n v="29"/>
    <n v="2"/>
    <s v="Medical"/>
    <n v="1"/>
    <n v="1037"/>
    <n v="2"/>
    <s v="Male"/>
    <n v="79"/>
    <n v="1"/>
    <n v="2"/>
    <s v="Sales Executive"/>
    <n v="1"/>
    <s v="Single"/>
    <n v="4969"/>
    <n v="21813"/>
    <n v="8"/>
    <s v="Y"/>
    <s v="No"/>
    <n v="18"/>
    <n v="3"/>
    <n v="4"/>
    <n v="80"/>
    <n v="0"/>
    <n v="7"/>
    <n v="6"/>
    <n v="3"/>
    <n v="2"/>
    <n v="2"/>
    <n v="2"/>
    <n v="2"/>
    <s v="LAB-1037"/>
    <x v="0"/>
    <x v="0"/>
    <x v="0"/>
    <n v="2"/>
    <x v="0"/>
  </r>
  <r>
    <n v="52"/>
    <s v="Yes"/>
    <s v="Travel_Rarely"/>
    <n v="266"/>
    <x v="0"/>
    <n v="2"/>
    <n v="1"/>
    <s v="Marketing"/>
    <n v="1"/>
    <n v="1038"/>
    <n v="1"/>
    <s v="Female"/>
    <n v="57"/>
    <n v="1"/>
    <n v="5"/>
    <s v="Manager"/>
    <n v="4"/>
    <s v="Married"/>
    <n v="19845"/>
    <n v="25846"/>
    <n v="1"/>
    <s v="Y"/>
    <s v="No"/>
    <n v="15"/>
    <n v="3"/>
    <n v="4"/>
    <n v="80"/>
    <n v="1"/>
    <n v="33"/>
    <n v="3"/>
    <n v="3"/>
    <n v="32"/>
    <n v="14"/>
    <n v="6"/>
    <n v="9"/>
    <s v="LAB-1038"/>
    <x v="5"/>
    <x v="0"/>
    <x v="0"/>
    <n v="32"/>
    <x v="0"/>
  </r>
  <r>
    <n v="44"/>
    <s v="No"/>
    <s v="Travel_Rarely"/>
    <n v="1448"/>
    <x v="0"/>
    <n v="28"/>
    <n v="3"/>
    <s v="Medical"/>
    <n v="1"/>
    <n v="1039"/>
    <n v="4"/>
    <s v="Female"/>
    <n v="53"/>
    <n v="4"/>
    <n v="4"/>
    <s v="Sales Executive"/>
    <n v="4"/>
    <s v="Married"/>
    <n v="13320"/>
    <n v="11737"/>
    <n v="3"/>
    <s v="Y"/>
    <s v="Yes"/>
    <n v="18"/>
    <n v="3"/>
    <n v="3"/>
    <n v="80"/>
    <n v="1"/>
    <n v="23"/>
    <n v="2"/>
    <n v="3"/>
    <n v="12"/>
    <n v="11"/>
    <n v="11"/>
    <n v="11"/>
    <s v="LAB-1039"/>
    <x v="0"/>
    <x v="0"/>
    <x v="1"/>
    <n v="12"/>
    <x v="0"/>
  </r>
  <r>
    <n v="50"/>
    <s v="No"/>
    <s v="Non-Travel"/>
    <n v="145"/>
    <x v="0"/>
    <n v="1"/>
    <n v="3"/>
    <s v="Life Sciences"/>
    <n v="1"/>
    <n v="1040"/>
    <n v="4"/>
    <s v="Female"/>
    <n v="95"/>
    <n v="3"/>
    <n v="2"/>
    <s v="Sales Executive"/>
    <n v="3"/>
    <s v="Married"/>
    <n v="6347"/>
    <n v="24920"/>
    <n v="0"/>
    <s v="Y"/>
    <s v="No"/>
    <n v="12"/>
    <n v="3"/>
    <n v="1"/>
    <n v="80"/>
    <n v="1"/>
    <n v="19"/>
    <n v="3"/>
    <n v="3"/>
    <n v="18"/>
    <n v="7"/>
    <n v="0"/>
    <n v="13"/>
    <s v="LAB-1040"/>
    <x v="0"/>
    <x v="0"/>
    <x v="1"/>
    <n v="18"/>
    <x v="0"/>
  </r>
  <r>
    <n v="36"/>
    <s v="Yes"/>
    <s v="Travel_Rarely"/>
    <n v="885"/>
    <x v="1"/>
    <n v="16"/>
    <n v="4"/>
    <s v="Life Sciences"/>
    <n v="1"/>
    <n v="1042"/>
    <n v="3"/>
    <s v="Female"/>
    <n v="43"/>
    <n v="4"/>
    <n v="1"/>
    <s v="Laboratory Technician"/>
    <n v="1"/>
    <s v="Single"/>
    <n v="2743"/>
    <n v="8269"/>
    <n v="1"/>
    <s v="Y"/>
    <s v="No"/>
    <n v="16"/>
    <n v="3"/>
    <n v="3"/>
    <n v="80"/>
    <n v="0"/>
    <n v="18"/>
    <n v="1"/>
    <n v="3"/>
    <n v="17"/>
    <n v="13"/>
    <n v="15"/>
    <n v="14"/>
    <s v="LAB-1042"/>
    <x v="2"/>
    <x v="1"/>
    <x v="0"/>
    <n v="17"/>
    <x v="0"/>
  </r>
  <r>
    <n v="39"/>
    <s v="No"/>
    <s v="Travel_Frequently"/>
    <n v="945"/>
    <x v="1"/>
    <n v="22"/>
    <n v="3"/>
    <s v="Medical"/>
    <n v="1"/>
    <n v="1043"/>
    <n v="4"/>
    <s v="Female"/>
    <n v="82"/>
    <n v="3"/>
    <n v="3"/>
    <s v="Manufacturing Director"/>
    <n v="1"/>
    <s v="Single"/>
    <n v="10880"/>
    <n v="5083"/>
    <n v="1"/>
    <s v="Y"/>
    <s v="Yes"/>
    <n v="13"/>
    <n v="3"/>
    <n v="3"/>
    <n v="80"/>
    <n v="0"/>
    <n v="21"/>
    <n v="2"/>
    <n v="3"/>
    <n v="21"/>
    <n v="6"/>
    <n v="2"/>
    <n v="8"/>
    <s v="LAB-1043"/>
    <x v="3"/>
    <x v="1"/>
    <x v="1"/>
    <n v="21"/>
    <x v="0"/>
  </r>
  <r>
    <n v="33"/>
    <s v="No"/>
    <s v="Non-Travel"/>
    <n v="1038"/>
    <x v="0"/>
    <n v="8"/>
    <n v="1"/>
    <s v="Life Sciences"/>
    <n v="1"/>
    <n v="1044"/>
    <n v="2"/>
    <s v="Female"/>
    <n v="88"/>
    <n v="2"/>
    <n v="1"/>
    <s v="Sales Representative"/>
    <n v="4"/>
    <s v="Single"/>
    <n v="2342"/>
    <n v="21437"/>
    <n v="0"/>
    <s v="Y"/>
    <s v="No"/>
    <n v="19"/>
    <n v="3"/>
    <n v="4"/>
    <n v="80"/>
    <n v="0"/>
    <n v="3"/>
    <n v="2"/>
    <n v="2"/>
    <n v="2"/>
    <n v="2"/>
    <n v="2"/>
    <n v="2"/>
    <s v="LAB-1044"/>
    <x v="6"/>
    <x v="0"/>
    <x v="1"/>
    <n v="2"/>
    <x v="0"/>
  </r>
  <r>
    <n v="45"/>
    <s v="No"/>
    <s v="Travel_Rarely"/>
    <n v="1234"/>
    <x v="0"/>
    <n v="11"/>
    <n v="2"/>
    <s v="Life Sciences"/>
    <n v="1"/>
    <n v="1045"/>
    <n v="4"/>
    <s v="Female"/>
    <n v="90"/>
    <n v="3"/>
    <n v="4"/>
    <s v="Manager"/>
    <n v="4"/>
    <s v="Married"/>
    <n v="17650"/>
    <n v="5404"/>
    <n v="3"/>
    <s v="Y"/>
    <s v="No"/>
    <n v="13"/>
    <n v="3"/>
    <n v="2"/>
    <n v="80"/>
    <n v="1"/>
    <n v="26"/>
    <n v="4"/>
    <n v="4"/>
    <n v="9"/>
    <n v="3"/>
    <n v="1"/>
    <n v="1"/>
    <s v="LAB-1045"/>
    <x v="5"/>
    <x v="0"/>
    <x v="1"/>
    <n v="9"/>
    <x v="0"/>
  </r>
  <r>
    <n v="32"/>
    <s v="No"/>
    <s v="Non-Travel"/>
    <n v="1109"/>
    <x v="1"/>
    <n v="29"/>
    <n v="4"/>
    <s v="Medical"/>
    <n v="1"/>
    <n v="1046"/>
    <n v="4"/>
    <s v="Female"/>
    <n v="69"/>
    <n v="3"/>
    <n v="1"/>
    <s v="Laboratory Technician"/>
    <n v="3"/>
    <s v="Single"/>
    <n v="4025"/>
    <n v="11135"/>
    <n v="9"/>
    <s v="Y"/>
    <s v="No"/>
    <n v="12"/>
    <n v="3"/>
    <n v="2"/>
    <n v="80"/>
    <n v="0"/>
    <n v="10"/>
    <n v="2"/>
    <n v="3"/>
    <n v="8"/>
    <n v="7"/>
    <n v="7"/>
    <n v="7"/>
    <s v="LAB-1046"/>
    <x v="2"/>
    <x v="1"/>
    <x v="1"/>
    <n v="8"/>
    <x v="0"/>
  </r>
  <r>
    <n v="34"/>
    <s v="No"/>
    <s v="Travel_Rarely"/>
    <n v="216"/>
    <x v="0"/>
    <n v="1"/>
    <n v="4"/>
    <s v="Marketing"/>
    <n v="1"/>
    <n v="1047"/>
    <n v="2"/>
    <s v="Male"/>
    <n v="75"/>
    <n v="4"/>
    <n v="2"/>
    <s v="Sales Executive"/>
    <n v="4"/>
    <s v="Divorced"/>
    <n v="9725"/>
    <n v="12278"/>
    <n v="0"/>
    <s v="Y"/>
    <s v="No"/>
    <n v="11"/>
    <n v="3"/>
    <n v="4"/>
    <n v="80"/>
    <n v="1"/>
    <n v="16"/>
    <n v="2"/>
    <n v="2"/>
    <n v="15"/>
    <n v="1"/>
    <n v="0"/>
    <n v="9"/>
    <s v="LAB-1047"/>
    <x v="0"/>
    <x v="0"/>
    <x v="1"/>
    <n v="15"/>
    <x v="0"/>
  </r>
  <r>
    <n v="59"/>
    <s v="No"/>
    <s v="Travel_Rarely"/>
    <n v="1089"/>
    <x v="0"/>
    <n v="1"/>
    <n v="2"/>
    <s v="Technical Degree"/>
    <n v="1"/>
    <n v="1048"/>
    <n v="2"/>
    <s v="Male"/>
    <n v="66"/>
    <n v="3"/>
    <n v="3"/>
    <s v="Manager"/>
    <n v="4"/>
    <s v="Married"/>
    <n v="11904"/>
    <n v="11038"/>
    <n v="3"/>
    <s v="Y"/>
    <s v="Yes"/>
    <n v="14"/>
    <n v="3"/>
    <n v="3"/>
    <n v="80"/>
    <n v="1"/>
    <n v="14"/>
    <n v="1"/>
    <n v="1"/>
    <n v="6"/>
    <n v="4"/>
    <n v="0"/>
    <n v="4"/>
    <s v="LAB-1048"/>
    <x v="5"/>
    <x v="0"/>
    <x v="1"/>
    <n v="6"/>
    <x v="0"/>
  </r>
  <r>
    <n v="45"/>
    <s v="No"/>
    <s v="Travel_Rarely"/>
    <n v="788"/>
    <x v="2"/>
    <n v="24"/>
    <n v="4"/>
    <s v="Medical"/>
    <n v="1"/>
    <n v="1049"/>
    <n v="2"/>
    <s v="Male"/>
    <n v="36"/>
    <n v="3"/>
    <n v="1"/>
    <s v="Human Resources"/>
    <n v="2"/>
    <s v="Single"/>
    <n v="2177"/>
    <n v="8318"/>
    <n v="1"/>
    <s v="Y"/>
    <s v="No"/>
    <n v="16"/>
    <n v="3"/>
    <n v="1"/>
    <n v="80"/>
    <n v="0"/>
    <n v="6"/>
    <n v="3"/>
    <n v="3"/>
    <n v="6"/>
    <n v="3"/>
    <n v="0"/>
    <n v="4"/>
    <s v="LAB-1049"/>
    <x v="8"/>
    <x v="2"/>
    <x v="1"/>
    <n v="6"/>
    <x v="0"/>
  </r>
  <r>
    <n v="53"/>
    <s v="No"/>
    <s v="Travel_Frequently"/>
    <n v="124"/>
    <x v="0"/>
    <n v="2"/>
    <n v="3"/>
    <s v="Marketing"/>
    <n v="1"/>
    <n v="1050"/>
    <n v="3"/>
    <s v="Female"/>
    <n v="38"/>
    <n v="2"/>
    <n v="3"/>
    <s v="Sales Executive"/>
    <n v="2"/>
    <s v="Married"/>
    <n v="7525"/>
    <n v="23537"/>
    <n v="2"/>
    <s v="Y"/>
    <s v="No"/>
    <n v="12"/>
    <n v="3"/>
    <n v="1"/>
    <n v="80"/>
    <n v="1"/>
    <n v="30"/>
    <n v="2"/>
    <n v="3"/>
    <n v="15"/>
    <n v="7"/>
    <n v="6"/>
    <n v="12"/>
    <s v="LAB-1050"/>
    <x v="0"/>
    <x v="0"/>
    <x v="1"/>
    <n v="15"/>
    <x v="0"/>
  </r>
  <r>
    <n v="36"/>
    <s v="Yes"/>
    <s v="Travel_Rarely"/>
    <n v="660"/>
    <x v="1"/>
    <n v="15"/>
    <n v="3"/>
    <s v="Other"/>
    <n v="1"/>
    <n v="1052"/>
    <n v="1"/>
    <s v="Male"/>
    <n v="81"/>
    <n v="3"/>
    <n v="2"/>
    <s v="Laboratory Technician"/>
    <n v="3"/>
    <s v="Divorced"/>
    <n v="4834"/>
    <n v="7858"/>
    <n v="7"/>
    <s v="Y"/>
    <s v="No"/>
    <n v="14"/>
    <n v="3"/>
    <n v="2"/>
    <n v="80"/>
    <n v="1"/>
    <n v="9"/>
    <n v="3"/>
    <n v="2"/>
    <n v="1"/>
    <n v="0"/>
    <n v="0"/>
    <n v="0"/>
    <s v="LAB-1052"/>
    <x v="2"/>
    <x v="1"/>
    <x v="0"/>
    <n v="1"/>
    <x v="0"/>
  </r>
  <r>
    <n v="26"/>
    <s v="Yes"/>
    <s v="Travel_Frequently"/>
    <n v="342"/>
    <x v="1"/>
    <n v="2"/>
    <n v="3"/>
    <s v="Life Sciences"/>
    <n v="1"/>
    <n v="1053"/>
    <n v="1"/>
    <s v="Male"/>
    <n v="57"/>
    <n v="3"/>
    <n v="1"/>
    <s v="Research Scientist"/>
    <n v="1"/>
    <s v="Married"/>
    <n v="2042"/>
    <n v="15346"/>
    <n v="6"/>
    <s v="Y"/>
    <s v="Yes"/>
    <n v="14"/>
    <n v="3"/>
    <n v="2"/>
    <n v="80"/>
    <n v="1"/>
    <n v="6"/>
    <n v="2"/>
    <n v="3"/>
    <n v="3"/>
    <n v="2"/>
    <n v="1"/>
    <n v="2"/>
    <s v="LAB-1053"/>
    <x v="1"/>
    <x v="1"/>
    <x v="0"/>
    <n v="3"/>
    <x v="0"/>
  </r>
  <r>
    <n v="34"/>
    <s v="No"/>
    <s v="Travel_Rarely"/>
    <n v="1333"/>
    <x v="0"/>
    <n v="10"/>
    <n v="4"/>
    <s v="Life Sciences"/>
    <n v="1"/>
    <n v="1055"/>
    <n v="3"/>
    <s v="Female"/>
    <n v="87"/>
    <n v="3"/>
    <n v="1"/>
    <s v="Sales Representative"/>
    <n v="3"/>
    <s v="Married"/>
    <n v="2220"/>
    <n v="18410"/>
    <n v="1"/>
    <s v="Y"/>
    <s v="Yes"/>
    <n v="19"/>
    <n v="3"/>
    <n v="4"/>
    <n v="80"/>
    <n v="1"/>
    <n v="1"/>
    <n v="2"/>
    <n v="3"/>
    <n v="1"/>
    <n v="1"/>
    <n v="0"/>
    <n v="0"/>
    <s v="LAB-1055"/>
    <x v="6"/>
    <x v="0"/>
    <x v="1"/>
    <n v="1"/>
    <x v="0"/>
  </r>
  <r>
    <n v="28"/>
    <s v="No"/>
    <s v="Travel_Rarely"/>
    <n v="1144"/>
    <x v="0"/>
    <n v="10"/>
    <n v="1"/>
    <s v="Medical"/>
    <n v="1"/>
    <n v="1056"/>
    <n v="4"/>
    <s v="Male"/>
    <n v="74"/>
    <n v="3"/>
    <n v="1"/>
    <s v="Sales Representative"/>
    <n v="2"/>
    <s v="Married"/>
    <n v="1052"/>
    <n v="23384"/>
    <n v="1"/>
    <s v="Y"/>
    <s v="No"/>
    <n v="22"/>
    <n v="4"/>
    <n v="2"/>
    <n v="80"/>
    <n v="0"/>
    <n v="1"/>
    <n v="5"/>
    <n v="3"/>
    <n v="1"/>
    <n v="0"/>
    <n v="0"/>
    <n v="0"/>
    <s v="LAB-1056"/>
    <x v="6"/>
    <x v="0"/>
    <x v="1"/>
    <n v="1"/>
    <x v="0"/>
  </r>
  <r>
    <n v="38"/>
    <s v="No"/>
    <s v="Travel_Frequently"/>
    <n v="1186"/>
    <x v="1"/>
    <n v="3"/>
    <n v="4"/>
    <s v="Other"/>
    <n v="1"/>
    <n v="1060"/>
    <n v="3"/>
    <s v="Male"/>
    <n v="44"/>
    <n v="3"/>
    <n v="1"/>
    <s v="Research Scientist"/>
    <n v="3"/>
    <s v="Married"/>
    <n v="2821"/>
    <n v="2997"/>
    <n v="3"/>
    <s v="Y"/>
    <s v="No"/>
    <n v="16"/>
    <n v="3"/>
    <n v="1"/>
    <n v="80"/>
    <n v="1"/>
    <n v="8"/>
    <n v="2"/>
    <n v="3"/>
    <n v="2"/>
    <n v="2"/>
    <n v="2"/>
    <n v="2"/>
    <s v="LAB-1060"/>
    <x v="1"/>
    <x v="1"/>
    <x v="1"/>
    <n v="2"/>
    <x v="0"/>
  </r>
  <r>
    <n v="50"/>
    <s v="No"/>
    <s v="Travel_Rarely"/>
    <n v="1464"/>
    <x v="1"/>
    <n v="2"/>
    <n v="4"/>
    <s v="Medical"/>
    <n v="1"/>
    <n v="1061"/>
    <n v="2"/>
    <s v="Male"/>
    <n v="62"/>
    <n v="3"/>
    <n v="5"/>
    <s v="Research Director"/>
    <n v="3"/>
    <s v="Married"/>
    <n v="19237"/>
    <n v="12853"/>
    <n v="2"/>
    <s v="Y"/>
    <s v="Yes"/>
    <n v="11"/>
    <n v="3"/>
    <n v="4"/>
    <n v="80"/>
    <n v="1"/>
    <n v="29"/>
    <n v="2"/>
    <n v="2"/>
    <n v="8"/>
    <n v="1"/>
    <n v="7"/>
    <n v="7"/>
    <s v="LAB-1061"/>
    <x v="7"/>
    <x v="1"/>
    <x v="1"/>
    <n v="8"/>
    <x v="0"/>
  </r>
  <r>
    <n v="37"/>
    <s v="No"/>
    <s v="Travel_Rarely"/>
    <n v="124"/>
    <x v="1"/>
    <n v="3"/>
    <n v="3"/>
    <s v="Other"/>
    <n v="1"/>
    <n v="1062"/>
    <n v="4"/>
    <s v="Female"/>
    <n v="35"/>
    <n v="3"/>
    <n v="2"/>
    <s v="Healthcare Representative"/>
    <n v="2"/>
    <s v="Single"/>
    <n v="4107"/>
    <n v="13848"/>
    <n v="3"/>
    <s v="Y"/>
    <s v="No"/>
    <n v="15"/>
    <n v="3"/>
    <n v="1"/>
    <n v="80"/>
    <n v="0"/>
    <n v="8"/>
    <n v="3"/>
    <n v="2"/>
    <n v="4"/>
    <n v="3"/>
    <n v="0"/>
    <n v="1"/>
    <s v="LAB-1062"/>
    <x v="4"/>
    <x v="1"/>
    <x v="1"/>
    <n v="4"/>
    <x v="0"/>
  </r>
  <r>
    <n v="40"/>
    <s v="No"/>
    <s v="Travel_Rarely"/>
    <n v="300"/>
    <x v="0"/>
    <n v="26"/>
    <n v="3"/>
    <s v="Marketing"/>
    <n v="1"/>
    <n v="1066"/>
    <n v="3"/>
    <s v="Male"/>
    <n v="74"/>
    <n v="3"/>
    <n v="2"/>
    <s v="Sales Executive"/>
    <n v="1"/>
    <s v="Married"/>
    <n v="8396"/>
    <n v="22217"/>
    <n v="1"/>
    <s v="Y"/>
    <s v="No"/>
    <n v="14"/>
    <n v="3"/>
    <n v="2"/>
    <n v="80"/>
    <n v="1"/>
    <n v="8"/>
    <n v="3"/>
    <n v="2"/>
    <n v="7"/>
    <n v="7"/>
    <n v="7"/>
    <n v="5"/>
    <s v="LAB-1066"/>
    <x v="0"/>
    <x v="0"/>
    <x v="1"/>
    <n v="7"/>
    <x v="0"/>
  </r>
  <r>
    <n v="26"/>
    <s v="No"/>
    <s v="Travel_Frequently"/>
    <n v="921"/>
    <x v="1"/>
    <n v="1"/>
    <n v="1"/>
    <s v="Medical"/>
    <n v="1"/>
    <n v="1068"/>
    <n v="1"/>
    <s v="Female"/>
    <n v="66"/>
    <n v="2"/>
    <n v="1"/>
    <s v="Research Scientist"/>
    <n v="3"/>
    <s v="Divorced"/>
    <n v="2007"/>
    <n v="25265"/>
    <n v="1"/>
    <s v="Y"/>
    <s v="No"/>
    <n v="13"/>
    <n v="3"/>
    <n v="3"/>
    <n v="80"/>
    <n v="2"/>
    <n v="5"/>
    <n v="5"/>
    <n v="3"/>
    <n v="5"/>
    <n v="3"/>
    <n v="1"/>
    <n v="3"/>
    <s v="LAB-1068"/>
    <x v="1"/>
    <x v="1"/>
    <x v="1"/>
    <n v="5"/>
    <x v="0"/>
  </r>
  <r>
    <n v="46"/>
    <s v="No"/>
    <s v="Travel_Rarely"/>
    <n v="430"/>
    <x v="1"/>
    <n v="1"/>
    <n v="4"/>
    <s v="Medical"/>
    <n v="1"/>
    <n v="1069"/>
    <n v="4"/>
    <s v="Male"/>
    <n v="40"/>
    <n v="3"/>
    <n v="5"/>
    <s v="Research Director"/>
    <n v="4"/>
    <s v="Divorced"/>
    <n v="19627"/>
    <n v="21445"/>
    <n v="9"/>
    <s v="Y"/>
    <s v="No"/>
    <n v="17"/>
    <n v="3"/>
    <n v="4"/>
    <n v="80"/>
    <n v="2"/>
    <n v="23"/>
    <n v="0"/>
    <n v="3"/>
    <n v="2"/>
    <n v="2"/>
    <n v="2"/>
    <n v="2"/>
    <s v="LAB-1069"/>
    <x v="7"/>
    <x v="1"/>
    <x v="1"/>
    <n v="2"/>
    <x v="0"/>
  </r>
  <r>
    <n v="54"/>
    <s v="No"/>
    <s v="Travel_Rarely"/>
    <n v="1082"/>
    <x v="0"/>
    <n v="2"/>
    <n v="4"/>
    <s v="Life Sciences"/>
    <n v="1"/>
    <n v="1070"/>
    <n v="3"/>
    <s v="Female"/>
    <n v="41"/>
    <n v="2"/>
    <n v="3"/>
    <s v="Sales Executive"/>
    <n v="3"/>
    <s v="Married"/>
    <n v="10686"/>
    <n v="8392"/>
    <n v="6"/>
    <s v="Y"/>
    <s v="No"/>
    <n v="11"/>
    <n v="3"/>
    <n v="2"/>
    <n v="80"/>
    <n v="1"/>
    <n v="13"/>
    <n v="4"/>
    <n v="3"/>
    <n v="9"/>
    <n v="4"/>
    <n v="7"/>
    <n v="0"/>
    <s v="LAB-1070"/>
    <x v="0"/>
    <x v="0"/>
    <x v="1"/>
    <n v="9"/>
    <x v="0"/>
  </r>
  <r>
    <n v="56"/>
    <s v="No"/>
    <s v="Travel_Frequently"/>
    <n v="1240"/>
    <x v="1"/>
    <n v="9"/>
    <n v="3"/>
    <s v="Medical"/>
    <n v="1"/>
    <n v="1071"/>
    <n v="1"/>
    <s v="Female"/>
    <n v="63"/>
    <n v="3"/>
    <n v="1"/>
    <s v="Research Scientist"/>
    <n v="3"/>
    <s v="Married"/>
    <n v="2942"/>
    <n v="12154"/>
    <n v="2"/>
    <s v="Y"/>
    <s v="No"/>
    <n v="19"/>
    <n v="3"/>
    <n v="2"/>
    <n v="80"/>
    <n v="1"/>
    <n v="18"/>
    <n v="4"/>
    <n v="3"/>
    <n v="5"/>
    <n v="4"/>
    <n v="0"/>
    <n v="3"/>
    <s v="LAB-1071"/>
    <x v="1"/>
    <x v="1"/>
    <x v="1"/>
    <n v="5"/>
    <x v="0"/>
  </r>
  <r>
    <n v="36"/>
    <s v="No"/>
    <s v="Travel_Rarely"/>
    <n v="796"/>
    <x v="1"/>
    <n v="12"/>
    <n v="5"/>
    <s v="Medical"/>
    <n v="1"/>
    <n v="1073"/>
    <n v="4"/>
    <s v="Female"/>
    <n v="51"/>
    <n v="2"/>
    <n v="3"/>
    <s v="Manufacturing Director"/>
    <n v="4"/>
    <s v="Single"/>
    <n v="8858"/>
    <n v="15669"/>
    <n v="0"/>
    <s v="Y"/>
    <s v="No"/>
    <n v="11"/>
    <n v="3"/>
    <n v="2"/>
    <n v="80"/>
    <n v="0"/>
    <n v="15"/>
    <n v="2"/>
    <n v="2"/>
    <n v="14"/>
    <n v="8"/>
    <n v="7"/>
    <n v="8"/>
    <s v="LAB-1073"/>
    <x v="3"/>
    <x v="1"/>
    <x v="1"/>
    <n v="14"/>
    <x v="0"/>
  </r>
  <r>
    <n v="55"/>
    <s v="No"/>
    <s v="Non-Travel"/>
    <n v="444"/>
    <x v="1"/>
    <n v="2"/>
    <n v="1"/>
    <s v="Medical"/>
    <n v="1"/>
    <n v="1074"/>
    <n v="3"/>
    <s v="Male"/>
    <n v="40"/>
    <n v="2"/>
    <n v="4"/>
    <s v="Manager"/>
    <n v="1"/>
    <s v="Single"/>
    <n v="16756"/>
    <n v="17323"/>
    <n v="7"/>
    <s v="Y"/>
    <s v="No"/>
    <n v="15"/>
    <n v="3"/>
    <n v="2"/>
    <n v="80"/>
    <n v="0"/>
    <n v="31"/>
    <n v="3"/>
    <n v="4"/>
    <n v="9"/>
    <n v="7"/>
    <n v="6"/>
    <n v="2"/>
    <s v="LAB-1074"/>
    <x v="5"/>
    <x v="1"/>
    <x v="1"/>
    <n v="9"/>
    <x v="0"/>
  </r>
  <r>
    <n v="43"/>
    <s v="No"/>
    <s v="Travel_Rarely"/>
    <n v="415"/>
    <x v="0"/>
    <n v="25"/>
    <n v="3"/>
    <s v="Medical"/>
    <n v="1"/>
    <n v="1076"/>
    <n v="3"/>
    <s v="Male"/>
    <n v="79"/>
    <n v="2"/>
    <n v="3"/>
    <s v="Sales Executive"/>
    <n v="4"/>
    <s v="Divorced"/>
    <n v="10798"/>
    <n v="5268"/>
    <n v="5"/>
    <s v="Y"/>
    <s v="No"/>
    <n v="13"/>
    <n v="3"/>
    <n v="3"/>
    <n v="80"/>
    <n v="1"/>
    <n v="18"/>
    <n v="5"/>
    <n v="3"/>
    <n v="1"/>
    <n v="0"/>
    <n v="0"/>
    <n v="0"/>
    <s v="LAB-1076"/>
    <x v="0"/>
    <x v="0"/>
    <x v="1"/>
    <n v="1"/>
    <x v="0"/>
  </r>
  <r>
    <n v="20"/>
    <s v="Yes"/>
    <s v="Travel_Frequently"/>
    <n v="769"/>
    <x v="0"/>
    <n v="9"/>
    <n v="3"/>
    <s v="Marketing"/>
    <n v="1"/>
    <n v="1077"/>
    <n v="4"/>
    <s v="Female"/>
    <n v="54"/>
    <n v="3"/>
    <n v="1"/>
    <s v="Sales Representative"/>
    <n v="4"/>
    <s v="Single"/>
    <n v="2323"/>
    <n v="17205"/>
    <n v="1"/>
    <s v="Y"/>
    <s v="Yes"/>
    <n v="14"/>
    <n v="3"/>
    <n v="2"/>
    <n v="80"/>
    <n v="0"/>
    <n v="2"/>
    <n v="3"/>
    <n v="3"/>
    <n v="2"/>
    <n v="2"/>
    <n v="0"/>
    <n v="2"/>
    <s v="LAB-1077"/>
    <x v="6"/>
    <x v="0"/>
    <x v="0"/>
    <n v="2"/>
    <x v="0"/>
  </r>
  <r>
    <n v="21"/>
    <s v="Yes"/>
    <s v="Travel_Rarely"/>
    <n v="1334"/>
    <x v="1"/>
    <n v="10"/>
    <n v="3"/>
    <s v="Life Sciences"/>
    <n v="1"/>
    <n v="1079"/>
    <n v="3"/>
    <s v="Female"/>
    <n v="36"/>
    <n v="2"/>
    <n v="1"/>
    <s v="Laboratory Technician"/>
    <n v="1"/>
    <s v="Single"/>
    <n v="1416"/>
    <n v="17258"/>
    <n v="1"/>
    <s v="Y"/>
    <s v="No"/>
    <n v="13"/>
    <n v="3"/>
    <n v="1"/>
    <n v="80"/>
    <n v="0"/>
    <n v="1"/>
    <n v="6"/>
    <n v="2"/>
    <n v="1"/>
    <n v="0"/>
    <n v="1"/>
    <n v="0"/>
    <s v="LAB-1079"/>
    <x v="2"/>
    <x v="1"/>
    <x v="0"/>
    <n v="1"/>
    <x v="0"/>
  </r>
  <r>
    <n v="46"/>
    <s v="No"/>
    <s v="Travel_Rarely"/>
    <n v="1003"/>
    <x v="1"/>
    <n v="8"/>
    <n v="4"/>
    <s v="Life Sciences"/>
    <n v="1"/>
    <n v="1080"/>
    <n v="4"/>
    <s v="Female"/>
    <n v="74"/>
    <n v="2"/>
    <n v="2"/>
    <s v="Research Scientist"/>
    <n v="1"/>
    <s v="Divorced"/>
    <n v="4615"/>
    <n v="21029"/>
    <n v="8"/>
    <s v="Y"/>
    <s v="Yes"/>
    <n v="23"/>
    <n v="4"/>
    <n v="1"/>
    <n v="80"/>
    <n v="3"/>
    <n v="19"/>
    <n v="2"/>
    <n v="3"/>
    <n v="16"/>
    <n v="13"/>
    <n v="1"/>
    <n v="7"/>
    <s v="LAB-1080"/>
    <x v="1"/>
    <x v="1"/>
    <x v="1"/>
    <n v="16"/>
    <x v="0"/>
  </r>
  <r>
    <n v="51"/>
    <s v="Yes"/>
    <s v="Travel_Rarely"/>
    <n v="1323"/>
    <x v="1"/>
    <n v="4"/>
    <n v="4"/>
    <s v="Life Sciences"/>
    <n v="1"/>
    <n v="1081"/>
    <n v="1"/>
    <s v="Male"/>
    <n v="34"/>
    <n v="3"/>
    <n v="1"/>
    <s v="Research Scientist"/>
    <n v="3"/>
    <s v="Married"/>
    <n v="2461"/>
    <n v="10332"/>
    <n v="9"/>
    <s v="Y"/>
    <s v="Yes"/>
    <n v="12"/>
    <n v="3"/>
    <n v="3"/>
    <n v="80"/>
    <n v="3"/>
    <n v="18"/>
    <n v="2"/>
    <n v="4"/>
    <n v="10"/>
    <n v="0"/>
    <n v="2"/>
    <n v="7"/>
    <s v="LAB-1081"/>
    <x v="1"/>
    <x v="1"/>
    <x v="0"/>
    <n v="10"/>
    <x v="0"/>
  </r>
  <r>
    <n v="28"/>
    <s v="Yes"/>
    <s v="Non-Travel"/>
    <n v="1366"/>
    <x v="1"/>
    <n v="24"/>
    <n v="2"/>
    <s v="Technical Degree"/>
    <n v="1"/>
    <n v="1082"/>
    <n v="2"/>
    <s v="Male"/>
    <n v="72"/>
    <n v="2"/>
    <n v="3"/>
    <s v="Healthcare Representative"/>
    <n v="1"/>
    <s v="Single"/>
    <n v="8722"/>
    <n v="12355"/>
    <n v="1"/>
    <s v="Y"/>
    <s v="No"/>
    <n v="12"/>
    <n v="3"/>
    <n v="1"/>
    <n v="80"/>
    <n v="0"/>
    <n v="10"/>
    <n v="2"/>
    <n v="2"/>
    <n v="10"/>
    <n v="7"/>
    <n v="1"/>
    <n v="9"/>
    <s v="LAB-1082"/>
    <x v="4"/>
    <x v="1"/>
    <x v="0"/>
    <n v="10"/>
    <x v="0"/>
  </r>
  <r>
    <n v="26"/>
    <s v="No"/>
    <s v="Travel_Rarely"/>
    <n v="192"/>
    <x v="1"/>
    <n v="1"/>
    <n v="2"/>
    <s v="Medical"/>
    <n v="1"/>
    <n v="1083"/>
    <n v="1"/>
    <s v="Male"/>
    <n v="59"/>
    <n v="2"/>
    <n v="1"/>
    <s v="Laboratory Technician"/>
    <n v="1"/>
    <s v="Married"/>
    <n v="3955"/>
    <n v="11141"/>
    <n v="1"/>
    <s v="Y"/>
    <s v="No"/>
    <n v="16"/>
    <n v="3"/>
    <n v="1"/>
    <n v="80"/>
    <n v="2"/>
    <n v="6"/>
    <n v="2"/>
    <n v="3"/>
    <n v="5"/>
    <n v="3"/>
    <n v="1"/>
    <n v="3"/>
    <s v="LAB-1083"/>
    <x v="2"/>
    <x v="1"/>
    <x v="1"/>
    <n v="5"/>
    <x v="0"/>
  </r>
  <r>
    <n v="30"/>
    <s v="No"/>
    <s v="Travel_Rarely"/>
    <n v="1176"/>
    <x v="1"/>
    <n v="20"/>
    <n v="3"/>
    <s v="Other"/>
    <n v="1"/>
    <n v="1084"/>
    <n v="3"/>
    <s v="Male"/>
    <n v="85"/>
    <n v="3"/>
    <n v="2"/>
    <s v="Manufacturing Director"/>
    <n v="1"/>
    <s v="Married"/>
    <n v="9957"/>
    <n v="9096"/>
    <n v="0"/>
    <s v="Y"/>
    <s v="No"/>
    <n v="15"/>
    <n v="3"/>
    <n v="3"/>
    <n v="80"/>
    <n v="1"/>
    <n v="7"/>
    <n v="1"/>
    <n v="2"/>
    <n v="6"/>
    <n v="2"/>
    <n v="0"/>
    <n v="2"/>
    <s v="LAB-1084"/>
    <x v="3"/>
    <x v="1"/>
    <x v="1"/>
    <n v="6"/>
    <x v="0"/>
  </r>
  <r>
    <n v="41"/>
    <s v="No"/>
    <s v="Travel_Rarely"/>
    <n v="509"/>
    <x v="1"/>
    <n v="7"/>
    <n v="2"/>
    <s v="Technical Degree"/>
    <n v="1"/>
    <n v="1085"/>
    <n v="2"/>
    <s v="Female"/>
    <n v="43"/>
    <n v="4"/>
    <n v="1"/>
    <s v="Research Scientist"/>
    <n v="3"/>
    <s v="Married"/>
    <n v="3376"/>
    <n v="18863"/>
    <n v="1"/>
    <s v="Y"/>
    <s v="No"/>
    <n v="13"/>
    <n v="3"/>
    <n v="3"/>
    <n v="80"/>
    <n v="0"/>
    <n v="10"/>
    <n v="3"/>
    <n v="3"/>
    <n v="10"/>
    <n v="6"/>
    <n v="0"/>
    <n v="8"/>
    <s v="LAB-1085"/>
    <x v="1"/>
    <x v="1"/>
    <x v="1"/>
    <n v="10"/>
    <x v="0"/>
  </r>
  <r>
    <n v="38"/>
    <s v="No"/>
    <s v="Travel_Rarely"/>
    <n v="330"/>
    <x v="1"/>
    <n v="17"/>
    <n v="1"/>
    <s v="Life Sciences"/>
    <n v="1"/>
    <n v="1088"/>
    <n v="3"/>
    <s v="Female"/>
    <n v="65"/>
    <n v="2"/>
    <n v="3"/>
    <s v="Healthcare Representative"/>
    <n v="3"/>
    <s v="Married"/>
    <n v="8823"/>
    <n v="24608"/>
    <n v="0"/>
    <s v="Y"/>
    <s v="No"/>
    <n v="18"/>
    <n v="3"/>
    <n v="1"/>
    <n v="80"/>
    <n v="1"/>
    <n v="20"/>
    <n v="4"/>
    <n v="2"/>
    <n v="19"/>
    <n v="9"/>
    <n v="1"/>
    <n v="9"/>
    <s v="LAB-1088"/>
    <x v="4"/>
    <x v="1"/>
    <x v="1"/>
    <n v="19"/>
    <x v="0"/>
  </r>
  <r>
    <n v="40"/>
    <s v="No"/>
    <s v="Travel_Rarely"/>
    <n v="1492"/>
    <x v="1"/>
    <n v="20"/>
    <n v="4"/>
    <s v="Technical Degree"/>
    <n v="1"/>
    <n v="1092"/>
    <n v="1"/>
    <s v="Male"/>
    <n v="61"/>
    <n v="3"/>
    <n v="3"/>
    <s v="Healthcare Representative"/>
    <n v="4"/>
    <s v="Married"/>
    <n v="10322"/>
    <n v="26542"/>
    <n v="4"/>
    <s v="Y"/>
    <s v="No"/>
    <n v="20"/>
    <n v="4"/>
    <n v="4"/>
    <n v="80"/>
    <n v="1"/>
    <n v="14"/>
    <n v="6"/>
    <n v="3"/>
    <n v="11"/>
    <n v="10"/>
    <n v="11"/>
    <n v="1"/>
    <s v="LAB-1092"/>
    <x v="4"/>
    <x v="1"/>
    <x v="1"/>
    <n v="11"/>
    <x v="0"/>
  </r>
  <r>
    <n v="27"/>
    <s v="No"/>
    <s v="Non-Travel"/>
    <n v="1277"/>
    <x v="1"/>
    <n v="8"/>
    <n v="5"/>
    <s v="Life Sciences"/>
    <n v="1"/>
    <n v="1094"/>
    <n v="1"/>
    <s v="Male"/>
    <n v="87"/>
    <n v="1"/>
    <n v="1"/>
    <s v="Laboratory Technician"/>
    <n v="3"/>
    <s v="Married"/>
    <n v="4621"/>
    <n v="5869"/>
    <n v="1"/>
    <s v="Y"/>
    <s v="No"/>
    <n v="19"/>
    <n v="3"/>
    <n v="4"/>
    <n v="80"/>
    <n v="3"/>
    <n v="3"/>
    <n v="4"/>
    <n v="3"/>
    <n v="3"/>
    <n v="2"/>
    <n v="1"/>
    <n v="2"/>
    <s v="LAB-1094"/>
    <x v="2"/>
    <x v="1"/>
    <x v="1"/>
    <n v="3"/>
    <x v="0"/>
  </r>
  <r>
    <n v="55"/>
    <s v="No"/>
    <s v="Travel_Frequently"/>
    <n v="1091"/>
    <x v="1"/>
    <n v="2"/>
    <n v="1"/>
    <s v="Life Sciences"/>
    <n v="1"/>
    <n v="1096"/>
    <n v="4"/>
    <s v="Male"/>
    <n v="65"/>
    <n v="3"/>
    <n v="3"/>
    <s v="Manufacturing Director"/>
    <n v="2"/>
    <s v="Married"/>
    <n v="10976"/>
    <n v="15813"/>
    <n v="3"/>
    <s v="Y"/>
    <s v="No"/>
    <n v="18"/>
    <n v="3"/>
    <n v="2"/>
    <n v="80"/>
    <n v="1"/>
    <n v="23"/>
    <n v="4"/>
    <n v="3"/>
    <n v="3"/>
    <n v="2"/>
    <n v="1"/>
    <n v="2"/>
    <s v="LAB-1096"/>
    <x v="3"/>
    <x v="1"/>
    <x v="1"/>
    <n v="3"/>
    <x v="0"/>
  </r>
  <r>
    <n v="28"/>
    <s v="No"/>
    <s v="Travel_Rarely"/>
    <n v="857"/>
    <x v="1"/>
    <n v="10"/>
    <n v="3"/>
    <s v="Other"/>
    <n v="1"/>
    <n v="1097"/>
    <n v="3"/>
    <s v="Female"/>
    <n v="59"/>
    <n v="3"/>
    <n v="2"/>
    <s v="Research Scientist"/>
    <n v="3"/>
    <s v="Single"/>
    <n v="3660"/>
    <n v="7909"/>
    <n v="3"/>
    <s v="Y"/>
    <s v="No"/>
    <n v="13"/>
    <n v="3"/>
    <n v="4"/>
    <n v="80"/>
    <n v="0"/>
    <n v="10"/>
    <n v="4"/>
    <n v="4"/>
    <n v="8"/>
    <n v="7"/>
    <n v="1"/>
    <n v="7"/>
    <s v="LAB-1097"/>
    <x v="1"/>
    <x v="1"/>
    <x v="1"/>
    <n v="8"/>
    <x v="0"/>
  </r>
  <r>
    <n v="44"/>
    <s v="Yes"/>
    <s v="Travel_Rarely"/>
    <n v="1376"/>
    <x v="2"/>
    <n v="1"/>
    <n v="2"/>
    <s v="Medical"/>
    <n v="1"/>
    <n v="1098"/>
    <n v="2"/>
    <s v="Male"/>
    <n v="91"/>
    <n v="2"/>
    <n v="3"/>
    <s v="Human Resources"/>
    <n v="1"/>
    <s v="Married"/>
    <n v="10482"/>
    <n v="2326"/>
    <n v="9"/>
    <s v="Y"/>
    <s v="No"/>
    <n v="14"/>
    <n v="3"/>
    <n v="4"/>
    <n v="80"/>
    <n v="1"/>
    <n v="24"/>
    <n v="1"/>
    <n v="3"/>
    <n v="20"/>
    <n v="6"/>
    <n v="3"/>
    <n v="6"/>
    <s v="LAB-1098"/>
    <x v="8"/>
    <x v="2"/>
    <x v="0"/>
    <n v="20"/>
    <x v="0"/>
  </r>
  <r>
    <n v="33"/>
    <s v="No"/>
    <s v="Travel_Rarely"/>
    <n v="654"/>
    <x v="1"/>
    <n v="5"/>
    <n v="3"/>
    <s v="Life Sciences"/>
    <n v="1"/>
    <n v="1099"/>
    <n v="4"/>
    <s v="Male"/>
    <n v="34"/>
    <n v="2"/>
    <n v="3"/>
    <s v="Healthcare Representative"/>
    <n v="4"/>
    <s v="Divorced"/>
    <n v="7119"/>
    <n v="21214"/>
    <n v="4"/>
    <s v="Y"/>
    <s v="No"/>
    <n v="15"/>
    <n v="3"/>
    <n v="3"/>
    <n v="80"/>
    <n v="1"/>
    <n v="9"/>
    <n v="2"/>
    <n v="3"/>
    <n v="3"/>
    <n v="2"/>
    <n v="1"/>
    <n v="2"/>
    <s v="LAB-1099"/>
    <x v="4"/>
    <x v="1"/>
    <x v="1"/>
    <n v="3"/>
    <x v="0"/>
  </r>
  <r>
    <n v="35"/>
    <s v="Yes"/>
    <s v="Travel_Rarely"/>
    <n v="1204"/>
    <x v="0"/>
    <n v="4"/>
    <n v="3"/>
    <s v="Technical Degree"/>
    <n v="1"/>
    <n v="1100"/>
    <n v="4"/>
    <s v="Male"/>
    <n v="86"/>
    <n v="3"/>
    <n v="3"/>
    <s v="Sales Executive"/>
    <n v="1"/>
    <s v="Single"/>
    <n v="9582"/>
    <n v="10333"/>
    <n v="0"/>
    <s v="Y"/>
    <s v="Yes"/>
    <n v="22"/>
    <n v="4"/>
    <n v="1"/>
    <n v="80"/>
    <n v="0"/>
    <n v="9"/>
    <n v="2"/>
    <n v="3"/>
    <n v="8"/>
    <n v="7"/>
    <n v="4"/>
    <n v="7"/>
    <s v="LAB-1100"/>
    <x v="0"/>
    <x v="0"/>
    <x v="0"/>
    <n v="8"/>
    <x v="0"/>
  </r>
  <r>
    <n v="33"/>
    <s v="Yes"/>
    <s v="Travel_Frequently"/>
    <n v="827"/>
    <x v="1"/>
    <n v="29"/>
    <n v="4"/>
    <s v="Medical"/>
    <n v="1"/>
    <n v="1101"/>
    <n v="1"/>
    <s v="Female"/>
    <n v="54"/>
    <n v="2"/>
    <n v="2"/>
    <s v="Research Scientist"/>
    <n v="3"/>
    <s v="Single"/>
    <n v="4508"/>
    <n v="3129"/>
    <n v="1"/>
    <s v="Y"/>
    <s v="No"/>
    <n v="22"/>
    <n v="4"/>
    <n v="2"/>
    <n v="80"/>
    <n v="0"/>
    <n v="14"/>
    <n v="4"/>
    <n v="3"/>
    <n v="13"/>
    <n v="7"/>
    <n v="3"/>
    <n v="8"/>
    <s v="LAB-1101"/>
    <x v="1"/>
    <x v="1"/>
    <x v="0"/>
    <n v="13"/>
    <x v="0"/>
  </r>
  <r>
    <n v="28"/>
    <s v="No"/>
    <s v="Travel_Rarely"/>
    <n v="895"/>
    <x v="1"/>
    <n v="15"/>
    <n v="2"/>
    <s v="Life Sciences"/>
    <n v="1"/>
    <n v="1102"/>
    <n v="1"/>
    <s v="Male"/>
    <n v="50"/>
    <n v="3"/>
    <n v="1"/>
    <s v="Laboratory Technician"/>
    <n v="3"/>
    <s v="Divorced"/>
    <n v="2207"/>
    <n v="22482"/>
    <n v="1"/>
    <s v="Y"/>
    <s v="No"/>
    <n v="16"/>
    <n v="3"/>
    <n v="4"/>
    <n v="80"/>
    <n v="1"/>
    <n v="4"/>
    <n v="5"/>
    <n v="2"/>
    <n v="4"/>
    <n v="2"/>
    <n v="2"/>
    <n v="2"/>
    <s v="LAB-1102"/>
    <x v="2"/>
    <x v="1"/>
    <x v="1"/>
    <n v="4"/>
    <x v="0"/>
  </r>
  <r>
    <n v="34"/>
    <s v="No"/>
    <s v="Travel_Frequently"/>
    <n v="618"/>
    <x v="1"/>
    <n v="3"/>
    <n v="1"/>
    <s v="Life Sciences"/>
    <n v="1"/>
    <n v="1103"/>
    <n v="1"/>
    <s v="Male"/>
    <n v="45"/>
    <n v="3"/>
    <n v="2"/>
    <s v="Healthcare Representative"/>
    <n v="4"/>
    <s v="Single"/>
    <n v="7756"/>
    <n v="22266"/>
    <n v="0"/>
    <s v="Y"/>
    <s v="No"/>
    <n v="17"/>
    <n v="3"/>
    <n v="3"/>
    <n v="80"/>
    <n v="0"/>
    <n v="7"/>
    <n v="1"/>
    <n v="2"/>
    <n v="6"/>
    <n v="2"/>
    <n v="0"/>
    <n v="4"/>
    <s v="LAB-1103"/>
    <x v="4"/>
    <x v="1"/>
    <x v="1"/>
    <n v="6"/>
    <x v="0"/>
  </r>
  <r>
    <n v="37"/>
    <s v="No"/>
    <s v="Travel_Rarely"/>
    <n v="309"/>
    <x v="0"/>
    <n v="10"/>
    <n v="4"/>
    <s v="Life Sciences"/>
    <n v="1"/>
    <n v="1105"/>
    <n v="4"/>
    <s v="Female"/>
    <n v="88"/>
    <n v="2"/>
    <n v="2"/>
    <s v="Sales Executive"/>
    <n v="4"/>
    <s v="Divorced"/>
    <n v="6694"/>
    <n v="24223"/>
    <n v="2"/>
    <s v="Y"/>
    <s v="Yes"/>
    <n v="14"/>
    <n v="3"/>
    <n v="3"/>
    <n v="80"/>
    <n v="3"/>
    <n v="8"/>
    <n v="5"/>
    <n v="3"/>
    <n v="1"/>
    <n v="0"/>
    <n v="0"/>
    <n v="0"/>
    <s v="LAB-1105"/>
    <x v="0"/>
    <x v="0"/>
    <x v="1"/>
    <n v="1"/>
    <x v="0"/>
  </r>
  <r>
    <n v="25"/>
    <s v="Yes"/>
    <s v="Travel_Rarely"/>
    <n v="1219"/>
    <x v="1"/>
    <n v="4"/>
    <n v="1"/>
    <s v="Technical Degree"/>
    <n v="1"/>
    <n v="1106"/>
    <n v="4"/>
    <s v="Male"/>
    <n v="32"/>
    <n v="3"/>
    <n v="1"/>
    <s v="Laboratory Technician"/>
    <n v="4"/>
    <s v="Married"/>
    <n v="3691"/>
    <n v="4605"/>
    <n v="1"/>
    <s v="Y"/>
    <s v="Yes"/>
    <n v="15"/>
    <n v="3"/>
    <n v="2"/>
    <n v="80"/>
    <n v="1"/>
    <n v="7"/>
    <n v="3"/>
    <n v="4"/>
    <n v="7"/>
    <n v="7"/>
    <n v="5"/>
    <n v="6"/>
    <s v="LAB-1106"/>
    <x v="2"/>
    <x v="1"/>
    <x v="0"/>
    <n v="7"/>
    <x v="0"/>
  </r>
  <r>
    <n v="26"/>
    <s v="Yes"/>
    <s v="Travel_Rarely"/>
    <n v="1330"/>
    <x v="1"/>
    <n v="21"/>
    <n v="3"/>
    <s v="Medical"/>
    <n v="1"/>
    <n v="1107"/>
    <n v="1"/>
    <s v="Male"/>
    <n v="37"/>
    <n v="3"/>
    <n v="1"/>
    <s v="Laboratory Technician"/>
    <n v="3"/>
    <s v="Divorced"/>
    <n v="2377"/>
    <n v="19373"/>
    <n v="1"/>
    <s v="Y"/>
    <s v="No"/>
    <n v="20"/>
    <n v="4"/>
    <n v="3"/>
    <n v="80"/>
    <n v="1"/>
    <n v="1"/>
    <n v="0"/>
    <n v="2"/>
    <n v="1"/>
    <n v="1"/>
    <n v="0"/>
    <n v="0"/>
    <s v="LAB-1107"/>
    <x v="2"/>
    <x v="1"/>
    <x v="0"/>
    <n v="1"/>
    <x v="0"/>
  </r>
  <r>
    <n v="33"/>
    <s v="Yes"/>
    <s v="Travel_Rarely"/>
    <n v="1017"/>
    <x v="1"/>
    <n v="25"/>
    <n v="3"/>
    <s v="Medical"/>
    <n v="1"/>
    <n v="1108"/>
    <n v="1"/>
    <s v="Male"/>
    <n v="55"/>
    <n v="2"/>
    <n v="1"/>
    <s v="Research Scientist"/>
    <n v="2"/>
    <s v="Single"/>
    <n v="2313"/>
    <n v="2993"/>
    <n v="4"/>
    <s v="Y"/>
    <s v="Yes"/>
    <n v="20"/>
    <n v="4"/>
    <n v="2"/>
    <n v="80"/>
    <n v="0"/>
    <n v="5"/>
    <n v="0"/>
    <n v="3"/>
    <n v="2"/>
    <n v="2"/>
    <n v="2"/>
    <n v="2"/>
    <s v="LAB-1108"/>
    <x v="1"/>
    <x v="1"/>
    <x v="0"/>
    <n v="2"/>
    <x v="0"/>
  </r>
  <r>
    <n v="42"/>
    <s v="No"/>
    <s v="Travel_Rarely"/>
    <n v="469"/>
    <x v="1"/>
    <n v="2"/>
    <n v="2"/>
    <s v="Medical"/>
    <n v="1"/>
    <n v="1109"/>
    <n v="4"/>
    <s v="Male"/>
    <n v="35"/>
    <n v="3"/>
    <n v="4"/>
    <s v="Manager"/>
    <n v="1"/>
    <s v="Married"/>
    <n v="17665"/>
    <n v="14399"/>
    <n v="0"/>
    <s v="Y"/>
    <s v="No"/>
    <n v="17"/>
    <n v="3"/>
    <n v="4"/>
    <n v="80"/>
    <n v="1"/>
    <n v="23"/>
    <n v="3"/>
    <n v="3"/>
    <n v="22"/>
    <n v="6"/>
    <n v="13"/>
    <n v="7"/>
    <s v="LAB-1109"/>
    <x v="5"/>
    <x v="1"/>
    <x v="1"/>
    <n v="22"/>
    <x v="0"/>
  </r>
  <r>
    <n v="28"/>
    <s v="Yes"/>
    <s v="Travel_Frequently"/>
    <n v="1009"/>
    <x v="1"/>
    <n v="1"/>
    <n v="3"/>
    <s v="Medical"/>
    <n v="1"/>
    <n v="1111"/>
    <n v="1"/>
    <s v="Male"/>
    <n v="45"/>
    <n v="2"/>
    <n v="1"/>
    <s v="Laboratory Technician"/>
    <n v="2"/>
    <s v="Divorced"/>
    <n v="2596"/>
    <n v="7160"/>
    <n v="1"/>
    <s v="Y"/>
    <s v="No"/>
    <n v="15"/>
    <n v="3"/>
    <n v="1"/>
    <n v="80"/>
    <n v="2"/>
    <n v="1"/>
    <n v="2"/>
    <n v="3"/>
    <n v="1"/>
    <n v="0"/>
    <n v="0"/>
    <n v="0"/>
    <s v="LAB-1111"/>
    <x v="2"/>
    <x v="1"/>
    <x v="0"/>
    <n v="1"/>
    <x v="0"/>
  </r>
  <r>
    <n v="50"/>
    <s v="Yes"/>
    <s v="Travel_Frequently"/>
    <n v="959"/>
    <x v="0"/>
    <n v="1"/>
    <n v="4"/>
    <s v="Other"/>
    <n v="1"/>
    <n v="1113"/>
    <n v="4"/>
    <s v="Male"/>
    <n v="81"/>
    <n v="3"/>
    <n v="2"/>
    <s v="Sales Executive"/>
    <n v="3"/>
    <s v="Single"/>
    <n v="4728"/>
    <n v="17251"/>
    <n v="3"/>
    <s v="Y"/>
    <s v="Yes"/>
    <n v="14"/>
    <n v="3"/>
    <n v="4"/>
    <n v="80"/>
    <n v="0"/>
    <n v="5"/>
    <n v="4"/>
    <n v="3"/>
    <n v="0"/>
    <n v="0"/>
    <n v="0"/>
    <n v="0"/>
    <s v="LAB-1113"/>
    <x v="0"/>
    <x v="0"/>
    <x v="0"/>
    <n v="0"/>
    <x v="0"/>
  </r>
  <r>
    <n v="33"/>
    <s v="No"/>
    <s v="Travel_Frequently"/>
    <n v="970"/>
    <x v="0"/>
    <n v="7"/>
    <n v="3"/>
    <s v="Life Sciences"/>
    <n v="1"/>
    <n v="1114"/>
    <n v="4"/>
    <s v="Female"/>
    <n v="30"/>
    <n v="3"/>
    <n v="2"/>
    <s v="Sales Executive"/>
    <n v="2"/>
    <s v="Married"/>
    <n v="4302"/>
    <n v="13401"/>
    <n v="0"/>
    <s v="Y"/>
    <s v="No"/>
    <n v="17"/>
    <n v="3"/>
    <n v="3"/>
    <n v="80"/>
    <n v="1"/>
    <n v="4"/>
    <n v="3"/>
    <n v="3"/>
    <n v="3"/>
    <n v="2"/>
    <n v="0"/>
    <n v="2"/>
    <s v="LAB-1114"/>
    <x v="0"/>
    <x v="0"/>
    <x v="1"/>
    <n v="3"/>
    <x v="0"/>
  </r>
  <r>
    <n v="34"/>
    <s v="No"/>
    <s v="Non-Travel"/>
    <n v="697"/>
    <x v="1"/>
    <n v="3"/>
    <n v="4"/>
    <s v="Life Sciences"/>
    <n v="1"/>
    <n v="1115"/>
    <n v="3"/>
    <s v="Male"/>
    <n v="40"/>
    <n v="2"/>
    <n v="1"/>
    <s v="Research Scientist"/>
    <n v="4"/>
    <s v="Married"/>
    <n v="2979"/>
    <n v="22478"/>
    <n v="3"/>
    <s v="Y"/>
    <s v="No"/>
    <n v="17"/>
    <n v="3"/>
    <n v="4"/>
    <n v="80"/>
    <n v="3"/>
    <n v="6"/>
    <n v="2"/>
    <n v="3"/>
    <n v="0"/>
    <n v="0"/>
    <n v="0"/>
    <n v="0"/>
    <s v="LAB-1115"/>
    <x v="1"/>
    <x v="1"/>
    <x v="1"/>
    <n v="0"/>
    <x v="0"/>
  </r>
  <r>
    <n v="48"/>
    <s v="No"/>
    <s v="Non-Travel"/>
    <n v="1262"/>
    <x v="1"/>
    <n v="1"/>
    <n v="4"/>
    <s v="Medical"/>
    <n v="1"/>
    <n v="1116"/>
    <n v="1"/>
    <s v="Male"/>
    <n v="35"/>
    <n v="4"/>
    <n v="4"/>
    <s v="Manager"/>
    <n v="4"/>
    <s v="Single"/>
    <n v="16885"/>
    <n v="16154"/>
    <n v="2"/>
    <s v="Y"/>
    <s v="No"/>
    <n v="22"/>
    <n v="4"/>
    <n v="3"/>
    <n v="80"/>
    <n v="0"/>
    <n v="27"/>
    <n v="3"/>
    <n v="2"/>
    <n v="5"/>
    <n v="4"/>
    <n v="2"/>
    <n v="1"/>
    <s v="LAB-1116"/>
    <x v="5"/>
    <x v="1"/>
    <x v="1"/>
    <n v="5"/>
    <x v="0"/>
  </r>
  <r>
    <n v="45"/>
    <s v="No"/>
    <s v="Non-Travel"/>
    <n v="1050"/>
    <x v="0"/>
    <n v="9"/>
    <n v="4"/>
    <s v="Life Sciences"/>
    <n v="1"/>
    <n v="1117"/>
    <n v="2"/>
    <s v="Female"/>
    <n v="65"/>
    <n v="2"/>
    <n v="2"/>
    <s v="Sales Executive"/>
    <n v="3"/>
    <s v="Married"/>
    <n v="5593"/>
    <n v="17970"/>
    <n v="1"/>
    <s v="Y"/>
    <s v="No"/>
    <n v="13"/>
    <n v="3"/>
    <n v="4"/>
    <n v="80"/>
    <n v="1"/>
    <n v="15"/>
    <n v="2"/>
    <n v="3"/>
    <n v="15"/>
    <n v="10"/>
    <n v="4"/>
    <n v="12"/>
    <s v="LAB-1117"/>
    <x v="0"/>
    <x v="0"/>
    <x v="1"/>
    <n v="15"/>
    <x v="0"/>
  </r>
  <r>
    <n v="52"/>
    <s v="No"/>
    <s v="Travel_Rarely"/>
    <n v="994"/>
    <x v="1"/>
    <n v="7"/>
    <n v="4"/>
    <s v="Life Sciences"/>
    <n v="1"/>
    <n v="1118"/>
    <n v="2"/>
    <s v="Male"/>
    <n v="87"/>
    <n v="3"/>
    <n v="3"/>
    <s v="Healthcare Representative"/>
    <n v="2"/>
    <s v="Single"/>
    <n v="10445"/>
    <n v="15322"/>
    <n v="7"/>
    <s v="Y"/>
    <s v="No"/>
    <n v="19"/>
    <n v="3"/>
    <n v="4"/>
    <n v="80"/>
    <n v="0"/>
    <n v="18"/>
    <n v="4"/>
    <n v="3"/>
    <n v="8"/>
    <n v="6"/>
    <n v="4"/>
    <n v="0"/>
    <s v="LAB-1118"/>
    <x v="4"/>
    <x v="1"/>
    <x v="1"/>
    <n v="8"/>
    <x v="0"/>
  </r>
  <r>
    <n v="38"/>
    <s v="No"/>
    <s v="Travel_Rarely"/>
    <n v="770"/>
    <x v="0"/>
    <n v="10"/>
    <n v="4"/>
    <s v="Marketing"/>
    <n v="1"/>
    <n v="1119"/>
    <n v="3"/>
    <s v="Male"/>
    <n v="73"/>
    <n v="2"/>
    <n v="3"/>
    <s v="Sales Executive"/>
    <n v="3"/>
    <s v="Divorced"/>
    <n v="8740"/>
    <n v="5569"/>
    <n v="0"/>
    <s v="Y"/>
    <s v="Yes"/>
    <n v="14"/>
    <n v="3"/>
    <n v="2"/>
    <n v="80"/>
    <n v="2"/>
    <n v="9"/>
    <n v="2"/>
    <n v="3"/>
    <n v="8"/>
    <n v="7"/>
    <n v="2"/>
    <n v="7"/>
    <s v="LAB-1119"/>
    <x v="0"/>
    <x v="0"/>
    <x v="1"/>
    <n v="8"/>
    <x v="0"/>
  </r>
  <r>
    <n v="29"/>
    <s v="No"/>
    <s v="Travel_Rarely"/>
    <n v="1107"/>
    <x v="1"/>
    <n v="28"/>
    <n v="4"/>
    <s v="Life Sciences"/>
    <n v="1"/>
    <n v="1120"/>
    <n v="3"/>
    <s v="Female"/>
    <n v="93"/>
    <n v="3"/>
    <n v="1"/>
    <s v="Research Scientist"/>
    <n v="4"/>
    <s v="Divorced"/>
    <n v="2514"/>
    <n v="26968"/>
    <n v="4"/>
    <s v="Y"/>
    <s v="No"/>
    <n v="22"/>
    <n v="4"/>
    <n v="1"/>
    <n v="80"/>
    <n v="1"/>
    <n v="11"/>
    <n v="1"/>
    <n v="3"/>
    <n v="7"/>
    <n v="5"/>
    <n v="1"/>
    <n v="7"/>
    <s v="LAB-1120"/>
    <x v="1"/>
    <x v="1"/>
    <x v="1"/>
    <n v="7"/>
    <x v="0"/>
  </r>
  <r>
    <n v="28"/>
    <s v="No"/>
    <s v="Travel_Rarely"/>
    <n v="950"/>
    <x v="1"/>
    <n v="3"/>
    <n v="3"/>
    <s v="Medical"/>
    <n v="1"/>
    <n v="1121"/>
    <n v="4"/>
    <s v="Female"/>
    <n v="93"/>
    <n v="3"/>
    <n v="3"/>
    <s v="Manufacturing Director"/>
    <n v="2"/>
    <s v="Divorced"/>
    <n v="7655"/>
    <n v="8039"/>
    <n v="0"/>
    <s v="Y"/>
    <s v="No"/>
    <n v="17"/>
    <n v="3"/>
    <n v="2"/>
    <n v="80"/>
    <n v="3"/>
    <n v="10"/>
    <n v="3"/>
    <n v="2"/>
    <n v="9"/>
    <n v="7"/>
    <n v="1"/>
    <n v="7"/>
    <s v="LAB-1121"/>
    <x v="3"/>
    <x v="1"/>
    <x v="1"/>
    <n v="9"/>
    <x v="0"/>
  </r>
  <r>
    <n v="46"/>
    <s v="No"/>
    <s v="Travel_Rarely"/>
    <n v="406"/>
    <x v="0"/>
    <n v="3"/>
    <n v="1"/>
    <s v="Marketing"/>
    <n v="1"/>
    <n v="1124"/>
    <n v="1"/>
    <s v="Male"/>
    <n v="52"/>
    <n v="3"/>
    <n v="4"/>
    <s v="Manager"/>
    <n v="3"/>
    <s v="Married"/>
    <n v="17465"/>
    <n v="15596"/>
    <n v="3"/>
    <s v="Y"/>
    <s v="No"/>
    <n v="12"/>
    <n v="3"/>
    <n v="4"/>
    <n v="80"/>
    <n v="1"/>
    <n v="23"/>
    <n v="3"/>
    <n v="3"/>
    <n v="12"/>
    <n v="9"/>
    <n v="4"/>
    <n v="9"/>
    <s v="LAB-1124"/>
    <x v="5"/>
    <x v="0"/>
    <x v="1"/>
    <n v="12"/>
    <x v="0"/>
  </r>
  <r>
    <n v="38"/>
    <s v="No"/>
    <s v="Travel_Rarely"/>
    <n v="130"/>
    <x v="0"/>
    <n v="2"/>
    <n v="2"/>
    <s v="Marketing"/>
    <n v="1"/>
    <n v="1125"/>
    <n v="4"/>
    <s v="Male"/>
    <n v="32"/>
    <n v="3"/>
    <n v="3"/>
    <s v="Sales Executive"/>
    <n v="2"/>
    <s v="Single"/>
    <n v="7351"/>
    <n v="20619"/>
    <n v="7"/>
    <s v="Y"/>
    <s v="No"/>
    <n v="16"/>
    <n v="3"/>
    <n v="3"/>
    <n v="80"/>
    <n v="0"/>
    <n v="10"/>
    <n v="2"/>
    <n v="3"/>
    <n v="1"/>
    <n v="0"/>
    <n v="0"/>
    <n v="0"/>
    <s v="LAB-1125"/>
    <x v="0"/>
    <x v="0"/>
    <x v="1"/>
    <n v="1"/>
    <x v="0"/>
  </r>
  <r>
    <n v="43"/>
    <s v="No"/>
    <s v="Travel_Frequently"/>
    <n v="1082"/>
    <x v="1"/>
    <n v="27"/>
    <n v="3"/>
    <s v="Life Sciences"/>
    <n v="1"/>
    <n v="1126"/>
    <n v="3"/>
    <s v="Female"/>
    <n v="83"/>
    <n v="3"/>
    <n v="3"/>
    <s v="Manufacturing Director"/>
    <n v="1"/>
    <s v="Married"/>
    <n v="10820"/>
    <n v="11535"/>
    <n v="8"/>
    <s v="Y"/>
    <s v="No"/>
    <n v="11"/>
    <n v="3"/>
    <n v="3"/>
    <n v="80"/>
    <n v="1"/>
    <n v="18"/>
    <n v="1"/>
    <n v="3"/>
    <n v="8"/>
    <n v="7"/>
    <n v="0"/>
    <n v="1"/>
    <s v="LAB-1126"/>
    <x v="3"/>
    <x v="1"/>
    <x v="1"/>
    <n v="8"/>
    <x v="0"/>
  </r>
  <r>
    <n v="39"/>
    <s v="Yes"/>
    <s v="Travel_Frequently"/>
    <n v="203"/>
    <x v="1"/>
    <n v="2"/>
    <n v="3"/>
    <s v="Life Sciences"/>
    <n v="1"/>
    <n v="1127"/>
    <n v="1"/>
    <s v="Male"/>
    <n v="84"/>
    <n v="3"/>
    <n v="4"/>
    <s v="Healthcare Representative"/>
    <n v="4"/>
    <s v="Divorced"/>
    <n v="12169"/>
    <n v="13547"/>
    <n v="7"/>
    <s v="Y"/>
    <s v="No"/>
    <n v="11"/>
    <n v="3"/>
    <n v="4"/>
    <n v="80"/>
    <n v="3"/>
    <n v="21"/>
    <n v="4"/>
    <n v="3"/>
    <n v="18"/>
    <n v="7"/>
    <n v="11"/>
    <n v="5"/>
    <s v="LAB-1127"/>
    <x v="4"/>
    <x v="1"/>
    <x v="0"/>
    <n v="18"/>
    <x v="0"/>
  </r>
  <r>
    <n v="40"/>
    <s v="No"/>
    <s v="Travel_Rarely"/>
    <n v="1308"/>
    <x v="1"/>
    <n v="14"/>
    <n v="3"/>
    <s v="Medical"/>
    <n v="1"/>
    <n v="1128"/>
    <n v="3"/>
    <s v="Male"/>
    <n v="44"/>
    <n v="2"/>
    <n v="5"/>
    <s v="Research Director"/>
    <n v="3"/>
    <s v="Single"/>
    <n v="19626"/>
    <n v="17544"/>
    <n v="1"/>
    <s v="Y"/>
    <s v="No"/>
    <n v="14"/>
    <n v="3"/>
    <n v="1"/>
    <n v="80"/>
    <n v="0"/>
    <n v="21"/>
    <n v="2"/>
    <n v="4"/>
    <n v="20"/>
    <n v="7"/>
    <n v="4"/>
    <n v="9"/>
    <s v="LAB-1128"/>
    <x v="7"/>
    <x v="1"/>
    <x v="1"/>
    <n v="20"/>
    <x v="0"/>
  </r>
  <r>
    <n v="21"/>
    <s v="No"/>
    <s v="Travel_Rarely"/>
    <n v="984"/>
    <x v="1"/>
    <n v="1"/>
    <n v="1"/>
    <s v="Technical Degree"/>
    <n v="1"/>
    <n v="1131"/>
    <n v="4"/>
    <s v="Female"/>
    <n v="70"/>
    <n v="2"/>
    <n v="1"/>
    <s v="Research Scientist"/>
    <n v="2"/>
    <s v="Single"/>
    <n v="2070"/>
    <n v="25326"/>
    <n v="1"/>
    <s v="Y"/>
    <s v="Yes"/>
    <n v="11"/>
    <n v="3"/>
    <n v="3"/>
    <n v="80"/>
    <n v="0"/>
    <n v="2"/>
    <n v="6"/>
    <n v="4"/>
    <n v="2"/>
    <n v="2"/>
    <n v="2"/>
    <n v="2"/>
    <s v="LAB-1131"/>
    <x v="1"/>
    <x v="1"/>
    <x v="1"/>
    <n v="2"/>
    <x v="0"/>
  </r>
  <r>
    <n v="39"/>
    <s v="No"/>
    <s v="Non-Travel"/>
    <n v="439"/>
    <x v="1"/>
    <n v="9"/>
    <n v="3"/>
    <s v="Life Sciences"/>
    <n v="1"/>
    <n v="1132"/>
    <n v="3"/>
    <s v="Male"/>
    <n v="70"/>
    <n v="3"/>
    <n v="2"/>
    <s v="Laboratory Technician"/>
    <n v="2"/>
    <s v="Single"/>
    <n v="6782"/>
    <n v="8770"/>
    <n v="9"/>
    <s v="Y"/>
    <s v="No"/>
    <n v="15"/>
    <n v="3"/>
    <n v="3"/>
    <n v="80"/>
    <n v="0"/>
    <n v="9"/>
    <n v="2"/>
    <n v="2"/>
    <n v="5"/>
    <n v="4"/>
    <n v="0"/>
    <n v="3"/>
    <s v="LAB-1132"/>
    <x v="2"/>
    <x v="1"/>
    <x v="1"/>
    <n v="5"/>
    <x v="0"/>
  </r>
  <r>
    <n v="36"/>
    <s v="No"/>
    <s v="Non-Travel"/>
    <n v="217"/>
    <x v="1"/>
    <n v="18"/>
    <n v="4"/>
    <s v="Life Sciences"/>
    <n v="1"/>
    <n v="1133"/>
    <n v="1"/>
    <s v="Male"/>
    <n v="78"/>
    <n v="3"/>
    <n v="2"/>
    <s v="Manufacturing Director"/>
    <n v="4"/>
    <s v="Single"/>
    <n v="7779"/>
    <n v="23238"/>
    <n v="2"/>
    <s v="Y"/>
    <s v="No"/>
    <n v="20"/>
    <n v="4"/>
    <n v="1"/>
    <n v="80"/>
    <n v="0"/>
    <n v="18"/>
    <n v="0"/>
    <n v="3"/>
    <n v="11"/>
    <n v="9"/>
    <n v="0"/>
    <n v="9"/>
    <s v="LAB-1133"/>
    <x v="3"/>
    <x v="1"/>
    <x v="1"/>
    <n v="11"/>
    <x v="0"/>
  </r>
  <r>
    <n v="31"/>
    <s v="No"/>
    <s v="Travel_Frequently"/>
    <n v="793"/>
    <x v="0"/>
    <n v="20"/>
    <n v="3"/>
    <s v="Life Sciences"/>
    <n v="1"/>
    <n v="1135"/>
    <n v="3"/>
    <s v="Male"/>
    <n v="67"/>
    <n v="4"/>
    <n v="1"/>
    <s v="Sales Representative"/>
    <n v="4"/>
    <s v="Married"/>
    <n v="2791"/>
    <n v="21981"/>
    <n v="0"/>
    <s v="Y"/>
    <s v="No"/>
    <n v="12"/>
    <n v="3"/>
    <n v="1"/>
    <n v="80"/>
    <n v="1"/>
    <n v="3"/>
    <n v="4"/>
    <n v="3"/>
    <n v="2"/>
    <n v="2"/>
    <n v="2"/>
    <n v="2"/>
    <s v="LAB-1135"/>
    <x v="6"/>
    <x v="0"/>
    <x v="1"/>
    <n v="2"/>
    <x v="0"/>
  </r>
  <r>
    <n v="28"/>
    <s v="No"/>
    <s v="Travel_Rarely"/>
    <n v="1451"/>
    <x v="1"/>
    <n v="2"/>
    <n v="1"/>
    <s v="Life Sciences"/>
    <n v="1"/>
    <n v="1136"/>
    <n v="1"/>
    <s v="Male"/>
    <n v="67"/>
    <n v="2"/>
    <n v="1"/>
    <s v="Research Scientist"/>
    <n v="2"/>
    <s v="Married"/>
    <n v="3201"/>
    <n v="19911"/>
    <n v="0"/>
    <s v="Y"/>
    <s v="No"/>
    <n v="17"/>
    <n v="3"/>
    <n v="1"/>
    <n v="80"/>
    <n v="0"/>
    <n v="6"/>
    <n v="2"/>
    <n v="1"/>
    <n v="5"/>
    <n v="3"/>
    <n v="0"/>
    <n v="4"/>
    <s v="LAB-1136"/>
    <x v="1"/>
    <x v="1"/>
    <x v="1"/>
    <n v="5"/>
    <x v="0"/>
  </r>
  <r>
    <n v="35"/>
    <s v="No"/>
    <s v="Travel_Frequently"/>
    <n v="1182"/>
    <x v="0"/>
    <n v="11"/>
    <n v="2"/>
    <s v="Marketing"/>
    <n v="1"/>
    <n v="1137"/>
    <n v="4"/>
    <s v="Male"/>
    <n v="54"/>
    <n v="3"/>
    <n v="2"/>
    <s v="Sales Executive"/>
    <n v="4"/>
    <s v="Divorced"/>
    <n v="4968"/>
    <n v="18500"/>
    <n v="1"/>
    <s v="Y"/>
    <s v="No"/>
    <n v="11"/>
    <n v="3"/>
    <n v="4"/>
    <n v="80"/>
    <n v="1"/>
    <n v="5"/>
    <n v="3"/>
    <n v="3"/>
    <n v="5"/>
    <n v="2"/>
    <n v="0"/>
    <n v="2"/>
    <s v="LAB-1137"/>
    <x v="0"/>
    <x v="0"/>
    <x v="1"/>
    <n v="5"/>
    <x v="0"/>
  </r>
  <r>
    <n v="49"/>
    <s v="No"/>
    <s v="Travel_Rarely"/>
    <n v="174"/>
    <x v="0"/>
    <n v="8"/>
    <n v="4"/>
    <s v="Technical Degree"/>
    <n v="1"/>
    <n v="1138"/>
    <n v="4"/>
    <s v="Male"/>
    <n v="56"/>
    <n v="2"/>
    <n v="4"/>
    <s v="Sales Executive"/>
    <n v="2"/>
    <s v="Married"/>
    <n v="13120"/>
    <n v="11879"/>
    <n v="6"/>
    <s v="Y"/>
    <s v="No"/>
    <n v="17"/>
    <n v="3"/>
    <n v="2"/>
    <n v="80"/>
    <n v="1"/>
    <n v="22"/>
    <n v="3"/>
    <n v="3"/>
    <n v="9"/>
    <n v="8"/>
    <n v="2"/>
    <n v="3"/>
    <s v="LAB-1138"/>
    <x v="0"/>
    <x v="0"/>
    <x v="1"/>
    <n v="9"/>
    <x v="0"/>
  </r>
  <r>
    <n v="34"/>
    <s v="No"/>
    <s v="Travel_Frequently"/>
    <n v="1003"/>
    <x v="1"/>
    <n v="2"/>
    <n v="2"/>
    <s v="Life Sciences"/>
    <n v="1"/>
    <n v="1140"/>
    <n v="4"/>
    <s v="Male"/>
    <n v="95"/>
    <n v="3"/>
    <n v="2"/>
    <s v="Manufacturing Director"/>
    <n v="3"/>
    <s v="Single"/>
    <n v="4033"/>
    <n v="15834"/>
    <n v="2"/>
    <s v="Y"/>
    <s v="No"/>
    <n v="11"/>
    <n v="3"/>
    <n v="4"/>
    <n v="80"/>
    <n v="0"/>
    <n v="5"/>
    <n v="3"/>
    <n v="2"/>
    <n v="3"/>
    <n v="2"/>
    <n v="0"/>
    <n v="2"/>
    <s v="LAB-1140"/>
    <x v="3"/>
    <x v="1"/>
    <x v="1"/>
    <n v="3"/>
    <x v="0"/>
  </r>
  <r>
    <n v="29"/>
    <s v="No"/>
    <s v="Travel_Frequently"/>
    <n v="490"/>
    <x v="1"/>
    <n v="10"/>
    <n v="3"/>
    <s v="Life Sciences"/>
    <n v="1"/>
    <n v="1143"/>
    <n v="4"/>
    <s v="Female"/>
    <n v="61"/>
    <n v="3"/>
    <n v="1"/>
    <s v="Research Scientist"/>
    <n v="2"/>
    <s v="Divorced"/>
    <n v="3291"/>
    <n v="17940"/>
    <n v="0"/>
    <s v="Y"/>
    <s v="No"/>
    <n v="14"/>
    <n v="3"/>
    <n v="4"/>
    <n v="80"/>
    <n v="2"/>
    <n v="8"/>
    <n v="2"/>
    <n v="2"/>
    <n v="7"/>
    <n v="5"/>
    <n v="1"/>
    <n v="1"/>
    <s v="LAB-1143"/>
    <x v="1"/>
    <x v="1"/>
    <x v="1"/>
    <n v="7"/>
    <x v="0"/>
  </r>
  <r>
    <n v="42"/>
    <s v="No"/>
    <s v="Travel_Rarely"/>
    <n v="188"/>
    <x v="1"/>
    <n v="29"/>
    <n v="3"/>
    <s v="Medical"/>
    <n v="1"/>
    <n v="1148"/>
    <n v="2"/>
    <s v="Male"/>
    <n v="56"/>
    <n v="1"/>
    <n v="2"/>
    <s v="Laboratory Technician"/>
    <n v="4"/>
    <s v="Single"/>
    <n v="4272"/>
    <n v="9558"/>
    <n v="4"/>
    <s v="Y"/>
    <s v="No"/>
    <n v="19"/>
    <n v="3"/>
    <n v="1"/>
    <n v="80"/>
    <n v="0"/>
    <n v="16"/>
    <n v="3"/>
    <n v="3"/>
    <n v="1"/>
    <n v="0"/>
    <n v="0"/>
    <n v="0"/>
    <s v="LAB-1148"/>
    <x v="2"/>
    <x v="1"/>
    <x v="1"/>
    <n v="1"/>
    <x v="0"/>
  </r>
  <r>
    <n v="29"/>
    <s v="No"/>
    <s v="Travel_Rarely"/>
    <n v="718"/>
    <x v="1"/>
    <n v="8"/>
    <n v="1"/>
    <s v="Medical"/>
    <n v="1"/>
    <n v="1150"/>
    <n v="2"/>
    <s v="Male"/>
    <n v="79"/>
    <n v="2"/>
    <n v="2"/>
    <s v="Manufacturing Director"/>
    <n v="4"/>
    <s v="Married"/>
    <n v="5056"/>
    <n v="17689"/>
    <n v="1"/>
    <s v="Y"/>
    <s v="Yes"/>
    <n v="15"/>
    <n v="3"/>
    <n v="3"/>
    <n v="80"/>
    <n v="1"/>
    <n v="10"/>
    <n v="2"/>
    <n v="2"/>
    <n v="10"/>
    <n v="7"/>
    <n v="1"/>
    <n v="2"/>
    <s v="LAB-1150"/>
    <x v="3"/>
    <x v="1"/>
    <x v="1"/>
    <n v="10"/>
    <x v="0"/>
  </r>
  <r>
    <n v="38"/>
    <s v="No"/>
    <s v="Travel_Rarely"/>
    <n v="433"/>
    <x v="2"/>
    <n v="1"/>
    <n v="3"/>
    <s v="Human Resources"/>
    <n v="1"/>
    <n v="1152"/>
    <n v="3"/>
    <s v="Male"/>
    <n v="37"/>
    <n v="4"/>
    <n v="1"/>
    <s v="Human Resources"/>
    <n v="3"/>
    <s v="Married"/>
    <n v="2844"/>
    <n v="6004"/>
    <n v="1"/>
    <s v="Y"/>
    <s v="No"/>
    <n v="13"/>
    <n v="3"/>
    <n v="4"/>
    <n v="80"/>
    <n v="1"/>
    <n v="7"/>
    <n v="2"/>
    <n v="4"/>
    <n v="7"/>
    <n v="6"/>
    <n v="5"/>
    <n v="0"/>
    <s v="LAB-1152"/>
    <x v="8"/>
    <x v="2"/>
    <x v="1"/>
    <n v="7"/>
    <x v="0"/>
  </r>
  <r>
    <n v="28"/>
    <s v="No"/>
    <s v="Travel_Frequently"/>
    <n v="773"/>
    <x v="1"/>
    <n v="6"/>
    <n v="3"/>
    <s v="Life Sciences"/>
    <n v="1"/>
    <n v="1154"/>
    <n v="3"/>
    <s v="Male"/>
    <n v="39"/>
    <n v="2"/>
    <n v="1"/>
    <s v="Research Scientist"/>
    <n v="3"/>
    <s v="Divorced"/>
    <n v="2703"/>
    <n v="22088"/>
    <n v="1"/>
    <s v="Y"/>
    <s v="Yes"/>
    <n v="14"/>
    <n v="3"/>
    <n v="4"/>
    <n v="80"/>
    <n v="1"/>
    <n v="3"/>
    <n v="2"/>
    <n v="3"/>
    <n v="3"/>
    <n v="1"/>
    <n v="0"/>
    <n v="2"/>
    <s v="LAB-1154"/>
    <x v="1"/>
    <x v="1"/>
    <x v="1"/>
    <n v="3"/>
    <x v="0"/>
  </r>
  <r>
    <n v="18"/>
    <s v="Yes"/>
    <s v="Non-Travel"/>
    <n v="247"/>
    <x v="1"/>
    <n v="8"/>
    <n v="1"/>
    <s v="Medical"/>
    <n v="1"/>
    <n v="1156"/>
    <n v="3"/>
    <s v="Male"/>
    <n v="80"/>
    <n v="3"/>
    <n v="1"/>
    <s v="Laboratory Technician"/>
    <n v="3"/>
    <s v="Single"/>
    <n v="1904"/>
    <n v="13556"/>
    <n v="1"/>
    <s v="Y"/>
    <s v="No"/>
    <n v="12"/>
    <n v="3"/>
    <n v="4"/>
    <n v="80"/>
    <n v="0"/>
    <n v="0"/>
    <n v="0"/>
    <n v="3"/>
    <n v="0"/>
    <n v="0"/>
    <n v="0"/>
    <n v="0"/>
    <s v="LAB-1156"/>
    <x v="2"/>
    <x v="1"/>
    <x v="0"/>
    <n v="0"/>
    <x v="0"/>
  </r>
  <r>
    <n v="33"/>
    <s v="Yes"/>
    <s v="Travel_Rarely"/>
    <n v="603"/>
    <x v="0"/>
    <n v="9"/>
    <n v="4"/>
    <s v="Marketing"/>
    <n v="1"/>
    <n v="1157"/>
    <n v="1"/>
    <s v="Female"/>
    <n v="77"/>
    <n v="3"/>
    <n v="2"/>
    <s v="Sales Executive"/>
    <n v="1"/>
    <s v="Single"/>
    <n v="8224"/>
    <n v="18385"/>
    <n v="0"/>
    <s v="Y"/>
    <s v="Yes"/>
    <n v="17"/>
    <n v="3"/>
    <n v="1"/>
    <n v="80"/>
    <n v="0"/>
    <n v="6"/>
    <n v="3"/>
    <n v="3"/>
    <n v="5"/>
    <n v="2"/>
    <n v="0"/>
    <n v="3"/>
    <s v="LAB-1157"/>
    <x v="0"/>
    <x v="0"/>
    <x v="0"/>
    <n v="5"/>
    <x v="0"/>
  </r>
  <r>
    <n v="41"/>
    <s v="No"/>
    <s v="Travel_Rarely"/>
    <n v="167"/>
    <x v="1"/>
    <n v="12"/>
    <n v="4"/>
    <s v="Life Sciences"/>
    <n v="1"/>
    <n v="1158"/>
    <n v="2"/>
    <s v="Male"/>
    <n v="46"/>
    <n v="3"/>
    <n v="1"/>
    <s v="Laboratory Technician"/>
    <n v="4"/>
    <s v="Married"/>
    <n v="4766"/>
    <n v="9051"/>
    <n v="3"/>
    <s v="Y"/>
    <s v="Yes"/>
    <n v="11"/>
    <n v="3"/>
    <n v="1"/>
    <n v="80"/>
    <n v="1"/>
    <n v="6"/>
    <n v="4"/>
    <n v="3"/>
    <n v="1"/>
    <n v="0"/>
    <n v="0"/>
    <n v="0"/>
    <s v="LAB-1158"/>
    <x v="2"/>
    <x v="1"/>
    <x v="1"/>
    <n v="1"/>
    <x v="0"/>
  </r>
  <r>
    <n v="31"/>
    <s v="Yes"/>
    <s v="Travel_Frequently"/>
    <n v="874"/>
    <x v="1"/>
    <n v="15"/>
    <n v="3"/>
    <s v="Medical"/>
    <n v="1"/>
    <n v="1160"/>
    <n v="3"/>
    <s v="Male"/>
    <n v="72"/>
    <n v="3"/>
    <n v="1"/>
    <s v="Laboratory Technician"/>
    <n v="3"/>
    <s v="Married"/>
    <n v="2610"/>
    <n v="6233"/>
    <n v="1"/>
    <s v="Y"/>
    <s v="No"/>
    <n v="12"/>
    <n v="3"/>
    <n v="3"/>
    <n v="80"/>
    <n v="1"/>
    <n v="2"/>
    <n v="5"/>
    <n v="2"/>
    <n v="2"/>
    <n v="2"/>
    <n v="2"/>
    <n v="2"/>
    <s v="LAB-1160"/>
    <x v="2"/>
    <x v="1"/>
    <x v="0"/>
    <n v="2"/>
    <x v="0"/>
  </r>
  <r>
    <n v="37"/>
    <s v="No"/>
    <s v="Travel_Rarely"/>
    <n v="367"/>
    <x v="1"/>
    <n v="25"/>
    <n v="2"/>
    <s v="Medical"/>
    <n v="1"/>
    <n v="1161"/>
    <n v="3"/>
    <s v="Female"/>
    <n v="52"/>
    <n v="2"/>
    <n v="2"/>
    <s v="Healthcare Representative"/>
    <n v="4"/>
    <s v="Divorced"/>
    <n v="5731"/>
    <n v="17171"/>
    <n v="7"/>
    <s v="Y"/>
    <s v="No"/>
    <n v="13"/>
    <n v="3"/>
    <n v="3"/>
    <n v="80"/>
    <n v="2"/>
    <n v="9"/>
    <n v="2"/>
    <n v="3"/>
    <n v="6"/>
    <n v="2"/>
    <n v="1"/>
    <n v="3"/>
    <s v="LAB-1161"/>
    <x v="4"/>
    <x v="1"/>
    <x v="1"/>
    <n v="6"/>
    <x v="0"/>
  </r>
  <r>
    <n v="27"/>
    <s v="No"/>
    <s v="Travel_Rarely"/>
    <n v="199"/>
    <x v="1"/>
    <n v="6"/>
    <n v="3"/>
    <s v="Life Sciences"/>
    <n v="1"/>
    <n v="1162"/>
    <n v="4"/>
    <s v="Male"/>
    <n v="55"/>
    <n v="2"/>
    <n v="1"/>
    <s v="Research Scientist"/>
    <n v="3"/>
    <s v="Married"/>
    <n v="2539"/>
    <n v="7950"/>
    <n v="1"/>
    <s v="Y"/>
    <s v="No"/>
    <n v="13"/>
    <n v="3"/>
    <n v="3"/>
    <n v="80"/>
    <n v="1"/>
    <n v="4"/>
    <n v="0"/>
    <n v="3"/>
    <n v="4"/>
    <n v="2"/>
    <n v="2"/>
    <n v="2"/>
    <s v="LAB-1162"/>
    <x v="1"/>
    <x v="1"/>
    <x v="1"/>
    <n v="4"/>
    <x v="0"/>
  </r>
  <r>
    <n v="34"/>
    <s v="No"/>
    <s v="Travel_Rarely"/>
    <n v="1400"/>
    <x v="0"/>
    <n v="9"/>
    <n v="1"/>
    <s v="Life Sciences"/>
    <n v="1"/>
    <n v="1163"/>
    <n v="2"/>
    <s v="Female"/>
    <n v="70"/>
    <n v="3"/>
    <n v="2"/>
    <s v="Sales Executive"/>
    <n v="3"/>
    <s v="Married"/>
    <n v="5714"/>
    <n v="5829"/>
    <n v="1"/>
    <s v="Y"/>
    <s v="No"/>
    <n v="20"/>
    <n v="4"/>
    <n v="1"/>
    <n v="80"/>
    <n v="0"/>
    <n v="6"/>
    <n v="3"/>
    <n v="2"/>
    <n v="6"/>
    <n v="5"/>
    <n v="1"/>
    <n v="3"/>
    <s v="LAB-1163"/>
    <x v="0"/>
    <x v="0"/>
    <x v="1"/>
    <n v="6"/>
    <x v="0"/>
  </r>
  <r>
    <n v="35"/>
    <s v="No"/>
    <s v="Travel_Rarely"/>
    <n v="528"/>
    <x v="2"/>
    <n v="8"/>
    <n v="4"/>
    <s v="Technical Degree"/>
    <n v="1"/>
    <n v="1164"/>
    <n v="3"/>
    <s v="Male"/>
    <n v="100"/>
    <n v="3"/>
    <n v="1"/>
    <s v="Human Resources"/>
    <n v="3"/>
    <s v="Single"/>
    <n v="4323"/>
    <n v="7108"/>
    <n v="1"/>
    <s v="Y"/>
    <s v="No"/>
    <n v="17"/>
    <n v="3"/>
    <n v="2"/>
    <n v="80"/>
    <n v="0"/>
    <n v="6"/>
    <n v="2"/>
    <n v="1"/>
    <n v="5"/>
    <n v="4"/>
    <n v="1"/>
    <n v="4"/>
    <s v="LAB-1164"/>
    <x v="8"/>
    <x v="2"/>
    <x v="1"/>
    <n v="5"/>
    <x v="0"/>
  </r>
  <r>
    <n v="29"/>
    <s v="Yes"/>
    <s v="Travel_Rarely"/>
    <n v="408"/>
    <x v="0"/>
    <n v="23"/>
    <n v="1"/>
    <s v="Life Sciences"/>
    <n v="1"/>
    <n v="1165"/>
    <n v="4"/>
    <s v="Female"/>
    <n v="45"/>
    <n v="2"/>
    <n v="3"/>
    <s v="Sales Executive"/>
    <n v="1"/>
    <s v="Married"/>
    <n v="7336"/>
    <n v="11162"/>
    <n v="1"/>
    <s v="Y"/>
    <s v="No"/>
    <n v="13"/>
    <n v="3"/>
    <n v="1"/>
    <n v="80"/>
    <n v="1"/>
    <n v="11"/>
    <n v="3"/>
    <n v="1"/>
    <n v="11"/>
    <n v="8"/>
    <n v="3"/>
    <n v="10"/>
    <s v="LAB-1165"/>
    <x v="0"/>
    <x v="0"/>
    <x v="0"/>
    <n v="11"/>
    <x v="0"/>
  </r>
  <r>
    <n v="40"/>
    <s v="No"/>
    <s v="Travel_Frequently"/>
    <n v="593"/>
    <x v="1"/>
    <n v="9"/>
    <n v="4"/>
    <s v="Medical"/>
    <n v="1"/>
    <n v="1166"/>
    <n v="2"/>
    <s v="Female"/>
    <n v="88"/>
    <n v="3"/>
    <n v="3"/>
    <s v="Research Director"/>
    <n v="3"/>
    <s v="Single"/>
    <n v="13499"/>
    <n v="13782"/>
    <n v="9"/>
    <s v="Y"/>
    <s v="No"/>
    <n v="17"/>
    <n v="3"/>
    <n v="3"/>
    <n v="80"/>
    <n v="0"/>
    <n v="20"/>
    <n v="3"/>
    <n v="2"/>
    <n v="18"/>
    <n v="7"/>
    <n v="2"/>
    <n v="13"/>
    <s v="LAB-1166"/>
    <x v="7"/>
    <x v="1"/>
    <x v="1"/>
    <n v="18"/>
    <x v="0"/>
  </r>
  <r>
    <n v="42"/>
    <s v="Yes"/>
    <s v="Travel_Frequently"/>
    <n v="481"/>
    <x v="0"/>
    <n v="12"/>
    <n v="3"/>
    <s v="Life Sciences"/>
    <n v="1"/>
    <n v="1167"/>
    <n v="3"/>
    <s v="Male"/>
    <n v="44"/>
    <n v="3"/>
    <n v="4"/>
    <s v="Sales Executive"/>
    <n v="1"/>
    <s v="Single"/>
    <n v="13758"/>
    <n v="2447"/>
    <n v="0"/>
    <s v="Y"/>
    <s v="Yes"/>
    <n v="12"/>
    <n v="3"/>
    <n v="2"/>
    <n v="80"/>
    <n v="0"/>
    <n v="22"/>
    <n v="2"/>
    <n v="2"/>
    <n v="21"/>
    <n v="9"/>
    <n v="13"/>
    <n v="14"/>
    <s v="LAB-1167"/>
    <x v="0"/>
    <x v="0"/>
    <x v="0"/>
    <n v="21"/>
    <x v="0"/>
  </r>
  <r>
    <n v="42"/>
    <s v="No"/>
    <s v="Travel_Rarely"/>
    <n v="647"/>
    <x v="0"/>
    <n v="4"/>
    <n v="4"/>
    <s v="Marketing"/>
    <n v="1"/>
    <n v="1171"/>
    <n v="2"/>
    <s v="Male"/>
    <n v="45"/>
    <n v="3"/>
    <n v="2"/>
    <s v="Sales Executive"/>
    <n v="1"/>
    <s v="Single"/>
    <n v="5155"/>
    <n v="2253"/>
    <n v="7"/>
    <s v="Y"/>
    <s v="No"/>
    <n v="13"/>
    <n v="3"/>
    <n v="4"/>
    <n v="80"/>
    <n v="0"/>
    <n v="9"/>
    <n v="3"/>
    <n v="4"/>
    <n v="6"/>
    <n v="4"/>
    <n v="1"/>
    <n v="5"/>
    <s v="LAB-1171"/>
    <x v="0"/>
    <x v="0"/>
    <x v="1"/>
    <n v="6"/>
    <x v="0"/>
  </r>
  <r>
    <n v="35"/>
    <s v="No"/>
    <s v="Travel_Rarely"/>
    <n v="982"/>
    <x v="1"/>
    <n v="1"/>
    <n v="4"/>
    <s v="Medical"/>
    <n v="1"/>
    <n v="1172"/>
    <n v="4"/>
    <s v="Male"/>
    <n v="58"/>
    <n v="2"/>
    <n v="1"/>
    <s v="Laboratory Technician"/>
    <n v="3"/>
    <s v="Married"/>
    <n v="2258"/>
    <n v="16340"/>
    <n v="6"/>
    <s v="Y"/>
    <s v="No"/>
    <n v="12"/>
    <n v="3"/>
    <n v="2"/>
    <n v="80"/>
    <n v="1"/>
    <n v="10"/>
    <n v="2"/>
    <n v="3"/>
    <n v="8"/>
    <n v="0"/>
    <n v="1"/>
    <n v="7"/>
    <s v="LAB-1172"/>
    <x v="2"/>
    <x v="1"/>
    <x v="1"/>
    <n v="8"/>
    <x v="0"/>
  </r>
  <r>
    <n v="24"/>
    <s v="No"/>
    <s v="Travel_Rarely"/>
    <n v="477"/>
    <x v="1"/>
    <n v="24"/>
    <n v="3"/>
    <s v="Medical"/>
    <n v="1"/>
    <n v="1173"/>
    <n v="4"/>
    <s v="Male"/>
    <n v="49"/>
    <n v="3"/>
    <n v="1"/>
    <s v="Laboratory Technician"/>
    <n v="2"/>
    <s v="Single"/>
    <n v="3597"/>
    <n v="6409"/>
    <n v="8"/>
    <s v="Y"/>
    <s v="No"/>
    <n v="22"/>
    <n v="4"/>
    <n v="4"/>
    <n v="80"/>
    <n v="0"/>
    <n v="6"/>
    <n v="2"/>
    <n v="3"/>
    <n v="4"/>
    <n v="3"/>
    <n v="1"/>
    <n v="2"/>
    <s v="LAB-1173"/>
    <x v="2"/>
    <x v="1"/>
    <x v="1"/>
    <n v="4"/>
    <x v="0"/>
  </r>
  <r>
    <n v="28"/>
    <s v="Yes"/>
    <s v="Travel_Rarely"/>
    <n v="1485"/>
    <x v="1"/>
    <n v="12"/>
    <n v="1"/>
    <s v="Life Sciences"/>
    <n v="1"/>
    <n v="1175"/>
    <n v="3"/>
    <s v="Female"/>
    <n v="79"/>
    <n v="3"/>
    <n v="1"/>
    <s v="Laboratory Technician"/>
    <n v="4"/>
    <s v="Married"/>
    <n v="2515"/>
    <n v="22955"/>
    <n v="1"/>
    <s v="Y"/>
    <s v="Yes"/>
    <n v="11"/>
    <n v="3"/>
    <n v="4"/>
    <n v="80"/>
    <n v="0"/>
    <n v="1"/>
    <n v="4"/>
    <n v="2"/>
    <n v="1"/>
    <n v="1"/>
    <n v="0"/>
    <n v="0"/>
    <s v="LAB-1175"/>
    <x v="2"/>
    <x v="1"/>
    <x v="0"/>
    <n v="1"/>
    <x v="0"/>
  </r>
  <r>
    <n v="26"/>
    <s v="No"/>
    <s v="Travel_Rarely"/>
    <n v="1384"/>
    <x v="1"/>
    <n v="3"/>
    <n v="4"/>
    <s v="Medical"/>
    <n v="1"/>
    <n v="1177"/>
    <n v="1"/>
    <s v="Male"/>
    <n v="82"/>
    <n v="4"/>
    <n v="1"/>
    <s v="Laboratory Technician"/>
    <n v="4"/>
    <s v="Married"/>
    <n v="4420"/>
    <n v="13421"/>
    <n v="1"/>
    <s v="Y"/>
    <s v="No"/>
    <n v="22"/>
    <n v="4"/>
    <n v="2"/>
    <n v="80"/>
    <n v="1"/>
    <n v="8"/>
    <n v="2"/>
    <n v="3"/>
    <n v="8"/>
    <n v="7"/>
    <n v="0"/>
    <n v="7"/>
    <s v="LAB-1177"/>
    <x v="2"/>
    <x v="1"/>
    <x v="1"/>
    <n v="8"/>
    <x v="0"/>
  </r>
  <r>
    <n v="30"/>
    <s v="No"/>
    <s v="Travel_Rarely"/>
    <n v="852"/>
    <x v="0"/>
    <n v="10"/>
    <n v="3"/>
    <s v="Marketing"/>
    <n v="1"/>
    <n v="1179"/>
    <n v="3"/>
    <s v="Male"/>
    <n v="72"/>
    <n v="2"/>
    <n v="2"/>
    <s v="Sales Executive"/>
    <n v="3"/>
    <s v="Married"/>
    <n v="6578"/>
    <n v="2706"/>
    <n v="1"/>
    <s v="Y"/>
    <s v="No"/>
    <n v="18"/>
    <n v="3"/>
    <n v="1"/>
    <n v="80"/>
    <n v="1"/>
    <n v="10"/>
    <n v="3"/>
    <n v="3"/>
    <n v="10"/>
    <n v="3"/>
    <n v="1"/>
    <n v="4"/>
    <s v="LAB-1179"/>
    <x v="0"/>
    <x v="0"/>
    <x v="1"/>
    <n v="10"/>
    <x v="0"/>
  </r>
  <r>
    <n v="40"/>
    <s v="No"/>
    <s v="Travel_Frequently"/>
    <n v="902"/>
    <x v="1"/>
    <n v="26"/>
    <n v="2"/>
    <s v="Medical"/>
    <n v="1"/>
    <n v="1180"/>
    <n v="3"/>
    <s v="Female"/>
    <n v="92"/>
    <n v="2"/>
    <n v="2"/>
    <s v="Research Scientist"/>
    <n v="4"/>
    <s v="Married"/>
    <n v="4422"/>
    <n v="21203"/>
    <n v="3"/>
    <s v="Y"/>
    <s v="Yes"/>
    <n v="13"/>
    <n v="3"/>
    <n v="4"/>
    <n v="80"/>
    <n v="1"/>
    <n v="16"/>
    <n v="3"/>
    <n v="1"/>
    <n v="1"/>
    <n v="1"/>
    <n v="0"/>
    <n v="0"/>
    <s v="LAB-1180"/>
    <x v="1"/>
    <x v="1"/>
    <x v="1"/>
    <n v="1"/>
    <x v="0"/>
  </r>
  <r>
    <n v="35"/>
    <s v="No"/>
    <s v="Travel_Rarely"/>
    <n v="819"/>
    <x v="1"/>
    <n v="2"/>
    <n v="3"/>
    <s v="Life Sciences"/>
    <n v="1"/>
    <n v="1182"/>
    <n v="3"/>
    <s v="Male"/>
    <n v="44"/>
    <n v="2"/>
    <n v="3"/>
    <s v="Manufacturing Director"/>
    <n v="2"/>
    <s v="Divorced"/>
    <n v="10274"/>
    <n v="19588"/>
    <n v="2"/>
    <s v="Y"/>
    <s v="No"/>
    <n v="18"/>
    <n v="3"/>
    <n v="2"/>
    <n v="80"/>
    <n v="1"/>
    <n v="15"/>
    <n v="2"/>
    <n v="4"/>
    <n v="7"/>
    <n v="7"/>
    <n v="6"/>
    <n v="4"/>
    <s v="LAB-1182"/>
    <x v="3"/>
    <x v="1"/>
    <x v="1"/>
    <n v="7"/>
    <x v="0"/>
  </r>
  <r>
    <n v="34"/>
    <s v="No"/>
    <s v="Travel_Frequently"/>
    <n v="669"/>
    <x v="1"/>
    <n v="1"/>
    <n v="3"/>
    <s v="Medical"/>
    <n v="1"/>
    <n v="1184"/>
    <n v="4"/>
    <s v="Male"/>
    <n v="97"/>
    <n v="2"/>
    <n v="2"/>
    <s v="Healthcare Representative"/>
    <n v="1"/>
    <s v="Single"/>
    <n v="5343"/>
    <n v="25755"/>
    <n v="0"/>
    <s v="Y"/>
    <s v="No"/>
    <n v="20"/>
    <n v="4"/>
    <n v="3"/>
    <n v="80"/>
    <n v="0"/>
    <n v="14"/>
    <n v="3"/>
    <n v="3"/>
    <n v="13"/>
    <n v="9"/>
    <n v="4"/>
    <n v="9"/>
    <s v="LAB-1184"/>
    <x v="4"/>
    <x v="1"/>
    <x v="1"/>
    <n v="13"/>
    <x v="0"/>
  </r>
  <r>
    <n v="35"/>
    <s v="No"/>
    <s v="Travel_Frequently"/>
    <n v="636"/>
    <x v="1"/>
    <n v="4"/>
    <n v="4"/>
    <s v="Other"/>
    <n v="1"/>
    <n v="1185"/>
    <n v="4"/>
    <s v="Male"/>
    <n v="47"/>
    <n v="2"/>
    <n v="1"/>
    <s v="Laboratory Technician"/>
    <n v="4"/>
    <s v="Married"/>
    <n v="2376"/>
    <n v="26537"/>
    <n v="1"/>
    <s v="Y"/>
    <s v="No"/>
    <n v="13"/>
    <n v="3"/>
    <n v="2"/>
    <n v="80"/>
    <n v="1"/>
    <n v="2"/>
    <n v="2"/>
    <n v="4"/>
    <n v="2"/>
    <n v="2"/>
    <n v="2"/>
    <n v="2"/>
    <s v="LAB-1185"/>
    <x v="2"/>
    <x v="1"/>
    <x v="1"/>
    <n v="2"/>
    <x v="0"/>
  </r>
  <r>
    <n v="43"/>
    <s v="Yes"/>
    <s v="Travel_Rarely"/>
    <n v="1372"/>
    <x v="0"/>
    <n v="9"/>
    <n v="3"/>
    <s v="Marketing"/>
    <n v="1"/>
    <n v="1188"/>
    <n v="1"/>
    <s v="Female"/>
    <n v="85"/>
    <n v="1"/>
    <n v="2"/>
    <s v="Sales Executive"/>
    <n v="3"/>
    <s v="Single"/>
    <n v="5346"/>
    <n v="9489"/>
    <n v="8"/>
    <s v="Y"/>
    <s v="No"/>
    <n v="13"/>
    <n v="3"/>
    <n v="2"/>
    <n v="80"/>
    <n v="0"/>
    <n v="7"/>
    <n v="2"/>
    <n v="2"/>
    <n v="4"/>
    <n v="3"/>
    <n v="1"/>
    <n v="3"/>
    <s v="LAB-1188"/>
    <x v="0"/>
    <x v="0"/>
    <x v="0"/>
    <n v="4"/>
    <x v="0"/>
  </r>
  <r>
    <n v="32"/>
    <s v="No"/>
    <s v="Non-Travel"/>
    <n v="862"/>
    <x v="0"/>
    <n v="2"/>
    <n v="1"/>
    <s v="Life Sciences"/>
    <n v="1"/>
    <n v="1190"/>
    <n v="3"/>
    <s v="Female"/>
    <n v="76"/>
    <n v="3"/>
    <n v="1"/>
    <s v="Sales Representative"/>
    <n v="1"/>
    <s v="Divorced"/>
    <n v="2827"/>
    <n v="14947"/>
    <n v="1"/>
    <s v="Y"/>
    <s v="No"/>
    <n v="12"/>
    <n v="3"/>
    <n v="3"/>
    <n v="80"/>
    <n v="3"/>
    <n v="1"/>
    <n v="3"/>
    <n v="3"/>
    <n v="1"/>
    <n v="0"/>
    <n v="0"/>
    <n v="0"/>
    <s v="LAB-1190"/>
    <x v="6"/>
    <x v="0"/>
    <x v="1"/>
    <n v="1"/>
    <x v="0"/>
  </r>
  <r>
    <n v="56"/>
    <s v="No"/>
    <s v="Travel_Rarely"/>
    <n v="718"/>
    <x v="1"/>
    <n v="4"/>
    <n v="4"/>
    <s v="Technical Degree"/>
    <n v="1"/>
    <n v="1191"/>
    <n v="4"/>
    <s v="Female"/>
    <n v="92"/>
    <n v="3"/>
    <n v="5"/>
    <s v="Manager"/>
    <n v="1"/>
    <s v="Divorced"/>
    <n v="19943"/>
    <n v="18575"/>
    <n v="4"/>
    <s v="Y"/>
    <s v="No"/>
    <n v="13"/>
    <n v="3"/>
    <n v="4"/>
    <n v="80"/>
    <n v="1"/>
    <n v="28"/>
    <n v="2"/>
    <n v="3"/>
    <n v="5"/>
    <n v="2"/>
    <n v="4"/>
    <n v="2"/>
    <s v="LAB-1191"/>
    <x v="5"/>
    <x v="1"/>
    <x v="1"/>
    <n v="5"/>
    <x v="0"/>
  </r>
  <r>
    <n v="29"/>
    <s v="No"/>
    <s v="Travel_Rarely"/>
    <n v="1401"/>
    <x v="1"/>
    <n v="6"/>
    <n v="1"/>
    <s v="Medical"/>
    <n v="1"/>
    <n v="1192"/>
    <n v="2"/>
    <s v="Female"/>
    <n v="54"/>
    <n v="3"/>
    <n v="1"/>
    <s v="Laboratory Technician"/>
    <n v="4"/>
    <s v="Married"/>
    <n v="3131"/>
    <n v="26342"/>
    <n v="1"/>
    <s v="Y"/>
    <s v="No"/>
    <n v="13"/>
    <n v="3"/>
    <n v="1"/>
    <n v="80"/>
    <n v="1"/>
    <n v="10"/>
    <n v="5"/>
    <n v="3"/>
    <n v="10"/>
    <n v="8"/>
    <n v="0"/>
    <n v="8"/>
    <s v="LAB-1192"/>
    <x v="2"/>
    <x v="1"/>
    <x v="1"/>
    <n v="10"/>
    <x v="0"/>
  </r>
  <r>
    <n v="19"/>
    <s v="No"/>
    <s v="Travel_Rarely"/>
    <n v="645"/>
    <x v="1"/>
    <n v="9"/>
    <n v="2"/>
    <s v="Life Sciences"/>
    <n v="1"/>
    <n v="1193"/>
    <n v="3"/>
    <s v="Male"/>
    <n v="54"/>
    <n v="3"/>
    <n v="1"/>
    <s v="Research Scientist"/>
    <n v="1"/>
    <s v="Single"/>
    <n v="2552"/>
    <n v="7172"/>
    <n v="1"/>
    <s v="Y"/>
    <s v="No"/>
    <n v="25"/>
    <n v="4"/>
    <n v="3"/>
    <n v="80"/>
    <n v="0"/>
    <n v="1"/>
    <n v="4"/>
    <n v="3"/>
    <n v="1"/>
    <n v="1"/>
    <n v="0"/>
    <n v="0"/>
    <s v="LAB-1193"/>
    <x v="1"/>
    <x v="1"/>
    <x v="1"/>
    <n v="1"/>
    <x v="0"/>
  </r>
  <r>
    <n v="45"/>
    <s v="No"/>
    <s v="Travel_Rarely"/>
    <n v="1457"/>
    <x v="1"/>
    <n v="7"/>
    <n v="3"/>
    <s v="Medical"/>
    <n v="1"/>
    <n v="1195"/>
    <n v="1"/>
    <s v="Female"/>
    <n v="83"/>
    <n v="3"/>
    <n v="1"/>
    <s v="Research Scientist"/>
    <n v="3"/>
    <s v="Married"/>
    <n v="4477"/>
    <n v="20100"/>
    <n v="4"/>
    <s v="Y"/>
    <s v="Yes"/>
    <n v="19"/>
    <n v="3"/>
    <n v="3"/>
    <n v="80"/>
    <n v="1"/>
    <n v="7"/>
    <n v="2"/>
    <n v="2"/>
    <n v="3"/>
    <n v="2"/>
    <n v="0"/>
    <n v="2"/>
    <s v="LAB-1195"/>
    <x v="1"/>
    <x v="1"/>
    <x v="1"/>
    <n v="3"/>
    <x v="0"/>
  </r>
  <r>
    <n v="37"/>
    <s v="No"/>
    <s v="Travel_Rarely"/>
    <n v="977"/>
    <x v="1"/>
    <n v="1"/>
    <n v="3"/>
    <s v="Life Sciences"/>
    <n v="1"/>
    <n v="1196"/>
    <n v="4"/>
    <s v="Female"/>
    <n v="56"/>
    <n v="2"/>
    <n v="2"/>
    <s v="Manufacturing Director"/>
    <n v="4"/>
    <s v="Married"/>
    <n v="6474"/>
    <n v="9961"/>
    <n v="1"/>
    <s v="Y"/>
    <s v="No"/>
    <n v="13"/>
    <n v="3"/>
    <n v="2"/>
    <n v="80"/>
    <n v="1"/>
    <n v="14"/>
    <n v="2"/>
    <n v="2"/>
    <n v="14"/>
    <n v="8"/>
    <n v="3"/>
    <n v="11"/>
    <s v="LAB-1196"/>
    <x v="3"/>
    <x v="1"/>
    <x v="1"/>
    <n v="14"/>
    <x v="0"/>
  </r>
  <r>
    <n v="20"/>
    <s v="No"/>
    <s v="Travel_Rarely"/>
    <n v="805"/>
    <x v="1"/>
    <n v="3"/>
    <n v="3"/>
    <s v="Life Sciences"/>
    <n v="1"/>
    <n v="1198"/>
    <n v="1"/>
    <s v="Male"/>
    <n v="87"/>
    <n v="2"/>
    <n v="1"/>
    <s v="Laboratory Technician"/>
    <n v="3"/>
    <s v="Single"/>
    <n v="3033"/>
    <n v="12828"/>
    <n v="1"/>
    <s v="Y"/>
    <s v="No"/>
    <n v="12"/>
    <n v="3"/>
    <n v="1"/>
    <n v="80"/>
    <n v="0"/>
    <n v="2"/>
    <n v="2"/>
    <n v="2"/>
    <n v="2"/>
    <n v="2"/>
    <n v="1"/>
    <n v="2"/>
    <s v="LAB-1198"/>
    <x v="2"/>
    <x v="1"/>
    <x v="1"/>
    <n v="2"/>
    <x v="0"/>
  </r>
  <r>
    <n v="44"/>
    <s v="Yes"/>
    <s v="Travel_Rarely"/>
    <n v="1097"/>
    <x v="1"/>
    <n v="10"/>
    <n v="4"/>
    <s v="Life Sciences"/>
    <n v="1"/>
    <n v="1200"/>
    <n v="3"/>
    <s v="Male"/>
    <n v="96"/>
    <n v="3"/>
    <n v="1"/>
    <s v="Research Scientist"/>
    <n v="3"/>
    <s v="Single"/>
    <n v="2936"/>
    <n v="10826"/>
    <n v="1"/>
    <s v="Y"/>
    <s v="Yes"/>
    <n v="11"/>
    <n v="3"/>
    <n v="3"/>
    <n v="80"/>
    <n v="0"/>
    <n v="6"/>
    <n v="4"/>
    <n v="3"/>
    <n v="6"/>
    <n v="4"/>
    <n v="0"/>
    <n v="2"/>
    <s v="LAB-1200"/>
    <x v="1"/>
    <x v="1"/>
    <x v="0"/>
    <n v="6"/>
    <x v="0"/>
  </r>
  <r>
    <n v="53"/>
    <s v="No"/>
    <s v="Travel_Rarely"/>
    <n v="1223"/>
    <x v="1"/>
    <n v="7"/>
    <n v="2"/>
    <s v="Medical"/>
    <n v="1"/>
    <n v="1201"/>
    <n v="4"/>
    <s v="Female"/>
    <n v="50"/>
    <n v="3"/>
    <n v="5"/>
    <s v="Manager"/>
    <n v="3"/>
    <s v="Divorced"/>
    <n v="18606"/>
    <n v="18640"/>
    <n v="3"/>
    <s v="Y"/>
    <s v="No"/>
    <n v="18"/>
    <n v="3"/>
    <n v="2"/>
    <n v="80"/>
    <n v="1"/>
    <n v="26"/>
    <n v="6"/>
    <n v="3"/>
    <n v="7"/>
    <n v="7"/>
    <n v="4"/>
    <n v="7"/>
    <s v="LAB-1201"/>
    <x v="5"/>
    <x v="1"/>
    <x v="1"/>
    <n v="7"/>
    <x v="0"/>
  </r>
  <r>
    <n v="29"/>
    <s v="No"/>
    <s v="Travel_Rarely"/>
    <n v="942"/>
    <x v="1"/>
    <n v="15"/>
    <n v="1"/>
    <s v="Life Sciences"/>
    <n v="1"/>
    <n v="1202"/>
    <n v="2"/>
    <s v="Female"/>
    <n v="69"/>
    <n v="1"/>
    <n v="1"/>
    <s v="Research Scientist"/>
    <n v="4"/>
    <s v="Married"/>
    <n v="2168"/>
    <n v="26933"/>
    <n v="0"/>
    <s v="Y"/>
    <s v="Yes"/>
    <n v="18"/>
    <n v="3"/>
    <n v="1"/>
    <n v="80"/>
    <n v="1"/>
    <n v="6"/>
    <n v="2"/>
    <n v="2"/>
    <n v="5"/>
    <n v="4"/>
    <n v="1"/>
    <n v="3"/>
    <s v="LAB-1202"/>
    <x v="1"/>
    <x v="1"/>
    <x v="1"/>
    <n v="5"/>
    <x v="0"/>
  </r>
  <r>
    <n v="22"/>
    <s v="Yes"/>
    <s v="Travel_Frequently"/>
    <n v="1256"/>
    <x v="1"/>
    <n v="3"/>
    <n v="4"/>
    <s v="Life Sciences"/>
    <n v="1"/>
    <n v="1203"/>
    <n v="3"/>
    <s v="Male"/>
    <n v="48"/>
    <n v="2"/>
    <n v="1"/>
    <s v="Research Scientist"/>
    <n v="4"/>
    <s v="Married"/>
    <n v="2853"/>
    <n v="4223"/>
    <n v="0"/>
    <s v="Y"/>
    <s v="Yes"/>
    <n v="11"/>
    <n v="3"/>
    <n v="2"/>
    <n v="80"/>
    <n v="1"/>
    <n v="1"/>
    <n v="5"/>
    <n v="3"/>
    <n v="0"/>
    <n v="0"/>
    <n v="0"/>
    <n v="0"/>
    <s v="LAB-1203"/>
    <x v="1"/>
    <x v="1"/>
    <x v="0"/>
    <n v="0"/>
    <x v="0"/>
  </r>
  <r>
    <n v="46"/>
    <s v="No"/>
    <s v="Travel_Rarely"/>
    <n v="1402"/>
    <x v="0"/>
    <n v="2"/>
    <n v="3"/>
    <s v="Marketing"/>
    <n v="1"/>
    <n v="1204"/>
    <n v="3"/>
    <s v="Female"/>
    <n v="69"/>
    <n v="3"/>
    <n v="4"/>
    <s v="Manager"/>
    <n v="1"/>
    <s v="Married"/>
    <n v="17048"/>
    <n v="24097"/>
    <n v="8"/>
    <s v="Y"/>
    <s v="No"/>
    <n v="23"/>
    <n v="4"/>
    <n v="1"/>
    <n v="80"/>
    <n v="0"/>
    <n v="28"/>
    <n v="2"/>
    <n v="3"/>
    <n v="26"/>
    <n v="15"/>
    <n v="15"/>
    <n v="9"/>
    <s v="LAB-1204"/>
    <x v="5"/>
    <x v="0"/>
    <x v="1"/>
    <n v="26"/>
    <x v="0"/>
  </r>
  <r>
    <n v="44"/>
    <s v="No"/>
    <s v="Non-Travel"/>
    <n v="111"/>
    <x v="1"/>
    <n v="17"/>
    <n v="3"/>
    <s v="Life Sciences"/>
    <n v="1"/>
    <n v="1206"/>
    <n v="4"/>
    <s v="Male"/>
    <n v="74"/>
    <n v="1"/>
    <n v="1"/>
    <s v="Research Scientist"/>
    <n v="3"/>
    <s v="Single"/>
    <n v="2290"/>
    <n v="4279"/>
    <n v="2"/>
    <s v="Y"/>
    <s v="No"/>
    <n v="13"/>
    <n v="3"/>
    <n v="4"/>
    <n v="80"/>
    <n v="0"/>
    <n v="6"/>
    <n v="3"/>
    <n v="3"/>
    <n v="0"/>
    <n v="0"/>
    <n v="0"/>
    <n v="0"/>
    <s v="LAB-1206"/>
    <x v="1"/>
    <x v="1"/>
    <x v="1"/>
    <n v="0"/>
    <x v="0"/>
  </r>
  <r>
    <n v="33"/>
    <s v="No"/>
    <s v="Travel_Rarely"/>
    <n v="147"/>
    <x v="2"/>
    <n v="2"/>
    <n v="3"/>
    <s v="Human Resources"/>
    <n v="1"/>
    <n v="1207"/>
    <n v="2"/>
    <s v="Male"/>
    <n v="99"/>
    <n v="3"/>
    <n v="1"/>
    <s v="Human Resources"/>
    <n v="3"/>
    <s v="Married"/>
    <n v="3600"/>
    <n v="8429"/>
    <n v="1"/>
    <s v="Y"/>
    <s v="No"/>
    <n v="13"/>
    <n v="3"/>
    <n v="4"/>
    <n v="80"/>
    <n v="1"/>
    <n v="5"/>
    <n v="2"/>
    <n v="3"/>
    <n v="5"/>
    <n v="4"/>
    <n v="1"/>
    <n v="4"/>
    <s v="LAB-1207"/>
    <x v="8"/>
    <x v="2"/>
    <x v="1"/>
    <n v="5"/>
    <x v="0"/>
  </r>
  <r>
    <n v="41"/>
    <s v="Yes"/>
    <s v="Non-Travel"/>
    <n v="906"/>
    <x v="1"/>
    <n v="5"/>
    <n v="2"/>
    <s v="Life Sciences"/>
    <n v="1"/>
    <n v="1210"/>
    <n v="1"/>
    <s v="Male"/>
    <n v="95"/>
    <n v="2"/>
    <n v="1"/>
    <s v="Research Scientist"/>
    <n v="1"/>
    <s v="Divorced"/>
    <n v="2107"/>
    <n v="20293"/>
    <n v="6"/>
    <s v="Y"/>
    <s v="No"/>
    <n v="17"/>
    <n v="3"/>
    <n v="1"/>
    <n v="80"/>
    <n v="1"/>
    <n v="5"/>
    <n v="2"/>
    <n v="1"/>
    <n v="1"/>
    <n v="0"/>
    <n v="0"/>
    <n v="0"/>
    <s v="LAB-1210"/>
    <x v="1"/>
    <x v="1"/>
    <x v="0"/>
    <n v="1"/>
    <x v="0"/>
  </r>
  <r>
    <n v="30"/>
    <s v="No"/>
    <s v="Travel_Rarely"/>
    <n v="1329"/>
    <x v="0"/>
    <n v="29"/>
    <n v="4"/>
    <s v="Life Sciences"/>
    <n v="1"/>
    <n v="1211"/>
    <n v="3"/>
    <s v="Male"/>
    <n v="61"/>
    <n v="3"/>
    <n v="2"/>
    <s v="Sales Executive"/>
    <n v="1"/>
    <s v="Divorced"/>
    <n v="4115"/>
    <n v="13192"/>
    <n v="8"/>
    <s v="Y"/>
    <s v="No"/>
    <n v="19"/>
    <n v="3"/>
    <n v="3"/>
    <n v="80"/>
    <n v="3"/>
    <n v="8"/>
    <n v="3"/>
    <n v="3"/>
    <n v="4"/>
    <n v="3"/>
    <n v="0"/>
    <n v="3"/>
    <s v="LAB-1211"/>
    <x v="0"/>
    <x v="0"/>
    <x v="1"/>
    <n v="4"/>
    <x v="0"/>
  </r>
  <r>
    <n v="40"/>
    <s v="No"/>
    <s v="Travel_Frequently"/>
    <n v="1184"/>
    <x v="0"/>
    <n v="2"/>
    <n v="4"/>
    <s v="Medical"/>
    <n v="1"/>
    <n v="1212"/>
    <n v="2"/>
    <s v="Male"/>
    <n v="62"/>
    <n v="3"/>
    <n v="2"/>
    <s v="Sales Executive"/>
    <n v="2"/>
    <s v="Married"/>
    <n v="4327"/>
    <n v="25440"/>
    <n v="5"/>
    <s v="Y"/>
    <s v="No"/>
    <n v="12"/>
    <n v="3"/>
    <n v="4"/>
    <n v="80"/>
    <n v="3"/>
    <n v="5"/>
    <n v="2"/>
    <n v="3"/>
    <n v="0"/>
    <n v="0"/>
    <n v="0"/>
    <n v="0"/>
    <s v="LAB-1212"/>
    <x v="0"/>
    <x v="0"/>
    <x v="1"/>
    <n v="0"/>
    <x v="0"/>
  </r>
  <r>
    <n v="50"/>
    <s v="No"/>
    <s v="Travel_Frequently"/>
    <n v="1421"/>
    <x v="1"/>
    <n v="2"/>
    <n v="3"/>
    <s v="Medical"/>
    <n v="1"/>
    <n v="1215"/>
    <n v="4"/>
    <s v="Female"/>
    <n v="30"/>
    <n v="3"/>
    <n v="4"/>
    <s v="Manager"/>
    <n v="1"/>
    <s v="Married"/>
    <n v="17856"/>
    <n v="9490"/>
    <n v="2"/>
    <s v="Y"/>
    <s v="No"/>
    <n v="22"/>
    <n v="4"/>
    <n v="3"/>
    <n v="80"/>
    <n v="1"/>
    <n v="32"/>
    <n v="3"/>
    <n v="3"/>
    <n v="2"/>
    <n v="2"/>
    <n v="2"/>
    <n v="2"/>
    <s v="LAB-1215"/>
    <x v="5"/>
    <x v="1"/>
    <x v="1"/>
    <n v="2"/>
    <x v="0"/>
  </r>
  <r>
    <n v="28"/>
    <s v="No"/>
    <s v="Travel_Rarely"/>
    <n v="1179"/>
    <x v="1"/>
    <n v="19"/>
    <n v="4"/>
    <s v="Medical"/>
    <n v="1"/>
    <n v="1216"/>
    <n v="4"/>
    <s v="Male"/>
    <n v="78"/>
    <n v="2"/>
    <n v="1"/>
    <s v="Laboratory Technician"/>
    <n v="1"/>
    <s v="Married"/>
    <n v="3196"/>
    <n v="12449"/>
    <n v="1"/>
    <s v="Y"/>
    <s v="No"/>
    <n v="12"/>
    <n v="3"/>
    <n v="3"/>
    <n v="80"/>
    <n v="3"/>
    <n v="6"/>
    <n v="2"/>
    <n v="3"/>
    <n v="6"/>
    <n v="5"/>
    <n v="3"/>
    <n v="3"/>
    <s v="LAB-1216"/>
    <x v="2"/>
    <x v="1"/>
    <x v="1"/>
    <n v="6"/>
    <x v="0"/>
  </r>
  <r>
    <n v="46"/>
    <s v="No"/>
    <s v="Travel_Rarely"/>
    <n v="1450"/>
    <x v="1"/>
    <n v="15"/>
    <n v="2"/>
    <s v="Life Sciences"/>
    <n v="1"/>
    <n v="1217"/>
    <n v="4"/>
    <s v="Male"/>
    <n v="52"/>
    <n v="3"/>
    <n v="5"/>
    <s v="Research Director"/>
    <n v="2"/>
    <s v="Married"/>
    <n v="19081"/>
    <n v="10849"/>
    <n v="5"/>
    <s v="Y"/>
    <s v="No"/>
    <n v="11"/>
    <n v="3"/>
    <n v="1"/>
    <n v="80"/>
    <n v="1"/>
    <n v="25"/>
    <n v="2"/>
    <n v="3"/>
    <n v="4"/>
    <n v="2"/>
    <n v="0"/>
    <n v="3"/>
    <s v="LAB-1217"/>
    <x v="7"/>
    <x v="1"/>
    <x v="1"/>
    <n v="4"/>
    <x v="0"/>
  </r>
  <r>
    <n v="35"/>
    <s v="No"/>
    <s v="Travel_Rarely"/>
    <n v="1361"/>
    <x v="0"/>
    <n v="17"/>
    <n v="4"/>
    <s v="Life Sciences"/>
    <n v="1"/>
    <n v="1218"/>
    <n v="3"/>
    <s v="Male"/>
    <n v="94"/>
    <n v="3"/>
    <n v="2"/>
    <s v="Sales Executive"/>
    <n v="1"/>
    <s v="Married"/>
    <n v="8966"/>
    <n v="21026"/>
    <n v="3"/>
    <s v="Y"/>
    <s v="Yes"/>
    <n v="15"/>
    <n v="3"/>
    <n v="4"/>
    <n v="80"/>
    <n v="3"/>
    <n v="15"/>
    <n v="2"/>
    <n v="3"/>
    <n v="7"/>
    <n v="7"/>
    <n v="1"/>
    <n v="7"/>
    <s v="LAB-1218"/>
    <x v="0"/>
    <x v="0"/>
    <x v="1"/>
    <n v="7"/>
    <x v="0"/>
  </r>
  <r>
    <n v="24"/>
    <s v="Yes"/>
    <s v="Travel_Rarely"/>
    <n v="984"/>
    <x v="1"/>
    <n v="17"/>
    <n v="2"/>
    <s v="Life Sciences"/>
    <n v="1"/>
    <n v="1219"/>
    <n v="4"/>
    <s v="Female"/>
    <n v="97"/>
    <n v="3"/>
    <n v="1"/>
    <s v="Laboratory Technician"/>
    <n v="2"/>
    <s v="Married"/>
    <n v="2210"/>
    <n v="3372"/>
    <n v="1"/>
    <s v="Y"/>
    <s v="No"/>
    <n v="13"/>
    <n v="3"/>
    <n v="1"/>
    <n v="80"/>
    <n v="1"/>
    <n v="1"/>
    <n v="3"/>
    <n v="1"/>
    <n v="1"/>
    <n v="0"/>
    <n v="0"/>
    <n v="0"/>
    <s v="LAB-1219"/>
    <x v="2"/>
    <x v="1"/>
    <x v="0"/>
    <n v="1"/>
    <x v="0"/>
  </r>
  <r>
    <n v="33"/>
    <s v="No"/>
    <s v="Travel_Frequently"/>
    <n v="1146"/>
    <x v="0"/>
    <n v="25"/>
    <n v="3"/>
    <s v="Medical"/>
    <n v="1"/>
    <n v="1220"/>
    <n v="2"/>
    <s v="Female"/>
    <n v="82"/>
    <n v="3"/>
    <n v="2"/>
    <s v="Sales Executive"/>
    <n v="3"/>
    <s v="Married"/>
    <n v="4539"/>
    <n v="4905"/>
    <n v="1"/>
    <s v="Y"/>
    <s v="No"/>
    <n v="12"/>
    <n v="3"/>
    <n v="1"/>
    <n v="80"/>
    <n v="1"/>
    <n v="10"/>
    <n v="3"/>
    <n v="2"/>
    <n v="10"/>
    <n v="7"/>
    <n v="0"/>
    <n v="1"/>
    <s v="LAB-1220"/>
    <x v="0"/>
    <x v="0"/>
    <x v="1"/>
    <n v="10"/>
    <x v="0"/>
  </r>
  <r>
    <n v="36"/>
    <s v="No"/>
    <s v="Travel_Rarely"/>
    <n v="917"/>
    <x v="1"/>
    <n v="6"/>
    <n v="4"/>
    <s v="Life Sciences"/>
    <n v="1"/>
    <n v="1221"/>
    <n v="3"/>
    <s v="Male"/>
    <n v="60"/>
    <n v="1"/>
    <n v="1"/>
    <s v="Laboratory Technician"/>
    <n v="3"/>
    <s v="Divorced"/>
    <n v="2741"/>
    <n v="6865"/>
    <n v="1"/>
    <s v="Y"/>
    <s v="No"/>
    <n v="14"/>
    <n v="3"/>
    <n v="3"/>
    <n v="80"/>
    <n v="1"/>
    <n v="7"/>
    <n v="4"/>
    <n v="3"/>
    <n v="7"/>
    <n v="7"/>
    <n v="1"/>
    <n v="7"/>
    <s v="LAB-1221"/>
    <x v="2"/>
    <x v="1"/>
    <x v="1"/>
    <n v="7"/>
    <x v="0"/>
  </r>
  <r>
    <n v="30"/>
    <s v="No"/>
    <s v="Travel_Rarely"/>
    <n v="853"/>
    <x v="1"/>
    <n v="7"/>
    <n v="4"/>
    <s v="Life Sciences"/>
    <n v="1"/>
    <n v="1224"/>
    <n v="3"/>
    <s v="Male"/>
    <n v="49"/>
    <n v="3"/>
    <n v="2"/>
    <s v="Laboratory Technician"/>
    <n v="3"/>
    <s v="Divorced"/>
    <n v="3491"/>
    <n v="11309"/>
    <n v="1"/>
    <s v="Y"/>
    <s v="No"/>
    <n v="13"/>
    <n v="3"/>
    <n v="1"/>
    <n v="80"/>
    <n v="3"/>
    <n v="10"/>
    <n v="4"/>
    <n v="2"/>
    <n v="10"/>
    <n v="7"/>
    <n v="8"/>
    <n v="9"/>
    <s v="LAB-1224"/>
    <x v="2"/>
    <x v="1"/>
    <x v="1"/>
    <n v="10"/>
    <x v="0"/>
  </r>
  <r>
    <n v="44"/>
    <s v="No"/>
    <s v="Travel_Rarely"/>
    <n v="200"/>
    <x v="1"/>
    <n v="29"/>
    <n v="4"/>
    <s v="Other"/>
    <n v="1"/>
    <n v="1225"/>
    <n v="4"/>
    <s v="Male"/>
    <n v="32"/>
    <n v="3"/>
    <n v="2"/>
    <s v="Research Scientist"/>
    <n v="4"/>
    <s v="Single"/>
    <n v="4541"/>
    <n v="7744"/>
    <n v="1"/>
    <s v="Y"/>
    <s v="No"/>
    <n v="25"/>
    <n v="4"/>
    <n v="2"/>
    <n v="80"/>
    <n v="0"/>
    <n v="20"/>
    <n v="3"/>
    <n v="3"/>
    <n v="20"/>
    <n v="11"/>
    <n v="13"/>
    <n v="17"/>
    <s v="LAB-1225"/>
    <x v="1"/>
    <x v="1"/>
    <x v="1"/>
    <n v="20"/>
    <x v="0"/>
  </r>
  <r>
    <n v="20"/>
    <s v="No"/>
    <s v="Travel_Rarely"/>
    <n v="654"/>
    <x v="0"/>
    <n v="21"/>
    <n v="3"/>
    <s v="Marketing"/>
    <n v="1"/>
    <n v="1226"/>
    <n v="3"/>
    <s v="Male"/>
    <n v="43"/>
    <n v="4"/>
    <n v="1"/>
    <s v="Sales Representative"/>
    <n v="4"/>
    <s v="Single"/>
    <n v="2678"/>
    <n v="5050"/>
    <n v="1"/>
    <s v="Y"/>
    <s v="No"/>
    <n v="17"/>
    <n v="3"/>
    <n v="4"/>
    <n v="80"/>
    <n v="0"/>
    <n v="2"/>
    <n v="2"/>
    <n v="3"/>
    <n v="2"/>
    <n v="1"/>
    <n v="2"/>
    <n v="2"/>
    <s v="LAB-1226"/>
    <x v="6"/>
    <x v="0"/>
    <x v="1"/>
    <n v="2"/>
    <x v="0"/>
  </r>
  <r>
    <n v="46"/>
    <s v="No"/>
    <s v="Travel_Rarely"/>
    <n v="150"/>
    <x v="1"/>
    <n v="2"/>
    <n v="4"/>
    <s v="Technical Degree"/>
    <n v="1"/>
    <n v="1228"/>
    <n v="4"/>
    <s v="Male"/>
    <n v="60"/>
    <n v="3"/>
    <n v="2"/>
    <s v="Manufacturing Director"/>
    <n v="4"/>
    <s v="Divorced"/>
    <n v="7379"/>
    <n v="17433"/>
    <n v="2"/>
    <s v="Y"/>
    <s v="No"/>
    <n v="11"/>
    <n v="3"/>
    <n v="3"/>
    <n v="80"/>
    <n v="1"/>
    <n v="12"/>
    <n v="3"/>
    <n v="2"/>
    <n v="6"/>
    <n v="3"/>
    <n v="1"/>
    <n v="4"/>
    <s v="LAB-1228"/>
    <x v="3"/>
    <x v="1"/>
    <x v="1"/>
    <n v="6"/>
    <x v="0"/>
  </r>
  <r>
    <n v="42"/>
    <s v="No"/>
    <s v="Non-Travel"/>
    <n v="179"/>
    <x v="2"/>
    <n v="2"/>
    <n v="5"/>
    <s v="Medical"/>
    <n v="1"/>
    <n v="1231"/>
    <n v="4"/>
    <s v="Male"/>
    <n v="79"/>
    <n v="4"/>
    <n v="2"/>
    <s v="Human Resources"/>
    <n v="1"/>
    <s v="Married"/>
    <n v="6272"/>
    <n v="12858"/>
    <n v="7"/>
    <s v="Y"/>
    <s v="No"/>
    <n v="16"/>
    <n v="3"/>
    <n v="1"/>
    <n v="80"/>
    <n v="1"/>
    <n v="10"/>
    <n v="3"/>
    <n v="4"/>
    <n v="4"/>
    <n v="3"/>
    <n v="0"/>
    <n v="3"/>
    <s v="LAB-1231"/>
    <x v="8"/>
    <x v="2"/>
    <x v="1"/>
    <n v="4"/>
    <x v="0"/>
  </r>
  <r>
    <n v="60"/>
    <s v="No"/>
    <s v="Travel_Rarely"/>
    <n v="696"/>
    <x v="0"/>
    <n v="7"/>
    <n v="4"/>
    <s v="Marketing"/>
    <n v="1"/>
    <n v="1233"/>
    <n v="2"/>
    <s v="Male"/>
    <n v="52"/>
    <n v="4"/>
    <n v="2"/>
    <s v="Sales Executive"/>
    <n v="4"/>
    <s v="Divorced"/>
    <n v="5220"/>
    <n v="10893"/>
    <n v="0"/>
    <s v="Y"/>
    <s v="Yes"/>
    <n v="18"/>
    <n v="3"/>
    <n v="2"/>
    <n v="80"/>
    <n v="1"/>
    <n v="12"/>
    <n v="3"/>
    <n v="3"/>
    <n v="11"/>
    <n v="7"/>
    <n v="1"/>
    <n v="9"/>
    <s v="LAB-1233"/>
    <x v="0"/>
    <x v="0"/>
    <x v="1"/>
    <n v="11"/>
    <x v="0"/>
  </r>
  <r>
    <n v="32"/>
    <s v="No"/>
    <s v="Travel_Frequently"/>
    <n v="116"/>
    <x v="1"/>
    <n v="13"/>
    <n v="3"/>
    <s v="Other"/>
    <n v="1"/>
    <n v="1234"/>
    <n v="3"/>
    <s v="Female"/>
    <n v="77"/>
    <n v="2"/>
    <n v="1"/>
    <s v="Laboratory Technician"/>
    <n v="2"/>
    <s v="Married"/>
    <n v="2743"/>
    <n v="7331"/>
    <n v="1"/>
    <s v="Y"/>
    <s v="No"/>
    <n v="20"/>
    <n v="4"/>
    <n v="3"/>
    <n v="80"/>
    <n v="1"/>
    <n v="2"/>
    <n v="2"/>
    <n v="3"/>
    <n v="2"/>
    <n v="2"/>
    <n v="2"/>
    <n v="2"/>
    <s v="LAB-1234"/>
    <x v="2"/>
    <x v="1"/>
    <x v="1"/>
    <n v="2"/>
    <x v="0"/>
  </r>
  <r>
    <n v="32"/>
    <s v="No"/>
    <s v="Travel_Frequently"/>
    <n v="1316"/>
    <x v="1"/>
    <n v="2"/>
    <n v="2"/>
    <s v="Life Sciences"/>
    <n v="1"/>
    <n v="1235"/>
    <n v="4"/>
    <s v="Female"/>
    <n v="38"/>
    <n v="3"/>
    <n v="2"/>
    <s v="Research Scientist"/>
    <n v="3"/>
    <s v="Single"/>
    <n v="4998"/>
    <n v="2338"/>
    <n v="4"/>
    <s v="Y"/>
    <s v="Yes"/>
    <n v="14"/>
    <n v="3"/>
    <n v="4"/>
    <n v="80"/>
    <n v="0"/>
    <n v="10"/>
    <n v="2"/>
    <n v="3"/>
    <n v="8"/>
    <n v="7"/>
    <n v="0"/>
    <n v="7"/>
    <s v="LAB-1235"/>
    <x v="1"/>
    <x v="1"/>
    <x v="1"/>
    <n v="8"/>
    <x v="0"/>
  </r>
  <r>
    <n v="36"/>
    <s v="No"/>
    <s v="Travel_Rarely"/>
    <n v="363"/>
    <x v="1"/>
    <n v="1"/>
    <n v="3"/>
    <s v="Technical Degree"/>
    <n v="1"/>
    <n v="1237"/>
    <n v="3"/>
    <s v="Female"/>
    <n v="77"/>
    <n v="1"/>
    <n v="3"/>
    <s v="Manufacturing Director"/>
    <n v="1"/>
    <s v="Divorced"/>
    <n v="10252"/>
    <n v="4235"/>
    <n v="2"/>
    <s v="Y"/>
    <s v="Yes"/>
    <n v="21"/>
    <n v="4"/>
    <n v="3"/>
    <n v="80"/>
    <n v="1"/>
    <n v="17"/>
    <n v="2"/>
    <n v="3"/>
    <n v="7"/>
    <n v="7"/>
    <n v="7"/>
    <n v="7"/>
    <s v="LAB-1237"/>
    <x v="3"/>
    <x v="1"/>
    <x v="1"/>
    <n v="7"/>
    <x v="0"/>
  </r>
  <r>
    <n v="33"/>
    <s v="No"/>
    <s v="Travel_Rarely"/>
    <n v="117"/>
    <x v="1"/>
    <n v="9"/>
    <n v="3"/>
    <s v="Medical"/>
    <n v="1"/>
    <n v="1238"/>
    <n v="1"/>
    <s v="Male"/>
    <n v="60"/>
    <n v="3"/>
    <n v="1"/>
    <s v="Research Scientist"/>
    <n v="4"/>
    <s v="Married"/>
    <n v="2781"/>
    <n v="6311"/>
    <n v="0"/>
    <s v="Y"/>
    <s v="No"/>
    <n v="13"/>
    <n v="3"/>
    <n v="2"/>
    <n v="80"/>
    <n v="1"/>
    <n v="15"/>
    <n v="5"/>
    <n v="3"/>
    <n v="14"/>
    <n v="10"/>
    <n v="4"/>
    <n v="10"/>
    <s v="LAB-1238"/>
    <x v="1"/>
    <x v="1"/>
    <x v="1"/>
    <n v="14"/>
    <x v="0"/>
  </r>
  <r>
    <n v="40"/>
    <s v="No"/>
    <s v="Travel_Rarely"/>
    <n v="107"/>
    <x v="0"/>
    <n v="10"/>
    <n v="3"/>
    <s v="Technical Degree"/>
    <n v="1"/>
    <n v="1239"/>
    <n v="2"/>
    <s v="Female"/>
    <n v="84"/>
    <n v="2"/>
    <n v="2"/>
    <s v="Sales Executive"/>
    <n v="2"/>
    <s v="Divorced"/>
    <n v="6852"/>
    <n v="11591"/>
    <n v="7"/>
    <s v="Y"/>
    <s v="No"/>
    <n v="12"/>
    <n v="3"/>
    <n v="2"/>
    <n v="80"/>
    <n v="1"/>
    <n v="7"/>
    <n v="2"/>
    <n v="4"/>
    <n v="5"/>
    <n v="1"/>
    <n v="1"/>
    <n v="3"/>
    <s v="LAB-1239"/>
    <x v="0"/>
    <x v="0"/>
    <x v="1"/>
    <n v="5"/>
    <x v="0"/>
  </r>
  <r>
    <n v="25"/>
    <s v="No"/>
    <s v="Travel_Rarely"/>
    <n v="1356"/>
    <x v="0"/>
    <n v="10"/>
    <n v="4"/>
    <s v="Life Sciences"/>
    <n v="1"/>
    <n v="1240"/>
    <n v="3"/>
    <s v="Male"/>
    <n v="57"/>
    <n v="3"/>
    <n v="2"/>
    <s v="Sales Executive"/>
    <n v="4"/>
    <s v="Single"/>
    <n v="4950"/>
    <n v="20623"/>
    <n v="0"/>
    <s v="Y"/>
    <s v="No"/>
    <n v="14"/>
    <n v="3"/>
    <n v="2"/>
    <n v="80"/>
    <n v="0"/>
    <n v="5"/>
    <n v="4"/>
    <n v="3"/>
    <n v="4"/>
    <n v="3"/>
    <n v="1"/>
    <n v="1"/>
    <s v="LAB-1240"/>
    <x v="0"/>
    <x v="0"/>
    <x v="1"/>
    <n v="4"/>
    <x v="0"/>
  </r>
  <r>
    <n v="30"/>
    <s v="No"/>
    <s v="Travel_Rarely"/>
    <n v="1465"/>
    <x v="1"/>
    <n v="1"/>
    <n v="3"/>
    <s v="Medical"/>
    <n v="1"/>
    <n v="1241"/>
    <n v="4"/>
    <s v="Male"/>
    <n v="63"/>
    <n v="3"/>
    <n v="1"/>
    <s v="Research Scientist"/>
    <n v="2"/>
    <s v="Married"/>
    <n v="3579"/>
    <n v="9369"/>
    <n v="0"/>
    <s v="Y"/>
    <s v="Yes"/>
    <n v="21"/>
    <n v="4"/>
    <n v="1"/>
    <n v="80"/>
    <n v="1"/>
    <n v="12"/>
    <n v="2"/>
    <n v="3"/>
    <n v="11"/>
    <n v="9"/>
    <n v="5"/>
    <n v="7"/>
    <s v="LAB-1241"/>
    <x v="1"/>
    <x v="1"/>
    <x v="1"/>
    <n v="11"/>
    <x v="0"/>
  </r>
  <r>
    <n v="42"/>
    <s v="No"/>
    <s v="Travel_Frequently"/>
    <n v="458"/>
    <x v="1"/>
    <n v="26"/>
    <n v="5"/>
    <s v="Medical"/>
    <n v="1"/>
    <n v="1242"/>
    <n v="1"/>
    <s v="Female"/>
    <n v="60"/>
    <n v="3"/>
    <n v="3"/>
    <s v="Research Director"/>
    <n v="1"/>
    <s v="Married"/>
    <n v="13191"/>
    <n v="23281"/>
    <n v="3"/>
    <s v="Y"/>
    <s v="Yes"/>
    <n v="17"/>
    <n v="3"/>
    <n v="3"/>
    <n v="80"/>
    <n v="0"/>
    <n v="20"/>
    <n v="6"/>
    <n v="3"/>
    <n v="1"/>
    <n v="0"/>
    <n v="0"/>
    <n v="0"/>
    <s v="LAB-1242"/>
    <x v="7"/>
    <x v="1"/>
    <x v="1"/>
    <n v="1"/>
    <x v="0"/>
  </r>
  <r>
    <n v="35"/>
    <s v="No"/>
    <s v="Non-Travel"/>
    <n v="1212"/>
    <x v="0"/>
    <n v="8"/>
    <n v="2"/>
    <s v="Marketing"/>
    <n v="1"/>
    <n v="1243"/>
    <n v="3"/>
    <s v="Female"/>
    <n v="78"/>
    <n v="2"/>
    <n v="3"/>
    <s v="Sales Executive"/>
    <n v="4"/>
    <s v="Married"/>
    <n v="10377"/>
    <n v="13755"/>
    <n v="4"/>
    <s v="Y"/>
    <s v="Yes"/>
    <n v="11"/>
    <n v="3"/>
    <n v="2"/>
    <n v="80"/>
    <n v="1"/>
    <n v="16"/>
    <n v="6"/>
    <n v="2"/>
    <n v="13"/>
    <n v="2"/>
    <n v="4"/>
    <n v="12"/>
    <s v="LAB-1243"/>
    <x v="0"/>
    <x v="0"/>
    <x v="1"/>
    <n v="13"/>
    <x v="0"/>
  </r>
  <r>
    <n v="27"/>
    <s v="No"/>
    <s v="Travel_Rarely"/>
    <n v="1103"/>
    <x v="1"/>
    <n v="14"/>
    <n v="3"/>
    <s v="Life Sciences"/>
    <n v="1"/>
    <n v="1244"/>
    <n v="1"/>
    <s v="Male"/>
    <n v="42"/>
    <n v="3"/>
    <n v="1"/>
    <s v="Research Scientist"/>
    <n v="1"/>
    <s v="Married"/>
    <n v="2235"/>
    <n v="14377"/>
    <n v="1"/>
    <s v="Y"/>
    <s v="Yes"/>
    <n v="14"/>
    <n v="3"/>
    <n v="4"/>
    <n v="80"/>
    <n v="2"/>
    <n v="9"/>
    <n v="3"/>
    <n v="2"/>
    <n v="9"/>
    <n v="7"/>
    <n v="6"/>
    <n v="8"/>
    <s v="LAB-1244"/>
    <x v="1"/>
    <x v="1"/>
    <x v="1"/>
    <n v="9"/>
    <x v="0"/>
  </r>
  <r>
    <n v="54"/>
    <s v="No"/>
    <s v="Travel_Frequently"/>
    <n v="966"/>
    <x v="1"/>
    <n v="1"/>
    <n v="4"/>
    <s v="Life Sciences"/>
    <n v="1"/>
    <n v="1245"/>
    <n v="4"/>
    <s v="Female"/>
    <n v="53"/>
    <n v="3"/>
    <n v="3"/>
    <s v="Manufacturing Director"/>
    <n v="3"/>
    <s v="Divorced"/>
    <n v="10502"/>
    <n v="9659"/>
    <n v="7"/>
    <s v="Y"/>
    <s v="No"/>
    <n v="17"/>
    <n v="3"/>
    <n v="1"/>
    <n v="80"/>
    <n v="1"/>
    <n v="33"/>
    <n v="2"/>
    <n v="1"/>
    <n v="5"/>
    <n v="4"/>
    <n v="1"/>
    <n v="4"/>
    <s v="LAB-1245"/>
    <x v="3"/>
    <x v="1"/>
    <x v="1"/>
    <n v="5"/>
    <x v="0"/>
  </r>
  <r>
    <n v="44"/>
    <s v="No"/>
    <s v="Travel_Rarely"/>
    <n v="1117"/>
    <x v="1"/>
    <n v="2"/>
    <n v="1"/>
    <s v="Life Sciences"/>
    <n v="1"/>
    <n v="1246"/>
    <n v="1"/>
    <s v="Female"/>
    <n v="72"/>
    <n v="4"/>
    <n v="1"/>
    <s v="Research Scientist"/>
    <n v="4"/>
    <s v="Married"/>
    <n v="2011"/>
    <n v="19982"/>
    <n v="1"/>
    <s v="Y"/>
    <s v="No"/>
    <n v="13"/>
    <n v="3"/>
    <n v="4"/>
    <n v="80"/>
    <n v="1"/>
    <n v="10"/>
    <n v="5"/>
    <n v="3"/>
    <n v="10"/>
    <n v="5"/>
    <n v="7"/>
    <n v="7"/>
    <s v="LAB-1246"/>
    <x v="1"/>
    <x v="1"/>
    <x v="1"/>
    <n v="10"/>
    <x v="0"/>
  </r>
  <r>
    <n v="19"/>
    <s v="Yes"/>
    <s v="Non-Travel"/>
    <n v="504"/>
    <x v="1"/>
    <n v="10"/>
    <n v="3"/>
    <s v="Medical"/>
    <n v="1"/>
    <n v="1248"/>
    <n v="1"/>
    <s v="Female"/>
    <n v="96"/>
    <n v="2"/>
    <n v="1"/>
    <s v="Research Scientist"/>
    <n v="2"/>
    <s v="Single"/>
    <n v="1859"/>
    <n v="6148"/>
    <n v="1"/>
    <s v="Y"/>
    <s v="Yes"/>
    <n v="25"/>
    <n v="4"/>
    <n v="2"/>
    <n v="80"/>
    <n v="0"/>
    <n v="1"/>
    <n v="2"/>
    <n v="4"/>
    <n v="1"/>
    <n v="1"/>
    <n v="0"/>
    <n v="0"/>
    <s v="LAB-1248"/>
    <x v="1"/>
    <x v="1"/>
    <x v="0"/>
    <n v="1"/>
    <x v="0"/>
  </r>
  <r>
    <n v="29"/>
    <s v="No"/>
    <s v="Travel_Rarely"/>
    <n v="1010"/>
    <x v="1"/>
    <n v="1"/>
    <n v="3"/>
    <s v="Life Sciences"/>
    <n v="1"/>
    <n v="1249"/>
    <n v="1"/>
    <s v="Female"/>
    <n v="97"/>
    <n v="3"/>
    <n v="1"/>
    <s v="Research Scientist"/>
    <n v="4"/>
    <s v="Divorced"/>
    <n v="3760"/>
    <n v="5598"/>
    <n v="1"/>
    <s v="Y"/>
    <s v="No"/>
    <n v="15"/>
    <n v="3"/>
    <n v="1"/>
    <n v="80"/>
    <n v="3"/>
    <n v="3"/>
    <n v="5"/>
    <n v="3"/>
    <n v="3"/>
    <n v="2"/>
    <n v="1"/>
    <n v="2"/>
    <s v="LAB-1249"/>
    <x v="1"/>
    <x v="1"/>
    <x v="1"/>
    <n v="3"/>
    <x v="0"/>
  </r>
  <r>
    <n v="54"/>
    <s v="No"/>
    <s v="Travel_Rarely"/>
    <n v="685"/>
    <x v="1"/>
    <n v="3"/>
    <n v="3"/>
    <s v="Life Sciences"/>
    <n v="1"/>
    <n v="1250"/>
    <n v="4"/>
    <s v="Male"/>
    <n v="85"/>
    <n v="3"/>
    <n v="4"/>
    <s v="Research Director"/>
    <n v="4"/>
    <s v="Married"/>
    <n v="17779"/>
    <n v="23474"/>
    <n v="3"/>
    <s v="Y"/>
    <s v="No"/>
    <n v="14"/>
    <n v="3"/>
    <n v="1"/>
    <n v="80"/>
    <n v="0"/>
    <n v="36"/>
    <n v="2"/>
    <n v="3"/>
    <n v="10"/>
    <n v="9"/>
    <n v="0"/>
    <n v="9"/>
    <s v="LAB-1250"/>
    <x v="7"/>
    <x v="1"/>
    <x v="1"/>
    <n v="10"/>
    <x v="0"/>
  </r>
  <r>
    <n v="31"/>
    <s v="No"/>
    <s v="Travel_Rarely"/>
    <n v="1332"/>
    <x v="1"/>
    <n v="11"/>
    <n v="2"/>
    <s v="Medical"/>
    <n v="1"/>
    <n v="1251"/>
    <n v="3"/>
    <s v="Male"/>
    <n v="80"/>
    <n v="3"/>
    <n v="2"/>
    <s v="Healthcare Representative"/>
    <n v="1"/>
    <s v="Married"/>
    <n v="6833"/>
    <n v="17089"/>
    <n v="1"/>
    <s v="Y"/>
    <s v="Yes"/>
    <n v="12"/>
    <n v="3"/>
    <n v="4"/>
    <n v="80"/>
    <n v="0"/>
    <n v="6"/>
    <n v="2"/>
    <n v="2"/>
    <n v="6"/>
    <n v="5"/>
    <n v="0"/>
    <n v="1"/>
    <s v="LAB-1251"/>
    <x v="4"/>
    <x v="1"/>
    <x v="1"/>
    <n v="6"/>
    <x v="0"/>
  </r>
  <r>
    <n v="31"/>
    <s v="No"/>
    <s v="Travel_Rarely"/>
    <n v="1062"/>
    <x v="1"/>
    <n v="24"/>
    <n v="3"/>
    <s v="Medical"/>
    <n v="1"/>
    <n v="1252"/>
    <n v="3"/>
    <s v="Female"/>
    <n v="96"/>
    <n v="2"/>
    <n v="2"/>
    <s v="Healthcare Representative"/>
    <n v="1"/>
    <s v="Single"/>
    <n v="6812"/>
    <n v="17198"/>
    <n v="1"/>
    <s v="Y"/>
    <s v="No"/>
    <n v="19"/>
    <n v="3"/>
    <n v="2"/>
    <n v="80"/>
    <n v="0"/>
    <n v="10"/>
    <n v="2"/>
    <n v="3"/>
    <n v="10"/>
    <n v="9"/>
    <n v="1"/>
    <n v="8"/>
    <s v="LAB-1252"/>
    <x v="4"/>
    <x v="1"/>
    <x v="1"/>
    <n v="10"/>
    <x v="0"/>
  </r>
  <r>
    <n v="59"/>
    <s v="No"/>
    <s v="Travel_Rarely"/>
    <n v="326"/>
    <x v="0"/>
    <n v="3"/>
    <n v="3"/>
    <s v="Life Sciences"/>
    <n v="1"/>
    <n v="1254"/>
    <n v="3"/>
    <s v="Female"/>
    <n v="48"/>
    <n v="2"/>
    <n v="2"/>
    <s v="Sales Executive"/>
    <n v="4"/>
    <s v="Single"/>
    <n v="5171"/>
    <n v="16490"/>
    <n v="5"/>
    <s v="Y"/>
    <s v="No"/>
    <n v="17"/>
    <n v="3"/>
    <n v="4"/>
    <n v="80"/>
    <n v="0"/>
    <n v="13"/>
    <n v="2"/>
    <n v="3"/>
    <n v="6"/>
    <n v="1"/>
    <n v="0"/>
    <n v="5"/>
    <s v="LAB-1254"/>
    <x v="0"/>
    <x v="0"/>
    <x v="1"/>
    <n v="6"/>
    <x v="0"/>
  </r>
  <r>
    <n v="43"/>
    <s v="No"/>
    <s v="Travel_Rarely"/>
    <n v="920"/>
    <x v="1"/>
    <n v="3"/>
    <n v="3"/>
    <s v="Life Sciences"/>
    <n v="1"/>
    <n v="1255"/>
    <n v="3"/>
    <s v="Male"/>
    <n v="96"/>
    <n v="1"/>
    <n v="5"/>
    <s v="Research Director"/>
    <n v="4"/>
    <s v="Married"/>
    <n v="19740"/>
    <n v="18625"/>
    <n v="3"/>
    <s v="Y"/>
    <s v="No"/>
    <n v="14"/>
    <n v="3"/>
    <n v="2"/>
    <n v="80"/>
    <n v="1"/>
    <n v="25"/>
    <n v="2"/>
    <n v="3"/>
    <n v="8"/>
    <n v="7"/>
    <n v="0"/>
    <n v="7"/>
    <s v="LAB-1255"/>
    <x v="7"/>
    <x v="1"/>
    <x v="1"/>
    <n v="8"/>
    <x v="0"/>
  </r>
  <r>
    <n v="49"/>
    <s v="No"/>
    <s v="Travel_Rarely"/>
    <n v="1098"/>
    <x v="1"/>
    <n v="4"/>
    <n v="2"/>
    <s v="Medical"/>
    <n v="1"/>
    <n v="1256"/>
    <n v="1"/>
    <s v="Male"/>
    <n v="85"/>
    <n v="2"/>
    <n v="5"/>
    <s v="Manager"/>
    <n v="3"/>
    <s v="Married"/>
    <n v="18711"/>
    <n v="12124"/>
    <n v="2"/>
    <s v="Y"/>
    <s v="No"/>
    <n v="13"/>
    <n v="3"/>
    <n v="3"/>
    <n v="80"/>
    <n v="1"/>
    <n v="23"/>
    <n v="2"/>
    <n v="4"/>
    <n v="1"/>
    <n v="0"/>
    <n v="0"/>
    <n v="0"/>
    <s v="LAB-1256"/>
    <x v="5"/>
    <x v="1"/>
    <x v="1"/>
    <n v="1"/>
    <x v="0"/>
  </r>
  <r>
    <n v="36"/>
    <s v="No"/>
    <s v="Travel_Frequently"/>
    <n v="469"/>
    <x v="1"/>
    <n v="3"/>
    <n v="3"/>
    <s v="Technical Degree"/>
    <n v="1"/>
    <n v="1257"/>
    <n v="3"/>
    <s v="Male"/>
    <n v="46"/>
    <n v="3"/>
    <n v="1"/>
    <s v="Research Scientist"/>
    <n v="2"/>
    <s v="Married"/>
    <n v="3692"/>
    <n v="9256"/>
    <n v="1"/>
    <s v="Y"/>
    <s v="No"/>
    <n v="12"/>
    <n v="3"/>
    <n v="3"/>
    <n v="80"/>
    <n v="0"/>
    <n v="12"/>
    <n v="2"/>
    <n v="2"/>
    <n v="11"/>
    <n v="10"/>
    <n v="0"/>
    <n v="7"/>
    <s v="LAB-1257"/>
    <x v="1"/>
    <x v="1"/>
    <x v="1"/>
    <n v="11"/>
    <x v="0"/>
  </r>
  <r>
    <n v="48"/>
    <s v="No"/>
    <s v="Travel_Rarely"/>
    <n v="969"/>
    <x v="1"/>
    <n v="2"/>
    <n v="2"/>
    <s v="Technical Degree"/>
    <n v="1"/>
    <n v="1258"/>
    <n v="4"/>
    <s v="Male"/>
    <n v="76"/>
    <n v="4"/>
    <n v="1"/>
    <s v="Laboratory Technician"/>
    <n v="2"/>
    <s v="Single"/>
    <n v="2559"/>
    <n v="16620"/>
    <n v="5"/>
    <s v="Y"/>
    <s v="No"/>
    <n v="11"/>
    <n v="3"/>
    <n v="3"/>
    <n v="80"/>
    <n v="0"/>
    <n v="7"/>
    <n v="4"/>
    <n v="2"/>
    <n v="1"/>
    <n v="0"/>
    <n v="0"/>
    <n v="0"/>
    <s v="LAB-1258"/>
    <x v="2"/>
    <x v="1"/>
    <x v="1"/>
    <n v="1"/>
    <x v="0"/>
  </r>
  <r>
    <n v="27"/>
    <s v="No"/>
    <s v="Travel_Rarely"/>
    <n v="1167"/>
    <x v="1"/>
    <n v="4"/>
    <n v="2"/>
    <s v="Life Sciences"/>
    <n v="1"/>
    <n v="1259"/>
    <n v="1"/>
    <s v="Male"/>
    <n v="76"/>
    <n v="3"/>
    <n v="1"/>
    <s v="Research Scientist"/>
    <n v="3"/>
    <s v="Divorced"/>
    <n v="2517"/>
    <n v="3208"/>
    <n v="1"/>
    <s v="Y"/>
    <s v="No"/>
    <n v="11"/>
    <n v="3"/>
    <n v="2"/>
    <n v="80"/>
    <n v="3"/>
    <n v="5"/>
    <n v="2"/>
    <n v="3"/>
    <n v="5"/>
    <n v="3"/>
    <n v="0"/>
    <n v="3"/>
    <s v="LAB-1259"/>
    <x v="1"/>
    <x v="1"/>
    <x v="1"/>
    <n v="5"/>
    <x v="0"/>
  </r>
  <r>
    <n v="29"/>
    <s v="No"/>
    <s v="Travel_Rarely"/>
    <n v="1329"/>
    <x v="1"/>
    <n v="7"/>
    <n v="3"/>
    <s v="Life Sciences"/>
    <n v="1"/>
    <n v="1260"/>
    <n v="3"/>
    <s v="Male"/>
    <n v="82"/>
    <n v="3"/>
    <n v="2"/>
    <s v="Healthcare Representative"/>
    <n v="4"/>
    <s v="Divorced"/>
    <n v="6623"/>
    <n v="4204"/>
    <n v="1"/>
    <s v="Y"/>
    <s v="Yes"/>
    <n v="11"/>
    <n v="3"/>
    <n v="2"/>
    <n v="80"/>
    <n v="2"/>
    <n v="6"/>
    <n v="2"/>
    <n v="3"/>
    <n v="6"/>
    <n v="0"/>
    <n v="1"/>
    <n v="0"/>
    <s v="LAB-1260"/>
    <x v="4"/>
    <x v="1"/>
    <x v="1"/>
    <n v="6"/>
    <x v="0"/>
  </r>
  <r>
    <n v="48"/>
    <s v="No"/>
    <s v="Travel_Rarely"/>
    <n v="715"/>
    <x v="1"/>
    <n v="1"/>
    <n v="3"/>
    <s v="Life Sciences"/>
    <n v="1"/>
    <n v="1263"/>
    <n v="4"/>
    <s v="Male"/>
    <n v="76"/>
    <n v="2"/>
    <n v="5"/>
    <s v="Research Director"/>
    <n v="4"/>
    <s v="Single"/>
    <n v="18265"/>
    <n v="8733"/>
    <n v="6"/>
    <s v="Y"/>
    <s v="No"/>
    <n v="12"/>
    <n v="3"/>
    <n v="3"/>
    <n v="80"/>
    <n v="0"/>
    <n v="25"/>
    <n v="3"/>
    <n v="4"/>
    <n v="1"/>
    <n v="0"/>
    <n v="0"/>
    <n v="0"/>
    <s v="LAB-1263"/>
    <x v="7"/>
    <x v="1"/>
    <x v="1"/>
    <n v="1"/>
    <x v="0"/>
  </r>
  <r>
    <n v="29"/>
    <s v="No"/>
    <s v="Travel_Rarely"/>
    <n v="694"/>
    <x v="1"/>
    <n v="1"/>
    <n v="3"/>
    <s v="Life Sciences"/>
    <n v="1"/>
    <n v="1264"/>
    <n v="4"/>
    <s v="Female"/>
    <n v="87"/>
    <n v="2"/>
    <n v="4"/>
    <s v="Research Director"/>
    <n v="4"/>
    <s v="Divorced"/>
    <n v="16124"/>
    <n v="3423"/>
    <n v="3"/>
    <s v="Y"/>
    <s v="No"/>
    <n v="14"/>
    <n v="3"/>
    <n v="2"/>
    <n v="80"/>
    <n v="2"/>
    <n v="9"/>
    <n v="2"/>
    <n v="2"/>
    <n v="7"/>
    <n v="7"/>
    <n v="1"/>
    <n v="7"/>
    <s v="LAB-1264"/>
    <x v="7"/>
    <x v="1"/>
    <x v="1"/>
    <n v="7"/>
    <x v="0"/>
  </r>
  <r>
    <n v="34"/>
    <s v="No"/>
    <s v="Travel_Rarely"/>
    <n v="1320"/>
    <x v="1"/>
    <n v="20"/>
    <n v="3"/>
    <s v="Technical Degree"/>
    <n v="1"/>
    <n v="1265"/>
    <n v="3"/>
    <s v="Female"/>
    <n v="89"/>
    <n v="4"/>
    <n v="1"/>
    <s v="Research Scientist"/>
    <n v="3"/>
    <s v="Married"/>
    <n v="2585"/>
    <n v="21643"/>
    <n v="0"/>
    <s v="Y"/>
    <s v="No"/>
    <n v="17"/>
    <n v="3"/>
    <n v="4"/>
    <n v="80"/>
    <n v="0"/>
    <n v="2"/>
    <n v="5"/>
    <n v="2"/>
    <n v="1"/>
    <n v="0"/>
    <n v="0"/>
    <n v="0"/>
    <s v="LAB-1265"/>
    <x v="1"/>
    <x v="1"/>
    <x v="1"/>
    <n v="1"/>
    <x v="0"/>
  </r>
  <r>
    <n v="44"/>
    <s v="No"/>
    <s v="Travel_Rarely"/>
    <n v="1099"/>
    <x v="0"/>
    <n v="5"/>
    <n v="3"/>
    <s v="Marketing"/>
    <n v="1"/>
    <n v="1267"/>
    <n v="2"/>
    <s v="Male"/>
    <n v="88"/>
    <n v="3"/>
    <n v="5"/>
    <s v="Manager"/>
    <n v="2"/>
    <s v="Married"/>
    <n v="18213"/>
    <n v="8751"/>
    <n v="7"/>
    <s v="Y"/>
    <s v="No"/>
    <n v="11"/>
    <n v="3"/>
    <n v="3"/>
    <n v="80"/>
    <n v="1"/>
    <n v="26"/>
    <n v="5"/>
    <n v="3"/>
    <n v="22"/>
    <n v="9"/>
    <n v="3"/>
    <n v="10"/>
    <s v="LAB-1267"/>
    <x v="5"/>
    <x v="0"/>
    <x v="1"/>
    <n v="22"/>
    <x v="0"/>
  </r>
  <r>
    <n v="33"/>
    <s v="No"/>
    <s v="Travel_Rarely"/>
    <n v="536"/>
    <x v="0"/>
    <n v="10"/>
    <n v="5"/>
    <s v="Marketing"/>
    <n v="1"/>
    <n v="1268"/>
    <n v="4"/>
    <s v="Male"/>
    <n v="82"/>
    <n v="4"/>
    <n v="3"/>
    <s v="Sales Executive"/>
    <n v="3"/>
    <s v="Divorced"/>
    <n v="8380"/>
    <n v="21708"/>
    <n v="0"/>
    <s v="Y"/>
    <s v="Yes"/>
    <n v="14"/>
    <n v="3"/>
    <n v="4"/>
    <n v="80"/>
    <n v="2"/>
    <n v="10"/>
    <n v="3"/>
    <n v="3"/>
    <n v="9"/>
    <n v="8"/>
    <n v="0"/>
    <n v="8"/>
    <s v="LAB-1268"/>
    <x v="0"/>
    <x v="0"/>
    <x v="1"/>
    <n v="9"/>
    <x v="0"/>
  </r>
  <r>
    <n v="19"/>
    <s v="No"/>
    <s v="Travel_Rarely"/>
    <n v="265"/>
    <x v="1"/>
    <n v="25"/>
    <n v="3"/>
    <s v="Life Sciences"/>
    <n v="1"/>
    <n v="1269"/>
    <n v="2"/>
    <s v="Female"/>
    <n v="57"/>
    <n v="4"/>
    <n v="1"/>
    <s v="Research Scientist"/>
    <n v="4"/>
    <s v="Single"/>
    <n v="2994"/>
    <n v="21221"/>
    <n v="1"/>
    <s v="Y"/>
    <s v="Yes"/>
    <n v="12"/>
    <n v="3"/>
    <n v="4"/>
    <n v="80"/>
    <n v="0"/>
    <n v="1"/>
    <n v="2"/>
    <n v="3"/>
    <n v="1"/>
    <n v="0"/>
    <n v="0"/>
    <n v="1"/>
    <s v="LAB-1269"/>
    <x v="1"/>
    <x v="1"/>
    <x v="1"/>
    <n v="1"/>
    <x v="0"/>
  </r>
  <r>
    <n v="23"/>
    <s v="No"/>
    <s v="Travel_Rarely"/>
    <n v="373"/>
    <x v="1"/>
    <n v="1"/>
    <n v="2"/>
    <s v="Life Sciences"/>
    <n v="1"/>
    <n v="1270"/>
    <n v="4"/>
    <s v="Male"/>
    <n v="47"/>
    <n v="3"/>
    <n v="1"/>
    <s v="Research Scientist"/>
    <n v="3"/>
    <s v="Married"/>
    <n v="1223"/>
    <n v="16901"/>
    <n v="1"/>
    <s v="Y"/>
    <s v="No"/>
    <n v="22"/>
    <n v="4"/>
    <n v="4"/>
    <n v="80"/>
    <n v="1"/>
    <n v="1"/>
    <n v="2"/>
    <n v="3"/>
    <n v="1"/>
    <n v="0"/>
    <n v="0"/>
    <n v="1"/>
    <s v="LAB-1270"/>
    <x v="1"/>
    <x v="1"/>
    <x v="1"/>
    <n v="1"/>
    <x v="0"/>
  </r>
  <r>
    <n v="25"/>
    <s v="Yes"/>
    <s v="Travel_Frequently"/>
    <n v="599"/>
    <x v="0"/>
    <n v="24"/>
    <n v="1"/>
    <s v="Life Sciences"/>
    <n v="1"/>
    <n v="1273"/>
    <n v="3"/>
    <s v="Male"/>
    <n v="73"/>
    <n v="1"/>
    <n v="1"/>
    <s v="Sales Representative"/>
    <n v="4"/>
    <s v="Single"/>
    <n v="1118"/>
    <n v="8040"/>
    <n v="1"/>
    <s v="Y"/>
    <s v="Yes"/>
    <n v="14"/>
    <n v="3"/>
    <n v="4"/>
    <n v="80"/>
    <n v="0"/>
    <n v="1"/>
    <n v="4"/>
    <n v="3"/>
    <n v="1"/>
    <n v="0"/>
    <n v="1"/>
    <n v="0"/>
    <s v="LAB-1273"/>
    <x v="6"/>
    <x v="0"/>
    <x v="0"/>
    <n v="1"/>
    <x v="0"/>
  </r>
  <r>
    <n v="26"/>
    <s v="No"/>
    <s v="Travel_Rarely"/>
    <n v="583"/>
    <x v="1"/>
    <n v="4"/>
    <n v="2"/>
    <s v="Life Sciences"/>
    <n v="1"/>
    <n v="1275"/>
    <n v="3"/>
    <s v="Male"/>
    <n v="53"/>
    <n v="3"/>
    <n v="1"/>
    <s v="Research Scientist"/>
    <n v="4"/>
    <s v="Single"/>
    <n v="2875"/>
    <n v="9973"/>
    <n v="1"/>
    <s v="Y"/>
    <s v="Yes"/>
    <n v="20"/>
    <n v="4"/>
    <n v="2"/>
    <n v="80"/>
    <n v="0"/>
    <n v="8"/>
    <n v="2"/>
    <n v="2"/>
    <n v="8"/>
    <n v="5"/>
    <n v="2"/>
    <n v="2"/>
    <s v="LAB-1275"/>
    <x v="1"/>
    <x v="1"/>
    <x v="1"/>
    <n v="8"/>
    <x v="0"/>
  </r>
  <r>
    <n v="45"/>
    <s v="Yes"/>
    <s v="Travel_Rarely"/>
    <n v="1449"/>
    <x v="0"/>
    <n v="2"/>
    <n v="3"/>
    <s v="Marketing"/>
    <n v="1"/>
    <n v="1277"/>
    <n v="1"/>
    <s v="Female"/>
    <n v="94"/>
    <n v="1"/>
    <n v="5"/>
    <s v="Manager"/>
    <n v="2"/>
    <s v="Single"/>
    <n v="18824"/>
    <n v="2493"/>
    <n v="2"/>
    <s v="Y"/>
    <s v="Yes"/>
    <n v="16"/>
    <n v="3"/>
    <n v="1"/>
    <n v="80"/>
    <n v="0"/>
    <n v="26"/>
    <n v="2"/>
    <n v="3"/>
    <n v="24"/>
    <n v="10"/>
    <n v="1"/>
    <n v="11"/>
    <s v="LAB-1277"/>
    <x v="5"/>
    <x v="0"/>
    <x v="0"/>
    <n v="24"/>
    <x v="0"/>
  </r>
  <r>
    <n v="55"/>
    <s v="No"/>
    <s v="Non-Travel"/>
    <n v="177"/>
    <x v="1"/>
    <n v="8"/>
    <n v="1"/>
    <s v="Medical"/>
    <n v="1"/>
    <n v="1278"/>
    <n v="4"/>
    <s v="Male"/>
    <n v="37"/>
    <n v="2"/>
    <n v="4"/>
    <s v="Healthcare Representative"/>
    <n v="2"/>
    <s v="Divorced"/>
    <n v="13577"/>
    <n v="25592"/>
    <n v="1"/>
    <s v="Y"/>
    <s v="Yes"/>
    <n v="15"/>
    <n v="3"/>
    <n v="4"/>
    <n v="80"/>
    <n v="1"/>
    <n v="34"/>
    <n v="3"/>
    <n v="3"/>
    <n v="33"/>
    <n v="9"/>
    <n v="15"/>
    <n v="0"/>
    <s v="LAB-1278"/>
    <x v="4"/>
    <x v="1"/>
    <x v="1"/>
    <n v="33"/>
    <x v="0"/>
  </r>
  <r>
    <n v="21"/>
    <s v="Yes"/>
    <s v="Travel_Frequently"/>
    <n v="251"/>
    <x v="1"/>
    <n v="10"/>
    <n v="2"/>
    <s v="Life Sciences"/>
    <n v="1"/>
    <n v="1279"/>
    <n v="1"/>
    <s v="Female"/>
    <n v="45"/>
    <n v="2"/>
    <n v="1"/>
    <s v="Laboratory Technician"/>
    <n v="3"/>
    <s v="Single"/>
    <n v="2625"/>
    <n v="25308"/>
    <n v="1"/>
    <s v="Y"/>
    <s v="No"/>
    <n v="20"/>
    <n v="4"/>
    <n v="3"/>
    <n v="80"/>
    <n v="0"/>
    <n v="2"/>
    <n v="2"/>
    <n v="1"/>
    <n v="2"/>
    <n v="2"/>
    <n v="2"/>
    <n v="2"/>
    <s v="LAB-1279"/>
    <x v="2"/>
    <x v="1"/>
    <x v="0"/>
    <n v="2"/>
    <x v="0"/>
  </r>
  <r>
    <n v="46"/>
    <s v="No"/>
    <s v="Travel_Rarely"/>
    <n v="168"/>
    <x v="0"/>
    <n v="4"/>
    <n v="2"/>
    <s v="Marketing"/>
    <n v="1"/>
    <n v="1280"/>
    <n v="4"/>
    <s v="Female"/>
    <n v="33"/>
    <n v="2"/>
    <n v="5"/>
    <s v="Manager"/>
    <n v="2"/>
    <s v="Married"/>
    <n v="18789"/>
    <n v="9946"/>
    <n v="2"/>
    <s v="Y"/>
    <s v="No"/>
    <n v="14"/>
    <n v="3"/>
    <n v="3"/>
    <n v="80"/>
    <n v="1"/>
    <n v="26"/>
    <n v="2"/>
    <n v="3"/>
    <n v="11"/>
    <n v="4"/>
    <n v="0"/>
    <n v="8"/>
    <s v="LAB-1280"/>
    <x v="5"/>
    <x v="0"/>
    <x v="1"/>
    <n v="11"/>
    <x v="0"/>
  </r>
  <r>
    <n v="34"/>
    <s v="No"/>
    <s v="Travel_Rarely"/>
    <n v="131"/>
    <x v="0"/>
    <n v="2"/>
    <n v="3"/>
    <s v="Marketing"/>
    <n v="1"/>
    <n v="1281"/>
    <n v="3"/>
    <s v="Female"/>
    <n v="86"/>
    <n v="3"/>
    <n v="2"/>
    <s v="Sales Executive"/>
    <n v="1"/>
    <s v="Single"/>
    <n v="4538"/>
    <n v="6039"/>
    <n v="0"/>
    <s v="Y"/>
    <s v="Yes"/>
    <n v="12"/>
    <n v="3"/>
    <n v="4"/>
    <n v="80"/>
    <n v="0"/>
    <n v="4"/>
    <n v="3"/>
    <n v="3"/>
    <n v="3"/>
    <n v="2"/>
    <n v="0"/>
    <n v="2"/>
    <s v="LAB-1281"/>
    <x v="0"/>
    <x v="0"/>
    <x v="1"/>
    <n v="3"/>
    <x v="0"/>
  </r>
  <r>
    <n v="51"/>
    <s v="No"/>
    <s v="Travel_Frequently"/>
    <n v="237"/>
    <x v="0"/>
    <n v="9"/>
    <n v="3"/>
    <s v="Life Sciences"/>
    <n v="1"/>
    <n v="1282"/>
    <n v="4"/>
    <s v="Male"/>
    <n v="83"/>
    <n v="3"/>
    <n v="5"/>
    <s v="Manager"/>
    <n v="2"/>
    <s v="Divorced"/>
    <n v="19847"/>
    <n v="19196"/>
    <n v="4"/>
    <s v="Y"/>
    <s v="Yes"/>
    <n v="24"/>
    <n v="4"/>
    <n v="1"/>
    <n v="80"/>
    <n v="1"/>
    <n v="31"/>
    <n v="5"/>
    <n v="2"/>
    <n v="29"/>
    <n v="10"/>
    <n v="11"/>
    <n v="10"/>
    <s v="LAB-1282"/>
    <x v="5"/>
    <x v="0"/>
    <x v="1"/>
    <n v="29"/>
    <x v="0"/>
  </r>
  <r>
    <n v="59"/>
    <s v="No"/>
    <s v="Travel_Rarely"/>
    <n v="1429"/>
    <x v="1"/>
    <n v="18"/>
    <n v="4"/>
    <s v="Medical"/>
    <n v="1"/>
    <n v="1283"/>
    <n v="4"/>
    <s v="Male"/>
    <n v="67"/>
    <n v="3"/>
    <n v="3"/>
    <s v="Manufacturing Director"/>
    <n v="4"/>
    <s v="Single"/>
    <n v="10512"/>
    <n v="20002"/>
    <n v="6"/>
    <s v="Y"/>
    <s v="No"/>
    <n v="12"/>
    <n v="3"/>
    <n v="4"/>
    <n v="80"/>
    <n v="0"/>
    <n v="25"/>
    <n v="6"/>
    <n v="2"/>
    <n v="9"/>
    <n v="7"/>
    <n v="5"/>
    <n v="4"/>
    <s v="LAB-1283"/>
    <x v="3"/>
    <x v="1"/>
    <x v="1"/>
    <n v="9"/>
    <x v="0"/>
  </r>
  <r>
    <n v="34"/>
    <s v="No"/>
    <s v="Travel_Frequently"/>
    <n v="135"/>
    <x v="1"/>
    <n v="19"/>
    <n v="3"/>
    <s v="Medical"/>
    <n v="1"/>
    <n v="1285"/>
    <n v="3"/>
    <s v="Female"/>
    <n v="46"/>
    <n v="3"/>
    <n v="2"/>
    <s v="Laboratory Technician"/>
    <n v="2"/>
    <s v="Divorced"/>
    <n v="4444"/>
    <n v="22534"/>
    <n v="4"/>
    <s v="Y"/>
    <s v="No"/>
    <n v="13"/>
    <n v="3"/>
    <n v="3"/>
    <n v="80"/>
    <n v="2"/>
    <n v="15"/>
    <n v="2"/>
    <n v="4"/>
    <n v="11"/>
    <n v="8"/>
    <n v="5"/>
    <n v="10"/>
    <s v="LAB-1285"/>
    <x v="2"/>
    <x v="1"/>
    <x v="1"/>
    <n v="11"/>
    <x v="0"/>
  </r>
  <r>
    <n v="28"/>
    <s v="No"/>
    <s v="Travel_Frequently"/>
    <n v="791"/>
    <x v="1"/>
    <n v="1"/>
    <n v="4"/>
    <s v="Medical"/>
    <n v="1"/>
    <n v="1286"/>
    <n v="4"/>
    <s v="Male"/>
    <n v="44"/>
    <n v="3"/>
    <n v="1"/>
    <s v="Laboratory Technician"/>
    <n v="3"/>
    <s v="Single"/>
    <n v="2154"/>
    <n v="6842"/>
    <n v="0"/>
    <s v="Y"/>
    <s v="Yes"/>
    <n v="11"/>
    <n v="3"/>
    <n v="3"/>
    <n v="80"/>
    <n v="0"/>
    <n v="5"/>
    <n v="2"/>
    <n v="2"/>
    <n v="4"/>
    <n v="2"/>
    <n v="0"/>
    <n v="2"/>
    <s v="LAB-1286"/>
    <x v="2"/>
    <x v="1"/>
    <x v="1"/>
    <n v="4"/>
    <x v="0"/>
  </r>
  <r>
    <n v="44"/>
    <s v="No"/>
    <s v="Travel_Rarely"/>
    <n v="1199"/>
    <x v="1"/>
    <n v="4"/>
    <n v="2"/>
    <s v="Life Sciences"/>
    <n v="1"/>
    <n v="1288"/>
    <n v="3"/>
    <s v="Male"/>
    <n v="92"/>
    <n v="4"/>
    <n v="5"/>
    <s v="Manager"/>
    <n v="1"/>
    <s v="Divorced"/>
    <n v="19190"/>
    <n v="17477"/>
    <n v="1"/>
    <s v="Y"/>
    <s v="No"/>
    <n v="14"/>
    <n v="3"/>
    <n v="4"/>
    <n v="80"/>
    <n v="2"/>
    <n v="26"/>
    <n v="4"/>
    <n v="2"/>
    <n v="25"/>
    <n v="9"/>
    <n v="14"/>
    <n v="13"/>
    <s v="LAB-1288"/>
    <x v="5"/>
    <x v="1"/>
    <x v="1"/>
    <n v="25"/>
    <x v="0"/>
  </r>
  <r>
    <n v="34"/>
    <s v="No"/>
    <s v="Travel_Frequently"/>
    <n v="648"/>
    <x v="2"/>
    <n v="11"/>
    <n v="3"/>
    <s v="Life Sciences"/>
    <n v="1"/>
    <n v="1289"/>
    <n v="3"/>
    <s v="Male"/>
    <n v="56"/>
    <n v="2"/>
    <n v="2"/>
    <s v="Human Resources"/>
    <n v="2"/>
    <s v="Married"/>
    <n v="4490"/>
    <n v="21833"/>
    <n v="4"/>
    <s v="Y"/>
    <s v="No"/>
    <n v="11"/>
    <n v="3"/>
    <n v="4"/>
    <n v="80"/>
    <n v="2"/>
    <n v="14"/>
    <n v="5"/>
    <n v="4"/>
    <n v="10"/>
    <n v="9"/>
    <n v="1"/>
    <n v="8"/>
    <s v="LAB-1289"/>
    <x v="8"/>
    <x v="2"/>
    <x v="1"/>
    <n v="10"/>
    <x v="0"/>
  </r>
  <r>
    <n v="35"/>
    <s v="No"/>
    <s v="Travel_Rarely"/>
    <n v="735"/>
    <x v="1"/>
    <n v="6"/>
    <n v="1"/>
    <s v="Life Sciences"/>
    <n v="1"/>
    <n v="1291"/>
    <n v="3"/>
    <s v="Male"/>
    <n v="66"/>
    <n v="3"/>
    <n v="1"/>
    <s v="Research Scientist"/>
    <n v="3"/>
    <s v="Married"/>
    <n v="3506"/>
    <n v="6020"/>
    <n v="0"/>
    <s v="Y"/>
    <s v="Yes"/>
    <n v="14"/>
    <n v="3"/>
    <n v="4"/>
    <n v="80"/>
    <n v="0"/>
    <n v="4"/>
    <n v="3"/>
    <n v="3"/>
    <n v="3"/>
    <n v="2"/>
    <n v="2"/>
    <n v="2"/>
    <s v="LAB-1291"/>
    <x v="1"/>
    <x v="1"/>
    <x v="1"/>
    <n v="3"/>
    <x v="0"/>
  </r>
  <r>
    <n v="42"/>
    <s v="No"/>
    <s v="Travel_Rarely"/>
    <n v="603"/>
    <x v="1"/>
    <n v="7"/>
    <n v="4"/>
    <s v="Medical"/>
    <n v="1"/>
    <n v="1292"/>
    <n v="2"/>
    <s v="Female"/>
    <n v="78"/>
    <n v="4"/>
    <n v="2"/>
    <s v="Research Scientist"/>
    <n v="2"/>
    <s v="Married"/>
    <n v="2372"/>
    <n v="5628"/>
    <n v="6"/>
    <s v="Y"/>
    <s v="Yes"/>
    <n v="16"/>
    <n v="3"/>
    <n v="4"/>
    <n v="80"/>
    <n v="0"/>
    <n v="18"/>
    <n v="2"/>
    <n v="3"/>
    <n v="1"/>
    <n v="0"/>
    <n v="0"/>
    <n v="0"/>
    <s v="LAB-1292"/>
    <x v="1"/>
    <x v="1"/>
    <x v="1"/>
    <n v="1"/>
    <x v="0"/>
  </r>
  <r>
    <n v="43"/>
    <s v="No"/>
    <s v="Travel_Rarely"/>
    <n v="531"/>
    <x v="0"/>
    <n v="4"/>
    <n v="4"/>
    <s v="Marketing"/>
    <n v="1"/>
    <n v="1293"/>
    <n v="4"/>
    <s v="Female"/>
    <n v="56"/>
    <n v="2"/>
    <n v="3"/>
    <s v="Sales Executive"/>
    <n v="4"/>
    <s v="Single"/>
    <n v="10231"/>
    <n v="20364"/>
    <n v="3"/>
    <s v="Y"/>
    <s v="No"/>
    <n v="14"/>
    <n v="3"/>
    <n v="4"/>
    <n v="80"/>
    <n v="0"/>
    <n v="23"/>
    <n v="3"/>
    <n v="4"/>
    <n v="21"/>
    <n v="7"/>
    <n v="15"/>
    <n v="17"/>
    <s v="LAB-1293"/>
    <x v="0"/>
    <x v="0"/>
    <x v="1"/>
    <n v="21"/>
    <x v="0"/>
  </r>
  <r>
    <n v="36"/>
    <s v="No"/>
    <s v="Travel_Rarely"/>
    <n v="429"/>
    <x v="1"/>
    <n v="2"/>
    <n v="4"/>
    <s v="Life Sciences"/>
    <n v="1"/>
    <n v="1294"/>
    <n v="3"/>
    <s v="Female"/>
    <n v="53"/>
    <n v="3"/>
    <n v="2"/>
    <s v="Manufacturing Director"/>
    <n v="2"/>
    <s v="Single"/>
    <n v="5410"/>
    <n v="2323"/>
    <n v="9"/>
    <s v="Y"/>
    <s v="Yes"/>
    <n v="11"/>
    <n v="3"/>
    <n v="4"/>
    <n v="80"/>
    <n v="0"/>
    <n v="18"/>
    <n v="2"/>
    <n v="3"/>
    <n v="16"/>
    <n v="14"/>
    <n v="5"/>
    <n v="12"/>
    <s v="LAB-1294"/>
    <x v="3"/>
    <x v="1"/>
    <x v="1"/>
    <n v="16"/>
    <x v="0"/>
  </r>
  <r>
    <n v="44"/>
    <s v="Yes"/>
    <s v="Travel_Rarely"/>
    <n v="621"/>
    <x v="1"/>
    <n v="15"/>
    <n v="3"/>
    <s v="Medical"/>
    <n v="1"/>
    <n v="1295"/>
    <n v="1"/>
    <s v="Female"/>
    <n v="73"/>
    <n v="3"/>
    <n v="3"/>
    <s v="Healthcare Representative"/>
    <n v="4"/>
    <s v="Married"/>
    <n v="7978"/>
    <n v="14075"/>
    <n v="1"/>
    <s v="Y"/>
    <s v="No"/>
    <n v="11"/>
    <n v="3"/>
    <n v="4"/>
    <n v="80"/>
    <n v="1"/>
    <n v="10"/>
    <n v="2"/>
    <n v="3"/>
    <n v="10"/>
    <n v="7"/>
    <n v="0"/>
    <n v="5"/>
    <s v="LAB-1295"/>
    <x v="4"/>
    <x v="1"/>
    <x v="0"/>
    <n v="10"/>
    <x v="0"/>
  </r>
  <r>
    <n v="28"/>
    <s v="No"/>
    <s v="Travel_Frequently"/>
    <n v="193"/>
    <x v="1"/>
    <n v="2"/>
    <n v="3"/>
    <s v="Life Sciences"/>
    <n v="1"/>
    <n v="1296"/>
    <n v="4"/>
    <s v="Male"/>
    <n v="52"/>
    <n v="2"/>
    <n v="1"/>
    <s v="Laboratory Technician"/>
    <n v="4"/>
    <s v="Married"/>
    <n v="3867"/>
    <n v="14222"/>
    <n v="1"/>
    <s v="Y"/>
    <s v="Yes"/>
    <n v="12"/>
    <n v="3"/>
    <n v="2"/>
    <n v="80"/>
    <n v="1"/>
    <n v="2"/>
    <n v="2"/>
    <n v="3"/>
    <n v="2"/>
    <n v="2"/>
    <n v="2"/>
    <n v="2"/>
    <s v="LAB-1296"/>
    <x v="2"/>
    <x v="1"/>
    <x v="1"/>
    <n v="2"/>
    <x v="0"/>
  </r>
  <r>
    <n v="51"/>
    <s v="No"/>
    <s v="Travel_Frequently"/>
    <n v="968"/>
    <x v="1"/>
    <n v="6"/>
    <n v="2"/>
    <s v="Medical"/>
    <n v="1"/>
    <n v="1297"/>
    <n v="2"/>
    <s v="Female"/>
    <n v="40"/>
    <n v="2"/>
    <n v="1"/>
    <s v="Laboratory Technician"/>
    <n v="3"/>
    <s v="Single"/>
    <n v="2838"/>
    <n v="4257"/>
    <n v="0"/>
    <s v="Y"/>
    <s v="No"/>
    <n v="14"/>
    <n v="3"/>
    <n v="2"/>
    <n v="80"/>
    <n v="0"/>
    <n v="8"/>
    <n v="6"/>
    <n v="2"/>
    <n v="7"/>
    <n v="0"/>
    <n v="7"/>
    <n v="7"/>
    <s v="LAB-1297"/>
    <x v="2"/>
    <x v="1"/>
    <x v="1"/>
    <n v="7"/>
    <x v="0"/>
  </r>
  <r>
    <n v="30"/>
    <s v="No"/>
    <s v="Non-Travel"/>
    <n v="879"/>
    <x v="1"/>
    <n v="9"/>
    <n v="2"/>
    <s v="Medical"/>
    <n v="1"/>
    <n v="1298"/>
    <n v="3"/>
    <s v="Female"/>
    <n v="72"/>
    <n v="3"/>
    <n v="2"/>
    <s v="Manufacturing Director"/>
    <n v="3"/>
    <s v="Single"/>
    <n v="4695"/>
    <n v="12858"/>
    <n v="7"/>
    <s v="Y"/>
    <s v="Yes"/>
    <n v="18"/>
    <n v="3"/>
    <n v="3"/>
    <n v="80"/>
    <n v="0"/>
    <n v="10"/>
    <n v="3"/>
    <n v="3"/>
    <n v="8"/>
    <n v="4"/>
    <n v="1"/>
    <n v="7"/>
    <s v="LAB-1298"/>
    <x v="3"/>
    <x v="1"/>
    <x v="1"/>
    <n v="8"/>
    <x v="0"/>
  </r>
  <r>
    <n v="29"/>
    <s v="Yes"/>
    <s v="Travel_Rarely"/>
    <n v="806"/>
    <x v="1"/>
    <n v="7"/>
    <n v="3"/>
    <s v="Technical Degree"/>
    <n v="1"/>
    <n v="1299"/>
    <n v="2"/>
    <s v="Female"/>
    <n v="39"/>
    <n v="3"/>
    <n v="1"/>
    <s v="Laboratory Technician"/>
    <n v="3"/>
    <s v="Divorced"/>
    <n v="3339"/>
    <n v="17285"/>
    <n v="3"/>
    <s v="Y"/>
    <s v="Yes"/>
    <n v="13"/>
    <n v="3"/>
    <n v="1"/>
    <n v="80"/>
    <n v="2"/>
    <n v="10"/>
    <n v="2"/>
    <n v="3"/>
    <n v="7"/>
    <n v="7"/>
    <n v="7"/>
    <n v="7"/>
    <s v="LAB-1299"/>
    <x v="2"/>
    <x v="1"/>
    <x v="0"/>
    <n v="7"/>
    <x v="0"/>
  </r>
  <r>
    <n v="28"/>
    <s v="No"/>
    <s v="Travel_Rarely"/>
    <n v="640"/>
    <x v="1"/>
    <n v="1"/>
    <n v="3"/>
    <s v="Technical Degree"/>
    <n v="1"/>
    <n v="1301"/>
    <n v="4"/>
    <s v="Male"/>
    <n v="84"/>
    <n v="3"/>
    <n v="1"/>
    <s v="Research Scientist"/>
    <n v="1"/>
    <s v="Single"/>
    <n v="2080"/>
    <n v="4732"/>
    <n v="2"/>
    <s v="Y"/>
    <s v="No"/>
    <n v="11"/>
    <n v="3"/>
    <n v="2"/>
    <n v="80"/>
    <n v="0"/>
    <n v="5"/>
    <n v="2"/>
    <n v="2"/>
    <n v="3"/>
    <n v="2"/>
    <n v="1"/>
    <n v="2"/>
    <s v="LAB-1301"/>
    <x v="1"/>
    <x v="1"/>
    <x v="1"/>
    <n v="3"/>
    <x v="0"/>
  </r>
  <r>
    <n v="25"/>
    <s v="No"/>
    <s v="Travel_Rarely"/>
    <n v="266"/>
    <x v="1"/>
    <n v="1"/>
    <n v="3"/>
    <s v="Medical"/>
    <n v="1"/>
    <n v="1303"/>
    <n v="4"/>
    <s v="Female"/>
    <n v="40"/>
    <n v="3"/>
    <n v="1"/>
    <s v="Research Scientist"/>
    <n v="2"/>
    <s v="Single"/>
    <n v="2096"/>
    <n v="18830"/>
    <n v="1"/>
    <s v="Y"/>
    <s v="No"/>
    <n v="18"/>
    <n v="3"/>
    <n v="4"/>
    <n v="80"/>
    <n v="0"/>
    <n v="2"/>
    <n v="3"/>
    <n v="2"/>
    <n v="2"/>
    <n v="2"/>
    <n v="2"/>
    <n v="1"/>
    <s v="LAB-1303"/>
    <x v="1"/>
    <x v="1"/>
    <x v="1"/>
    <n v="2"/>
    <x v="0"/>
  </r>
  <r>
    <n v="32"/>
    <s v="No"/>
    <s v="Travel_Rarely"/>
    <n v="604"/>
    <x v="0"/>
    <n v="8"/>
    <n v="3"/>
    <s v="Medical"/>
    <n v="1"/>
    <n v="1304"/>
    <n v="3"/>
    <s v="Male"/>
    <n v="56"/>
    <n v="4"/>
    <n v="2"/>
    <s v="Sales Executive"/>
    <n v="4"/>
    <s v="Married"/>
    <n v="6209"/>
    <n v="11693"/>
    <n v="1"/>
    <s v="Y"/>
    <s v="No"/>
    <n v="15"/>
    <n v="3"/>
    <n v="3"/>
    <n v="80"/>
    <n v="2"/>
    <n v="10"/>
    <n v="4"/>
    <n v="4"/>
    <n v="10"/>
    <n v="7"/>
    <n v="0"/>
    <n v="8"/>
    <s v="LAB-1304"/>
    <x v="0"/>
    <x v="0"/>
    <x v="1"/>
    <n v="10"/>
    <x v="0"/>
  </r>
  <r>
    <n v="45"/>
    <s v="No"/>
    <s v="Travel_Frequently"/>
    <n v="364"/>
    <x v="1"/>
    <n v="25"/>
    <n v="3"/>
    <s v="Medical"/>
    <n v="1"/>
    <n v="1306"/>
    <n v="2"/>
    <s v="Female"/>
    <n v="83"/>
    <n v="3"/>
    <n v="5"/>
    <s v="Manager"/>
    <n v="2"/>
    <s v="Single"/>
    <n v="18061"/>
    <n v="13035"/>
    <n v="3"/>
    <s v="Y"/>
    <s v="No"/>
    <n v="22"/>
    <n v="4"/>
    <n v="3"/>
    <n v="80"/>
    <n v="0"/>
    <n v="22"/>
    <n v="4"/>
    <n v="3"/>
    <n v="0"/>
    <n v="0"/>
    <n v="0"/>
    <n v="0"/>
    <s v="LAB-1306"/>
    <x v="5"/>
    <x v="1"/>
    <x v="1"/>
    <n v="0"/>
    <x v="0"/>
  </r>
  <r>
    <n v="39"/>
    <s v="No"/>
    <s v="Travel_Rarely"/>
    <n v="412"/>
    <x v="1"/>
    <n v="13"/>
    <n v="4"/>
    <s v="Medical"/>
    <n v="1"/>
    <n v="1307"/>
    <n v="3"/>
    <s v="Female"/>
    <n v="94"/>
    <n v="2"/>
    <n v="4"/>
    <s v="Manager"/>
    <n v="2"/>
    <s v="Divorced"/>
    <n v="17123"/>
    <n v="17334"/>
    <n v="6"/>
    <s v="Y"/>
    <s v="Yes"/>
    <n v="13"/>
    <n v="3"/>
    <n v="4"/>
    <n v="80"/>
    <n v="2"/>
    <n v="21"/>
    <n v="4"/>
    <n v="3"/>
    <n v="19"/>
    <n v="9"/>
    <n v="15"/>
    <n v="2"/>
    <s v="LAB-1307"/>
    <x v="5"/>
    <x v="1"/>
    <x v="1"/>
    <n v="19"/>
    <x v="0"/>
  </r>
  <r>
    <n v="58"/>
    <s v="No"/>
    <s v="Travel_Rarely"/>
    <n v="848"/>
    <x v="1"/>
    <n v="23"/>
    <n v="4"/>
    <s v="Life Sciences"/>
    <n v="1"/>
    <n v="1308"/>
    <n v="1"/>
    <s v="Male"/>
    <n v="88"/>
    <n v="3"/>
    <n v="1"/>
    <s v="Research Scientist"/>
    <n v="3"/>
    <s v="Divorced"/>
    <n v="2372"/>
    <n v="26076"/>
    <n v="1"/>
    <s v="Y"/>
    <s v="No"/>
    <n v="12"/>
    <n v="3"/>
    <n v="4"/>
    <n v="80"/>
    <n v="2"/>
    <n v="2"/>
    <n v="3"/>
    <n v="3"/>
    <n v="2"/>
    <n v="2"/>
    <n v="2"/>
    <n v="2"/>
    <s v="LAB-1308"/>
    <x v="1"/>
    <x v="1"/>
    <x v="1"/>
    <n v="2"/>
    <x v="0"/>
  </r>
  <r>
    <n v="32"/>
    <s v="Yes"/>
    <s v="Travel_Rarely"/>
    <n v="1089"/>
    <x v="1"/>
    <n v="7"/>
    <n v="2"/>
    <s v="Life Sciences"/>
    <n v="1"/>
    <n v="1309"/>
    <n v="4"/>
    <s v="Male"/>
    <n v="79"/>
    <n v="3"/>
    <n v="2"/>
    <s v="Laboratory Technician"/>
    <n v="3"/>
    <s v="Married"/>
    <n v="4883"/>
    <n v="22845"/>
    <n v="1"/>
    <s v="Y"/>
    <s v="No"/>
    <n v="18"/>
    <n v="3"/>
    <n v="1"/>
    <n v="80"/>
    <n v="1"/>
    <n v="10"/>
    <n v="3"/>
    <n v="3"/>
    <n v="10"/>
    <n v="4"/>
    <n v="1"/>
    <n v="1"/>
    <s v="LAB-1309"/>
    <x v="2"/>
    <x v="1"/>
    <x v="0"/>
    <n v="10"/>
    <x v="0"/>
  </r>
  <r>
    <n v="39"/>
    <s v="Yes"/>
    <s v="Travel_Rarely"/>
    <n v="360"/>
    <x v="1"/>
    <n v="23"/>
    <n v="3"/>
    <s v="Medical"/>
    <n v="1"/>
    <n v="1310"/>
    <n v="3"/>
    <s v="Male"/>
    <n v="93"/>
    <n v="3"/>
    <n v="1"/>
    <s v="Research Scientist"/>
    <n v="1"/>
    <s v="Single"/>
    <n v="3904"/>
    <n v="22154"/>
    <n v="0"/>
    <s v="Y"/>
    <s v="No"/>
    <n v="13"/>
    <n v="3"/>
    <n v="1"/>
    <n v="80"/>
    <n v="0"/>
    <n v="6"/>
    <n v="2"/>
    <n v="3"/>
    <n v="5"/>
    <n v="2"/>
    <n v="0"/>
    <n v="3"/>
    <s v="LAB-1310"/>
    <x v="1"/>
    <x v="1"/>
    <x v="0"/>
    <n v="5"/>
    <x v="0"/>
  </r>
  <r>
    <n v="30"/>
    <s v="No"/>
    <s v="Travel_Rarely"/>
    <n v="1138"/>
    <x v="1"/>
    <n v="6"/>
    <n v="3"/>
    <s v="Technical Degree"/>
    <n v="1"/>
    <n v="1311"/>
    <n v="1"/>
    <s v="Female"/>
    <n v="48"/>
    <n v="2"/>
    <n v="2"/>
    <s v="Laboratory Technician"/>
    <n v="4"/>
    <s v="Married"/>
    <n v="4627"/>
    <n v="23631"/>
    <n v="0"/>
    <s v="Y"/>
    <s v="No"/>
    <n v="12"/>
    <n v="3"/>
    <n v="1"/>
    <n v="80"/>
    <n v="1"/>
    <n v="10"/>
    <n v="6"/>
    <n v="3"/>
    <n v="9"/>
    <n v="2"/>
    <n v="6"/>
    <n v="7"/>
    <s v="LAB-1311"/>
    <x v="2"/>
    <x v="1"/>
    <x v="1"/>
    <n v="9"/>
    <x v="0"/>
  </r>
  <r>
    <n v="36"/>
    <s v="No"/>
    <s v="Travel_Rarely"/>
    <n v="325"/>
    <x v="1"/>
    <n v="10"/>
    <n v="4"/>
    <s v="Technical Degree"/>
    <n v="1"/>
    <n v="1312"/>
    <n v="4"/>
    <s v="Female"/>
    <n v="63"/>
    <n v="3"/>
    <n v="3"/>
    <s v="Healthcare Representative"/>
    <n v="3"/>
    <s v="Married"/>
    <n v="7094"/>
    <n v="5747"/>
    <n v="3"/>
    <s v="Y"/>
    <s v="No"/>
    <n v="12"/>
    <n v="3"/>
    <n v="1"/>
    <n v="80"/>
    <n v="0"/>
    <n v="10"/>
    <n v="0"/>
    <n v="3"/>
    <n v="7"/>
    <n v="7"/>
    <n v="1"/>
    <n v="7"/>
    <s v="LAB-1312"/>
    <x v="4"/>
    <x v="1"/>
    <x v="1"/>
    <n v="7"/>
    <x v="0"/>
  </r>
  <r>
    <n v="46"/>
    <s v="No"/>
    <s v="Travel_Rarely"/>
    <n v="991"/>
    <x v="2"/>
    <n v="1"/>
    <n v="2"/>
    <s v="Life Sciences"/>
    <n v="1"/>
    <n v="1314"/>
    <n v="4"/>
    <s v="Female"/>
    <n v="44"/>
    <n v="3"/>
    <n v="1"/>
    <s v="Human Resources"/>
    <n v="1"/>
    <s v="Single"/>
    <n v="3423"/>
    <n v="22957"/>
    <n v="6"/>
    <s v="Y"/>
    <s v="No"/>
    <n v="12"/>
    <n v="3"/>
    <n v="3"/>
    <n v="80"/>
    <n v="0"/>
    <n v="10"/>
    <n v="3"/>
    <n v="4"/>
    <n v="7"/>
    <n v="6"/>
    <n v="5"/>
    <n v="7"/>
    <s v="LAB-1314"/>
    <x v="8"/>
    <x v="2"/>
    <x v="1"/>
    <n v="7"/>
    <x v="0"/>
  </r>
  <r>
    <n v="28"/>
    <s v="No"/>
    <s v="Non-Travel"/>
    <n v="1476"/>
    <x v="1"/>
    <n v="1"/>
    <n v="3"/>
    <s v="Life Sciences"/>
    <n v="1"/>
    <n v="1315"/>
    <n v="3"/>
    <s v="Female"/>
    <n v="55"/>
    <n v="1"/>
    <n v="2"/>
    <s v="Laboratory Technician"/>
    <n v="4"/>
    <s v="Married"/>
    <n v="6674"/>
    <n v="16392"/>
    <n v="0"/>
    <s v="Y"/>
    <s v="No"/>
    <n v="11"/>
    <n v="3"/>
    <n v="1"/>
    <n v="80"/>
    <n v="3"/>
    <n v="10"/>
    <n v="6"/>
    <n v="3"/>
    <n v="9"/>
    <n v="8"/>
    <n v="7"/>
    <n v="5"/>
    <s v="LAB-1315"/>
    <x v="2"/>
    <x v="1"/>
    <x v="1"/>
    <n v="9"/>
    <x v="0"/>
  </r>
  <r>
    <n v="50"/>
    <s v="No"/>
    <s v="Travel_Rarely"/>
    <n v="1322"/>
    <x v="1"/>
    <n v="28"/>
    <n v="3"/>
    <s v="Life Sciences"/>
    <n v="1"/>
    <n v="1317"/>
    <n v="4"/>
    <s v="Female"/>
    <n v="43"/>
    <n v="3"/>
    <n v="4"/>
    <s v="Research Director"/>
    <n v="1"/>
    <s v="Married"/>
    <n v="16880"/>
    <n v="22422"/>
    <n v="4"/>
    <s v="Y"/>
    <s v="Yes"/>
    <n v="11"/>
    <n v="3"/>
    <n v="2"/>
    <n v="80"/>
    <n v="0"/>
    <n v="25"/>
    <n v="2"/>
    <n v="3"/>
    <n v="3"/>
    <n v="2"/>
    <n v="1"/>
    <n v="2"/>
    <s v="LAB-1317"/>
    <x v="7"/>
    <x v="1"/>
    <x v="1"/>
    <n v="3"/>
    <x v="0"/>
  </r>
  <r>
    <n v="40"/>
    <s v="Yes"/>
    <s v="Travel_Rarely"/>
    <n v="299"/>
    <x v="0"/>
    <n v="25"/>
    <n v="4"/>
    <s v="Marketing"/>
    <n v="1"/>
    <n v="1318"/>
    <n v="4"/>
    <s v="Male"/>
    <n v="57"/>
    <n v="2"/>
    <n v="3"/>
    <s v="Sales Executive"/>
    <n v="2"/>
    <s v="Single"/>
    <n v="9094"/>
    <n v="17235"/>
    <n v="2"/>
    <s v="Y"/>
    <s v="Yes"/>
    <n v="12"/>
    <n v="3"/>
    <n v="3"/>
    <n v="80"/>
    <n v="0"/>
    <n v="9"/>
    <n v="2"/>
    <n v="3"/>
    <n v="5"/>
    <n v="4"/>
    <n v="1"/>
    <n v="0"/>
    <s v="LAB-1318"/>
    <x v="0"/>
    <x v="0"/>
    <x v="0"/>
    <n v="5"/>
    <x v="0"/>
  </r>
  <r>
    <n v="52"/>
    <s v="Yes"/>
    <s v="Travel_Rarely"/>
    <n v="1030"/>
    <x v="0"/>
    <n v="5"/>
    <n v="3"/>
    <s v="Life Sciences"/>
    <n v="1"/>
    <n v="1319"/>
    <n v="2"/>
    <s v="Male"/>
    <n v="64"/>
    <n v="3"/>
    <n v="3"/>
    <s v="Sales Executive"/>
    <n v="2"/>
    <s v="Single"/>
    <n v="8446"/>
    <n v="21534"/>
    <n v="9"/>
    <s v="Y"/>
    <s v="Yes"/>
    <n v="19"/>
    <n v="3"/>
    <n v="3"/>
    <n v="80"/>
    <n v="0"/>
    <n v="10"/>
    <n v="2"/>
    <n v="2"/>
    <n v="8"/>
    <n v="7"/>
    <n v="7"/>
    <n v="7"/>
    <s v="LAB-1319"/>
    <x v="0"/>
    <x v="0"/>
    <x v="0"/>
    <n v="8"/>
    <x v="0"/>
  </r>
  <r>
    <n v="30"/>
    <s v="No"/>
    <s v="Travel_Rarely"/>
    <n v="634"/>
    <x v="1"/>
    <n v="17"/>
    <n v="4"/>
    <s v="Medical"/>
    <n v="1"/>
    <n v="1321"/>
    <n v="2"/>
    <s v="Female"/>
    <n v="95"/>
    <n v="3"/>
    <n v="3"/>
    <s v="Manager"/>
    <n v="1"/>
    <s v="Married"/>
    <n v="11916"/>
    <n v="25927"/>
    <n v="1"/>
    <s v="Y"/>
    <s v="Yes"/>
    <n v="23"/>
    <n v="4"/>
    <n v="4"/>
    <n v="80"/>
    <n v="2"/>
    <n v="9"/>
    <n v="2"/>
    <n v="3"/>
    <n v="9"/>
    <n v="1"/>
    <n v="0"/>
    <n v="8"/>
    <s v="LAB-1321"/>
    <x v="5"/>
    <x v="1"/>
    <x v="1"/>
    <n v="9"/>
    <x v="0"/>
  </r>
  <r>
    <n v="39"/>
    <s v="No"/>
    <s v="Travel_Rarely"/>
    <n v="524"/>
    <x v="1"/>
    <n v="18"/>
    <n v="2"/>
    <s v="Life Sciences"/>
    <n v="1"/>
    <n v="1322"/>
    <n v="1"/>
    <s v="Male"/>
    <n v="32"/>
    <n v="3"/>
    <n v="2"/>
    <s v="Manufacturing Director"/>
    <n v="3"/>
    <s v="Single"/>
    <n v="4534"/>
    <n v="13352"/>
    <n v="0"/>
    <s v="Y"/>
    <s v="No"/>
    <n v="11"/>
    <n v="3"/>
    <n v="1"/>
    <n v="80"/>
    <n v="0"/>
    <n v="9"/>
    <n v="6"/>
    <n v="3"/>
    <n v="8"/>
    <n v="7"/>
    <n v="1"/>
    <n v="7"/>
    <s v="LAB-1322"/>
    <x v="3"/>
    <x v="1"/>
    <x v="1"/>
    <n v="8"/>
    <x v="0"/>
  </r>
  <r>
    <n v="31"/>
    <s v="No"/>
    <s v="Non-Travel"/>
    <n v="587"/>
    <x v="0"/>
    <n v="2"/>
    <n v="4"/>
    <s v="Life Sciences"/>
    <n v="1"/>
    <n v="1324"/>
    <n v="4"/>
    <s v="Female"/>
    <n v="57"/>
    <n v="3"/>
    <n v="3"/>
    <s v="Sales Executive"/>
    <n v="3"/>
    <s v="Divorced"/>
    <n v="9852"/>
    <n v="8935"/>
    <n v="1"/>
    <s v="Y"/>
    <s v="Yes"/>
    <n v="19"/>
    <n v="3"/>
    <n v="1"/>
    <n v="80"/>
    <n v="1"/>
    <n v="10"/>
    <n v="5"/>
    <n v="2"/>
    <n v="10"/>
    <n v="8"/>
    <n v="9"/>
    <n v="6"/>
    <s v="LAB-1324"/>
    <x v="0"/>
    <x v="0"/>
    <x v="1"/>
    <n v="10"/>
    <x v="0"/>
  </r>
  <r>
    <n v="41"/>
    <s v="No"/>
    <s v="Non-Travel"/>
    <n v="256"/>
    <x v="0"/>
    <n v="10"/>
    <n v="2"/>
    <s v="Medical"/>
    <n v="1"/>
    <n v="1329"/>
    <n v="3"/>
    <s v="Male"/>
    <n v="40"/>
    <n v="1"/>
    <n v="2"/>
    <s v="Sales Executive"/>
    <n v="2"/>
    <s v="Single"/>
    <n v="6151"/>
    <n v="22074"/>
    <n v="1"/>
    <s v="Y"/>
    <s v="No"/>
    <n v="13"/>
    <n v="3"/>
    <n v="1"/>
    <n v="80"/>
    <n v="0"/>
    <n v="19"/>
    <n v="4"/>
    <n v="3"/>
    <n v="19"/>
    <n v="2"/>
    <n v="11"/>
    <n v="9"/>
    <s v="LAB-1329"/>
    <x v="0"/>
    <x v="0"/>
    <x v="1"/>
    <n v="19"/>
    <x v="0"/>
  </r>
  <r>
    <n v="31"/>
    <s v="Yes"/>
    <s v="Travel_Frequently"/>
    <n v="1060"/>
    <x v="0"/>
    <n v="1"/>
    <n v="3"/>
    <s v="Life Sciences"/>
    <n v="1"/>
    <n v="1331"/>
    <n v="4"/>
    <s v="Female"/>
    <n v="54"/>
    <n v="3"/>
    <n v="1"/>
    <s v="Sales Representative"/>
    <n v="2"/>
    <s v="Single"/>
    <n v="2302"/>
    <n v="8319"/>
    <n v="1"/>
    <s v="Y"/>
    <s v="Yes"/>
    <n v="11"/>
    <n v="3"/>
    <n v="1"/>
    <n v="80"/>
    <n v="0"/>
    <n v="3"/>
    <n v="2"/>
    <n v="4"/>
    <n v="3"/>
    <n v="2"/>
    <n v="2"/>
    <n v="2"/>
    <s v="LAB-1331"/>
    <x v="6"/>
    <x v="0"/>
    <x v="0"/>
    <n v="3"/>
    <x v="0"/>
  </r>
  <r>
    <n v="44"/>
    <s v="Yes"/>
    <s v="Travel_Rarely"/>
    <n v="935"/>
    <x v="1"/>
    <n v="3"/>
    <n v="3"/>
    <s v="Life Sciences"/>
    <n v="1"/>
    <n v="1333"/>
    <n v="1"/>
    <s v="Male"/>
    <n v="89"/>
    <n v="3"/>
    <n v="1"/>
    <s v="Laboratory Technician"/>
    <n v="1"/>
    <s v="Married"/>
    <n v="2362"/>
    <n v="14669"/>
    <n v="4"/>
    <s v="Y"/>
    <s v="No"/>
    <n v="12"/>
    <n v="3"/>
    <n v="3"/>
    <n v="80"/>
    <n v="0"/>
    <n v="10"/>
    <n v="4"/>
    <n v="4"/>
    <n v="3"/>
    <n v="2"/>
    <n v="1"/>
    <n v="2"/>
    <s v="LAB-1333"/>
    <x v="2"/>
    <x v="1"/>
    <x v="0"/>
    <n v="3"/>
    <x v="0"/>
  </r>
  <r>
    <n v="42"/>
    <s v="No"/>
    <s v="Non-Travel"/>
    <n v="495"/>
    <x v="1"/>
    <n v="2"/>
    <n v="1"/>
    <s v="Life Sciences"/>
    <n v="1"/>
    <n v="1334"/>
    <n v="3"/>
    <s v="Male"/>
    <n v="37"/>
    <n v="3"/>
    <n v="4"/>
    <s v="Manager"/>
    <n v="3"/>
    <s v="Married"/>
    <n v="17861"/>
    <n v="26582"/>
    <n v="0"/>
    <s v="Y"/>
    <s v="Yes"/>
    <n v="13"/>
    <n v="3"/>
    <n v="4"/>
    <n v="80"/>
    <n v="0"/>
    <n v="21"/>
    <n v="3"/>
    <n v="2"/>
    <n v="20"/>
    <n v="8"/>
    <n v="2"/>
    <n v="10"/>
    <s v="LAB-1334"/>
    <x v="5"/>
    <x v="1"/>
    <x v="1"/>
    <n v="20"/>
    <x v="0"/>
  </r>
  <r>
    <n v="55"/>
    <s v="No"/>
    <s v="Travel_Rarely"/>
    <n v="282"/>
    <x v="1"/>
    <n v="2"/>
    <n v="2"/>
    <s v="Medical"/>
    <n v="1"/>
    <n v="1336"/>
    <n v="4"/>
    <s v="Female"/>
    <n v="58"/>
    <n v="1"/>
    <n v="5"/>
    <s v="Manager"/>
    <n v="3"/>
    <s v="Married"/>
    <n v="19187"/>
    <n v="6992"/>
    <n v="4"/>
    <s v="Y"/>
    <s v="No"/>
    <n v="14"/>
    <n v="3"/>
    <n v="4"/>
    <n v="80"/>
    <n v="1"/>
    <n v="23"/>
    <n v="5"/>
    <n v="3"/>
    <n v="19"/>
    <n v="9"/>
    <n v="9"/>
    <n v="11"/>
    <s v="LAB-1336"/>
    <x v="5"/>
    <x v="1"/>
    <x v="1"/>
    <n v="19"/>
    <x v="0"/>
  </r>
  <r>
    <n v="56"/>
    <s v="No"/>
    <s v="Travel_Rarely"/>
    <n v="206"/>
    <x v="2"/>
    <n v="8"/>
    <n v="4"/>
    <s v="Life Sciences"/>
    <n v="1"/>
    <n v="1338"/>
    <n v="4"/>
    <s v="Male"/>
    <n v="99"/>
    <n v="3"/>
    <n v="5"/>
    <s v="Manager"/>
    <n v="2"/>
    <s v="Single"/>
    <n v="19717"/>
    <n v="4022"/>
    <n v="6"/>
    <s v="Y"/>
    <s v="No"/>
    <n v="14"/>
    <n v="3"/>
    <n v="1"/>
    <n v="80"/>
    <n v="0"/>
    <n v="36"/>
    <n v="4"/>
    <n v="3"/>
    <n v="7"/>
    <n v="3"/>
    <n v="7"/>
    <n v="7"/>
    <s v="LAB-1338"/>
    <x v="5"/>
    <x v="2"/>
    <x v="1"/>
    <n v="7"/>
    <x v="0"/>
  </r>
  <r>
    <n v="40"/>
    <s v="No"/>
    <s v="Non-Travel"/>
    <n v="458"/>
    <x v="1"/>
    <n v="16"/>
    <n v="2"/>
    <s v="Life Sciences"/>
    <n v="1"/>
    <n v="1340"/>
    <n v="3"/>
    <s v="Male"/>
    <n v="74"/>
    <n v="3"/>
    <n v="1"/>
    <s v="Research Scientist"/>
    <n v="3"/>
    <s v="Divorced"/>
    <n v="3544"/>
    <n v="8532"/>
    <n v="9"/>
    <s v="Y"/>
    <s v="No"/>
    <n v="16"/>
    <n v="3"/>
    <n v="2"/>
    <n v="80"/>
    <n v="1"/>
    <n v="6"/>
    <n v="0"/>
    <n v="3"/>
    <n v="4"/>
    <n v="2"/>
    <n v="0"/>
    <n v="0"/>
    <s v="LAB-1340"/>
    <x v="1"/>
    <x v="1"/>
    <x v="1"/>
    <n v="4"/>
    <x v="0"/>
  </r>
  <r>
    <n v="34"/>
    <s v="No"/>
    <s v="Travel_Rarely"/>
    <n v="943"/>
    <x v="1"/>
    <n v="9"/>
    <n v="3"/>
    <s v="Life Sciences"/>
    <n v="1"/>
    <n v="1344"/>
    <n v="4"/>
    <s v="Male"/>
    <n v="86"/>
    <n v="3"/>
    <n v="3"/>
    <s v="Healthcare Representative"/>
    <n v="4"/>
    <s v="Divorced"/>
    <n v="8500"/>
    <n v="5494"/>
    <n v="0"/>
    <s v="Y"/>
    <s v="No"/>
    <n v="11"/>
    <n v="3"/>
    <n v="4"/>
    <n v="80"/>
    <n v="1"/>
    <n v="10"/>
    <n v="0"/>
    <n v="2"/>
    <n v="9"/>
    <n v="7"/>
    <n v="1"/>
    <n v="6"/>
    <s v="LAB-1344"/>
    <x v="4"/>
    <x v="1"/>
    <x v="1"/>
    <n v="9"/>
    <x v="0"/>
  </r>
  <r>
    <n v="40"/>
    <s v="No"/>
    <s v="Travel_Rarely"/>
    <n v="523"/>
    <x v="1"/>
    <n v="2"/>
    <n v="3"/>
    <s v="Life Sciences"/>
    <n v="1"/>
    <n v="1346"/>
    <n v="3"/>
    <s v="Male"/>
    <n v="98"/>
    <n v="3"/>
    <n v="2"/>
    <s v="Research Scientist"/>
    <n v="4"/>
    <s v="Single"/>
    <n v="4661"/>
    <n v="22455"/>
    <n v="1"/>
    <s v="Y"/>
    <s v="No"/>
    <n v="13"/>
    <n v="3"/>
    <n v="3"/>
    <n v="80"/>
    <n v="0"/>
    <n v="9"/>
    <n v="4"/>
    <n v="3"/>
    <n v="9"/>
    <n v="8"/>
    <n v="8"/>
    <n v="8"/>
    <s v="LAB-1346"/>
    <x v="1"/>
    <x v="1"/>
    <x v="1"/>
    <n v="9"/>
    <x v="0"/>
  </r>
  <r>
    <n v="41"/>
    <s v="No"/>
    <s v="Travel_Frequently"/>
    <n v="1018"/>
    <x v="0"/>
    <n v="1"/>
    <n v="3"/>
    <s v="Marketing"/>
    <n v="1"/>
    <n v="1349"/>
    <n v="3"/>
    <s v="Female"/>
    <n v="66"/>
    <n v="3"/>
    <n v="2"/>
    <s v="Sales Executive"/>
    <n v="1"/>
    <s v="Divorced"/>
    <n v="4103"/>
    <n v="4297"/>
    <n v="0"/>
    <s v="Y"/>
    <s v="No"/>
    <n v="17"/>
    <n v="3"/>
    <n v="4"/>
    <n v="80"/>
    <n v="1"/>
    <n v="10"/>
    <n v="2"/>
    <n v="3"/>
    <n v="9"/>
    <n v="3"/>
    <n v="1"/>
    <n v="7"/>
    <s v="LAB-1349"/>
    <x v="0"/>
    <x v="0"/>
    <x v="1"/>
    <n v="9"/>
    <x v="0"/>
  </r>
  <r>
    <n v="35"/>
    <s v="No"/>
    <s v="Travel_Frequently"/>
    <n v="482"/>
    <x v="1"/>
    <n v="4"/>
    <n v="4"/>
    <s v="Life Sciences"/>
    <n v="1"/>
    <n v="1350"/>
    <n v="3"/>
    <s v="Male"/>
    <n v="87"/>
    <n v="3"/>
    <n v="2"/>
    <s v="Research Scientist"/>
    <n v="3"/>
    <s v="Single"/>
    <n v="4249"/>
    <n v="2690"/>
    <n v="1"/>
    <s v="Y"/>
    <s v="Yes"/>
    <n v="11"/>
    <n v="3"/>
    <n v="2"/>
    <n v="80"/>
    <n v="0"/>
    <n v="9"/>
    <n v="3"/>
    <n v="3"/>
    <n v="9"/>
    <n v="6"/>
    <n v="1"/>
    <n v="1"/>
    <s v="LAB-1350"/>
    <x v="1"/>
    <x v="1"/>
    <x v="1"/>
    <n v="9"/>
    <x v="0"/>
  </r>
  <r>
    <n v="51"/>
    <s v="No"/>
    <s v="Travel_Rarely"/>
    <n v="770"/>
    <x v="2"/>
    <n v="5"/>
    <n v="3"/>
    <s v="Life Sciences"/>
    <n v="1"/>
    <n v="1352"/>
    <n v="3"/>
    <s v="Male"/>
    <n v="84"/>
    <n v="3"/>
    <n v="4"/>
    <s v="Manager"/>
    <n v="2"/>
    <s v="Divorced"/>
    <n v="14026"/>
    <n v="17588"/>
    <n v="1"/>
    <s v="Y"/>
    <s v="Yes"/>
    <n v="11"/>
    <n v="3"/>
    <n v="2"/>
    <n v="80"/>
    <n v="1"/>
    <n v="33"/>
    <n v="2"/>
    <n v="3"/>
    <n v="33"/>
    <n v="9"/>
    <n v="0"/>
    <n v="10"/>
    <s v="LAB-1352"/>
    <x v="5"/>
    <x v="2"/>
    <x v="1"/>
    <n v="33"/>
    <x v="0"/>
  </r>
  <r>
    <n v="38"/>
    <s v="No"/>
    <s v="Travel_Rarely"/>
    <n v="1009"/>
    <x v="0"/>
    <n v="2"/>
    <n v="2"/>
    <s v="Life Sciences"/>
    <n v="1"/>
    <n v="1355"/>
    <n v="2"/>
    <s v="Female"/>
    <n v="31"/>
    <n v="3"/>
    <n v="2"/>
    <s v="Sales Executive"/>
    <n v="1"/>
    <s v="Divorced"/>
    <n v="6893"/>
    <n v="19461"/>
    <n v="3"/>
    <s v="Y"/>
    <s v="No"/>
    <n v="15"/>
    <n v="3"/>
    <n v="4"/>
    <n v="80"/>
    <n v="1"/>
    <n v="11"/>
    <n v="3"/>
    <n v="3"/>
    <n v="7"/>
    <n v="7"/>
    <n v="1"/>
    <n v="7"/>
    <s v="LAB-1355"/>
    <x v="0"/>
    <x v="0"/>
    <x v="1"/>
    <n v="7"/>
    <x v="0"/>
  </r>
  <r>
    <n v="34"/>
    <s v="No"/>
    <s v="Travel_Rarely"/>
    <n v="507"/>
    <x v="0"/>
    <n v="15"/>
    <n v="2"/>
    <s v="Medical"/>
    <n v="1"/>
    <n v="1356"/>
    <n v="3"/>
    <s v="Female"/>
    <n v="66"/>
    <n v="3"/>
    <n v="2"/>
    <s v="Sales Executive"/>
    <n v="1"/>
    <s v="Single"/>
    <n v="6125"/>
    <n v="23553"/>
    <n v="1"/>
    <s v="Y"/>
    <s v="No"/>
    <n v="12"/>
    <n v="3"/>
    <n v="4"/>
    <n v="80"/>
    <n v="0"/>
    <n v="10"/>
    <n v="6"/>
    <n v="4"/>
    <n v="10"/>
    <n v="8"/>
    <n v="9"/>
    <n v="6"/>
    <s v="LAB-1356"/>
    <x v="0"/>
    <x v="0"/>
    <x v="1"/>
    <n v="10"/>
    <x v="0"/>
  </r>
  <r>
    <n v="25"/>
    <s v="No"/>
    <s v="Travel_Rarely"/>
    <n v="882"/>
    <x v="1"/>
    <n v="19"/>
    <n v="1"/>
    <s v="Medical"/>
    <n v="1"/>
    <n v="1358"/>
    <n v="4"/>
    <s v="Male"/>
    <n v="67"/>
    <n v="3"/>
    <n v="1"/>
    <s v="Laboratory Technician"/>
    <n v="4"/>
    <s v="Married"/>
    <n v="3669"/>
    <n v="9075"/>
    <n v="3"/>
    <s v="Y"/>
    <s v="No"/>
    <n v="11"/>
    <n v="3"/>
    <n v="3"/>
    <n v="80"/>
    <n v="3"/>
    <n v="7"/>
    <n v="6"/>
    <n v="2"/>
    <n v="3"/>
    <n v="2"/>
    <n v="1"/>
    <n v="2"/>
    <s v="LAB-1358"/>
    <x v="2"/>
    <x v="1"/>
    <x v="1"/>
    <n v="3"/>
    <x v="0"/>
  </r>
  <r>
    <n v="58"/>
    <s v="Yes"/>
    <s v="Travel_Rarely"/>
    <n v="601"/>
    <x v="1"/>
    <n v="7"/>
    <n v="4"/>
    <s v="Medical"/>
    <n v="1"/>
    <n v="1360"/>
    <n v="3"/>
    <s v="Female"/>
    <n v="53"/>
    <n v="2"/>
    <n v="3"/>
    <s v="Manufacturing Director"/>
    <n v="1"/>
    <s v="Married"/>
    <n v="10008"/>
    <n v="12023"/>
    <n v="7"/>
    <s v="Y"/>
    <s v="Yes"/>
    <n v="14"/>
    <n v="3"/>
    <n v="4"/>
    <n v="80"/>
    <n v="0"/>
    <n v="31"/>
    <n v="0"/>
    <n v="2"/>
    <n v="10"/>
    <n v="9"/>
    <n v="5"/>
    <n v="9"/>
    <s v="LAB-1360"/>
    <x v="3"/>
    <x v="1"/>
    <x v="0"/>
    <n v="10"/>
    <x v="0"/>
  </r>
  <r>
    <n v="40"/>
    <s v="No"/>
    <s v="Travel_Rarely"/>
    <n v="329"/>
    <x v="1"/>
    <n v="1"/>
    <n v="4"/>
    <s v="Life Sciences"/>
    <n v="1"/>
    <n v="1361"/>
    <n v="2"/>
    <s v="Male"/>
    <n v="88"/>
    <n v="3"/>
    <n v="1"/>
    <s v="Laboratory Technician"/>
    <n v="2"/>
    <s v="Married"/>
    <n v="2387"/>
    <n v="6762"/>
    <n v="3"/>
    <s v="Y"/>
    <s v="No"/>
    <n v="22"/>
    <n v="4"/>
    <n v="3"/>
    <n v="80"/>
    <n v="1"/>
    <n v="7"/>
    <n v="3"/>
    <n v="3"/>
    <n v="4"/>
    <n v="2"/>
    <n v="0"/>
    <n v="3"/>
    <s v="LAB-1361"/>
    <x v="2"/>
    <x v="1"/>
    <x v="1"/>
    <n v="4"/>
    <x v="0"/>
  </r>
  <r>
    <n v="36"/>
    <s v="No"/>
    <s v="Travel_Frequently"/>
    <n v="607"/>
    <x v="0"/>
    <n v="7"/>
    <n v="3"/>
    <s v="Marketing"/>
    <n v="1"/>
    <n v="1362"/>
    <n v="1"/>
    <s v="Female"/>
    <n v="83"/>
    <n v="4"/>
    <n v="2"/>
    <s v="Sales Executive"/>
    <n v="1"/>
    <s v="Married"/>
    <n v="4639"/>
    <n v="2261"/>
    <n v="2"/>
    <s v="Y"/>
    <s v="No"/>
    <n v="16"/>
    <n v="3"/>
    <n v="4"/>
    <n v="80"/>
    <n v="1"/>
    <n v="17"/>
    <n v="2"/>
    <n v="2"/>
    <n v="15"/>
    <n v="7"/>
    <n v="6"/>
    <n v="13"/>
    <s v="LAB-1362"/>
    <x v="0"/>
    <x v="0"/>
    <x v="1"/>
    <n v="15"/>
    <x v="0"/>
  </r>
  <r>
    <n v="48"/>
    <s v="No"/>
    <s v="Travel_Rarely"/>
    <n v="855"/>
    <x v="1"/>
    <n v="4"/>
    <n v="3"/>
    <s v="Life Sciences"/>
    <n v="1"/>
    <n v="1363"/>
    <n v="4"/>
    <s v="Male"/>
    <n v="54"/>
    <n v="3"/>
    <n v="3"/>
    <s v="Manufacturing Director"/>
    <n v="4"/>
    <s v="Single"/>
    <n v="7898"/>
    <n v="18706"/>
    <n v="1"/>
    <s v="Y"/>
    <s v="No"/>
    <n v="11"/>
    <n v="3"/>
    <n v="3"/>
    <n v="80"/>
    <n v="0"/>
    <n v="11"/>
    <n v="2"/>
    <n v="3"/>
    <n v="10"/>
    <n v="9"/>
    <n v="0"/>
    <n v="8"/>
    <s v="LAB-1363"/>
    <x v="3"/>
    <x v="1"/>
    <x v="1"/>
    <n v="10"/>
    <x v="0"/>
  </r>
  <r>
    <n v="27"/>
    <s v="No"/>
    <s v="Travel_Rarely"/>
    <n v="1291"/>
    <x v="0"/>
    <n v="11"/>
    <n v="3"/>
    <s v="Medical"/>
    <n v="1"/>
    <n v="1364"/>
    <n v="3"/>
    <s v="Female"/>
    <n v="98"/>
    <n v="4"/>
    <n v="1"/>
    <s v="Sales Representative"/>
    <n v="4"/>
    <s v="Married"/>
    <n v="2534"/>
    <n v="6527"/>
    <n v="8"/>
    <s v="Y"/>
    <s v="No"/>
    <n v="14"/>
    <n v="3"/>
    <n v="2"/>
    <n v="80"/>
    <n v="1"/>
    <n v="5"/>
    <n v="4"/>
    <n v="3"/>
    <n v="1"/>
    <n v="0"/>
    <n v="0"/>
    <n v="0"/>
    <s v="LAB-1364"/>
    <x v="6"/>
    <x v="0"/>
    <x v="1"/>
    <n v="1"/>
    <x v="0"/>
  </r>
  <r>
    <n v="51"/>
    <s v="No"/>
    <s v="Travel_Rarely"/>
    <n v="1405"/>
    <x v="1"/>
    <n v="11"/>
    <n v="2"/>
    <s v="Technical Degree"/>
    <n v="1"/>
    <n v="1367"/>
    <n v="4"/>
    <s v="Female"/>
    <n v="82"/>
    <n v="2"/>
    <n v="4"/>
    <s v="Manufacturing Director"/>
    <n v="2"/>
    <s v="Single"/>
    <n v="13142"/>
    <n v="24439"/>
    <n v="3"/>
    <s v="Y"/>
    <s v="No"/>
    <n v="16"/>
    <n v="3"/>
    <n v="2"/>
    <n v="80"/>
    <n v="0"/>
    <n v="29"/>
    <n v="1"/>
    <n v="2"/>
    <n v="5"/>
    <n v="2"/>
    <n v="0"/>
    <n v="3"/>
    <s v="LAB-1367"/>
    <x v="3"/>
    <x v="1"/>
    <x v="1"/>
    <n v="5"/>
    <x v="0"/>
  </r>
  <r>
    <n v="18"/>
    <s v="No"/>
    <s v="Non-Travel"/>
    <n v="1124"/>
    <x v="1"/>
    <n v="1"/>
    <n v="3"/>
    <s v="Life Sciences"/>
    <n v="1"/>
    <n v="1368"/>
    <n v="4"/>
    <s v="Female"/>
    <n v="97"/>
    <n v="3"/>
    <n v="1"/>
    <s v="Laboratory Technician"/>
    <n v="4"/>
    <s v="Single"/>
    <n v="1611"/>
    <n v="19305"/>
    <n v="1"/>
    <s v="Y"/>
    <s v="No"/>
    <n v="15"/>
    <n v="3"/>
    <n v="3"/>
    <n v="80"/>
    <n v="0"/>
    <n v="0"/>
    <n v="5"/>
    <n v="4"/>
    <n v="0"/>
    <n v="0"/>
    <n v="0"/>
    <n v="0"/>
    <s v="LAB-1368"/>
    <x v="2"/>
    <x v="1"/>
    <x v="1"/>
    <n v="0"/>
    <x v="0"/>
  </r>
  <r>
    <n v="35"/>
    <s v="No"/>
    <s v="Travel_Rarely"/>
    <n v="817"/>
    <x v="1"/>
    <n v="1"/>
    <n v="3"/>
    <s v="Medical"/>
    <n v="1"/>
    <n v="1369"/>
    <n v="4"/>
    <s v="Female"/>
    <n v="60"/>
    <n v="2"/>
    <n v="2"/>
    <s v="Laboratory Technician"/>
    <n v="4"/>
    <s v="Married"/>
    <n v="5363"/>
    <n v="10846"/>
    <n v="0"/>
    <s v="Y"/>
    <s v="No"/>
    <n v="12"/>
    <n v="3"/>
    <n v="2"/>
    <n v="80"/>
    <n v="1"/>
    <n v="10"/>
    <n v="0"/>
    <n v="3"/>
    <n v="9"/>
    <n v="7"/>
    <n v="0"/>
    <n v="0"/>
    <s v="LAB-1369"/>
    <x v="2"/>
    <x v="1"/>
    <x v="1"/>
    <n v="9"/>
    <x v="0"/>
  </r>
  <r>
    <n v="27"/>
    <s v="No"/>
    <s v="Travel_Frequently"/>
    <n v="793"/>
    <x v="0"/>
    <n v="2"/>
    <n v="1"/>
    <s v="Life Sciences"/>
    <n v="1"/>
    <n v="1371"/>
    <n v="4"/>
    <s v="Male"/>
    <n v="43"/>
    <n v="1"/>
    <n v="2"/>
    <s v="Sales Executive"/>
    <n v="4"/>
    <s v="Single"/>
    <n v="5071"/>
    <n v="20392"/>
    <n v="3"/>
    <s v="Y"/>
    <s v="No"/>
    <n v="20"/>
    <n v="4"/>
    <n v="2"/>
    <n v="80"/>
    <n v="0"/>
    <n v="8"/>
    <n v="3"/>
    <n v="3"/>
    <n v="6"/>
    <n v="2"/>
    <n v="0"/>
    <n v="0"/>
    <s v="LAB-1371"/>
    <x v="0"/>
    <x v="0"/>
    <x v="1"/>
    <n v="6"/>
    <x v="0"/>
  </r>
  <r>
    <n v="55"/>
    <s v="Yes"/>
    <s v="Travel_Rarely"/>
    <n v="267"/>
    <x v="0"/>
    <n v="13"/>
    <n v="4"/>
    <s v="Marketing"/>
    <n v="1"/>
    <n v="1372"/>
    <n v="1"/>
    <s v="Male"/>
    <n v="85"/>
    <n v="4"/>
    <n v="4"/>
    <s v="Sales Executive"/>
    <n v="3"/>
    <s v="Single"/>
    <n v="13695"/>
    <n v="9277"/>
    <n v="6"/>
    <s v="Y"/>
    <s v="Yes"/>
    <n v="17"/>
    <n v="3"/>
    <n v="3"/>
    <n v="80"/>
    <n v="0"/>
    <n v="24"/>
    <n v="2"/>
    <n v="2"/>
    <n v="19"/>
    <n v="7"/>
    <n v="3"/>
    <n v="8"/>
    <s v="LAB-1372"/>
    <x v="0"/>
    <x v="0"/>
    <x v="0"/>
    <n v="19"/>
    <x v="0"/>
  </r>
  <r>
    <n v="56"/>
    <s v="No"/>
    <s v="Travel_Rarely"/>
    <n v="1369"/>
    <x v="1"/>
    <n v="23"/>
    <n v="3"/>
    <s v="Life Sciences"/>
    <n v="1"/>
    <n v="1373"/>
    <n v="4"/>
    <s v="Male"/>
    <n v="68"/>
    <n v="3"/>
    <n v="4"/>
    <s v="Manufacturing Director"/>
    <n v="2"/>
    <s v="Married"/>
    <n v="13402"/>
    <n v="18235"/>
    <n v="4"/>
    <s v="Y"/>
    <s v="Yes"/>
    <n v="12"/>
    <n v="3"/>
    <n v="1"/>
    <n v="80"/>
    <n v="1"/>
    <n v="33"/>
    <n v="0"/>
    <n v="3"/>
    <n v="19"/>
    <n v="16"/>
    <n v="15"/>
    <n v="9"/>
    <s v="LAB-1373"/>
    <x v="3"/>
    <x v="1"/>
    <x v="1"/>
    <n v="19"/>
    <x v="0"/>
  </r>
  <r>
    <n v="34"/>
    <s v="No"/>
    <s v="Non-Travel"/>
    <n v="999"/>
    <x v="1"/>
    <n v="26"/>
    <n v="1"/>
    <s v="Technical Degree"/>
    <n v="1"/>
    <n v="1374"/>
    <n v="1"/>
    <s v="Female"/>
    <n v="92"/>
    <n v="2"/>
    <n v="1"/>
    <s v="Research Scientist"/>
    <n v="3"/>
    <s v="Divorced"/>
    <n v="2029"/>
    <n v="15891"/>
    <n v="1"/>
    <s v="Y"/>
    <s v="No"/>
    <n v="20"/>
    <n v="4"/>
    <n v="3"/>
    <n v="80"/>
    <n v="3"/>
    <n v="5"/>
    <n v="2"/>
    <n v="3"/>
    <n v="5"/>
    <n v="4"/>
    <n v="0"/>
    <n v="0"/>
    <s v="LAB-1374"/>
    <x v="1"/>
    <x v="1"/>
    <x v="1"/>
    <n v="5"/>
    <x v="0"/>
  </r>
  <r>
    <n v="40"/>
    <s v="No"/>
    <s v="Travel_Rarely"/>
    <n v="1202"/>
    <x v="1"/>
    <n v="2"/>
    <n v="1"/>
    <s v="Medical"/>
    <n v="1"/>
    <n v="1375"/>
    <n v="2"/>
    <s v="Female"/>
    <n v="89"/>
    <n v="4"/>
    <n v="2"/>
    <s v="Healthcare Representative"/>
    <n v="3"/>
    <s v="Divorced"/>
    <n v="6377"/>
    <n v="13888"/>
    <n v="5"/>
    <s v="Y"/>
    <s v="No"/>
    <n v="20"/>
    <n v="4"/>
    <n v="2"/>
    <n v="80"/>
    <n v="3"/>
    <n v="15"/>
    <n v="0"/>
    <n v="3"/>
    <n v="12"/>
    <n v="11"/>
    <n v="11"/>
    <n v="8"/>
    <s v="LAB-1375"/>
    <x v="4"/>
    <x v="1"/>
    <x v="1"/>
    <n v="12"/>
    <x v="0"/>
  </r>
  <r>
    <n v="34"/>
    <s v="No"/>
    <s v="Travel_Rarely"/>
    <n v="285"/>
    <x v="1"/>
    <n v="29"/>
    <n v="3"/>
    <s v="Medical"/>
    <n v="1"/>
    <n v="1377"/>
    <n v="2"/>
    <s v="Male"/>
    <n v="86"/>
    <n v="3"/>
    <n v="2"/>
    <s v="Laboratory Technician"/>
    <n v="3"/>
    <s v="Married"/>
    <n v="5429"/>
    <n v="17491"/>
    <n v="4"/>
    <s v="Y"/>
    <s v="No"/>
    <n v="13"/>
    <n v="3"/>
    <n v="1"/>
    <n v="80"/>
    <n v="2"/>
    <n v="10"/>
    <n v="1"/>
    <n v="3"/>
    <n v="8"/>
    <n v="7"/>
    <n v="7"/>
    <n v="7"/>
    <s v="LAB-1377"/>
    <x v="2"/>
    <x v="1"/>
    <x v="1"/>
    <n v="8"/>
    <x v="0"/>
  </r>
  <r>
    <n v="31"/>
    <s v="Yes"/>
    <s v="Travel_Frequently"/>
    <n v="703"/>
    <x v="0"/>
    <n v="2"/>
    <n v="3"/>
    <s v="Life Sciences"/>
    <n v="1"/>
    <n v="1379"/>
    <n v="3"/>
    <s v="Female"/>
    <n v="90"/>
    <n v="2"/>
    <n v="1"/>
    <s v="Sales Representative"/>
    <n v="4"/>
    <s v="Single"/>
    <n v="2785"/>
    <n v="11882"/>
    <n v="7"/>
    <s v="Y"/>
    <s v="No"/>
    <n v="14"/>
    <n v="3"/>
    <n v="3"/>
    <n v="80"/>
    <n v="0"/>
    <n v="3"/>
    <n v="3"/>
    <n v="4"/>
    <n v="1"/>
    <n v="0"/>
    <n v="0"/>
    <n v="0"/>
    <s v="LAB-1379"/>
    <x v="6"/>
    <x v="0"/>
    <x v="0"/>
    <n v="1"/>
    <x v="0"/>
  </r>
  <r>
    <n v="35"/>
    <s v="Yes"/>
    <s v="Travel_Frequently"/>
    <n v="662"/>
    <x v="0"/>
    <n v="18"/>
    <n v="4"/>
    <s v="Marketing"/>
    <n v="1"/>
    <n v="1380"/>
    <n v="4"/>
    <s v="Female"/>
    <n v="67"/>
    <n v="3"/>
    <n v="2"/>
    <s v="Sales Executive"/>
    <n v="3"/>
    <s v="Married"/>
    <n v="4614"/>
    <n v="23288"/>
    <n v="0"/>
    <s v="Y"/>
    <s v="Yes"/>
    <n v="18"/>
    <n v="3"/>
    <n v="3"/>
    <n v="80"/>
    <n v="1"/>
    <n v="5"/>
    <n v="0"/>
    <n v="2"/>
    <n v="4"/>
    <n v="2"/>
    <n v="3"/>
    <n v="2"/>
    <s v="LAB-1380"/>
    <x v="0"/>
    <x v="0"/>
    <x v="0"/>
    <n v="4"/>
    <x v="0"/>
  </r>
  <r>
    <n v="38"/>
    <s v="No"/>
    <s v="Travel_Frequently"/>
    <n v="693"/>
    <x v="1"/>
    <n v="7"/>
    <n v="3"/>
    <s v="Life Sciences"/>
    <n v="1"/>
    <n v="1382"/>
    <n v="4"/>
    <s v="Male"/>
    <n v="57"/>
    <n v="4"/>
    <n v="1"/>
    <s v="Research Scientist"/>
    <n v="3"/>
    <s v="Divorced"/>
    <n v="2610"/>
    <n v="15748"/>
    <n v="1"/>
    <s v="Y"/>
    <s v="No"/>
    <n v="11"/>
    <n v="3"/>
    <n v="4"/>
    <n v="80"/>
    <n v="3"/>
    <n v="4"/>
    <n v="2"/>
    <n v="3"/>
    <n v="4"/>
    <n v="2"/>
    <n v="0"/>
    <n v="3"/>
    <s v="LAB-1382"/>
    <x v="1"/>
    <x v="1"/>
    <x v="1"/>
    <n v="4"/>
    <x v="0"/>
  </r>
  <r>
    <n v="34"/>
    <s v="No"/>
    <s v="Travel_Rarely"/>
    <n v="404"/>
    <x v="1"/>
    <n v="2"/>
    <n v="4"/>
    <s v="Technical Degree"/>
    <n v="1"/>
    <n v="1383"/>
    <n v="3"/>
    <s v="Female"/>
    <n v="98"/>
    <n v="3"/>
    <n v="2"/>
    <s v="Healthcare Representative"/>
    <n v="4"/>
    <s v="Single"/>
    <n v="6687"/>
    <n v="6163"/>
    <n v="1"/>
    <s v="Y"/>
    <s v="No"/>
    <n v="11"/>
    <n v="3"/>
    <n v="4"/>
    <n v="80"/>
    <n v="0"/>
    <n v="14"/>
    <n v="2"/>
    <n v="4"/>
    <n v="14"/>
    <n v="11"/>
    <n v="4"/>
    <n v="11"/>
    <s v="LAB-1383"/>
    <x v="4"/>
    <x v="1"/>
    <x v="1"/>
    <n v="14"/>
    <x v="0"/>
  </r>
  <r>
    <n v="28"/>
    <s v="No"/>
    <s v="Travel_Rarely"/>
    <n v="736"/>
    <x v="0"/>
    <n v="26"/>
    <n v="3"/>
    <s v="Life Sciences"/>
    <n v="1"/>
    <n v="1387"/>
    <n v="3"/>
    <s v="Male"/>
    <n v="48"/>
    <n v="2"/>
    <n v="2"/>
    <s v="Sales Executive"/>
    <n v="1"/>
    <s v="Married"/>
    <n v="4724"/>
    <n v="24232"/>
    <n v="1"/>
    <s v="Y"/>
    <s v="No"/>
    <n v="11"/>
    <n v="3"/>
    <n v="3"/>
    <n v="80"/>
    <n v="1"/>
    <n v="5"/>
    <n v="0"/>
    <n v="3"/>
    <n v="5"/>
    <n v="3"/>
    <n v="0"/>
    <n v="4"/>
    <s v="LAB-1387"/>
    <x v="0"/>
    <x v="0"/>
    <x v="1"/>
    <n v="5"/>
    <x v="0"/>
  </r>
  <r>
    <n v="31"/>
    <s v="Yes"/>
    <s v="Travel_Rarely"/>
    <n v="330"/>
    <x v="1"/>
    <n v="22"/>
    <n v="4"/>
    <s v="Medical"/>
    <n v="1"/>
    <n v="1389"/>
    <n v="4"/>
    <s v="Male"/>
    <n v="98"/>
    <n v="3"/>
    <n v="2"/>
    <s v="Manufacturing Director"/>
    <n v="3"/>
    <s v="Married"/>
    <n v="6179"/>
    <n v="21057"/>
    <n v="1"/>
    <s v="Y"/>
    <s v="Yes"/>
    <n v="15"/>
    <n v="3"/>
    <n v="4"/>
    <n v="80"/>
    <n v="2"/>
    <n v="10"/>
    <n v="3"/>
    <n v="2"/>
    <n v="10"/>
    <n v="2"/>
    <n v="6"/>
    <n v="7"/>
    <s v="LAB-1389"/>
    <x v="3"/>
    <x v="1"/>
    <x v="0"/>
    <n v="10"/>
    <x v="0"/>
  </r>
  <r>
    <n v="39"/>
    <s v="No"/>
    <s v="Travel_Rarely"/>
    <n v="1498"/>
    <x v="0"/>
    <n v="21"/>
    <n v="4"/>
    <s v="Life Sciences"/>
    <n v="1"/>
    <n v="1390"/>
    <n v="1"/>
    <s v="Male"/>
    <n v="44"/>
    <n v="2"/>
    <n v="2"/>
    <s v="Sales Executive"/>
    <n v="4"/>
    <s v="Married"/>
    <n v="6120"/>
    <n v="3567"/>
    <n v="3"/>
    <s v="Y"/>
    <s v="Yes"/>
    <n v="12"/>
    <n v="3"/>
    <n v="4"/>
    <n v="80"/>
    <n v="2"/>
    <n v="8"/>
    <n v="2"/>
    <n v="4"/>
    <n v="5"/>
    <n v="4"/>
    <n v="1"/>
    <n v="4"/>
    <s v="LAB-1390"/>
    <x v="0"/>
    <x v="0"/>
    <x v="1"/>
    <n v="5"/>
    <x v="0"/>
  </r>
  <r>
    <n v="51"/>
    <s v="No"/>
    <s v="Travel_Frequently"/>
    <n v="541"/>
    <x v="0"/>
    <n v="2"/>
    <n v="3"/>
    <s v="Marketing"/>
    <n v="1"/>
    <n v="1391"/>
    <n v="2"/>
    <s v="Male"/>
    <n v="52"/>
    <n v="3"/>
    <n v="3"/>
    <s v="Sales Executive"/>
    <n v="2"/>
    <s v="Married"/>
    <n v="10596"/>
    <n v="15395"/>
    <n v="2"/>
    <s v="Y"/>
    <s v="No"/>
    <n v="11"/>
    <n v="3"/>
    <n v="2"/>
    <n v="80"/>
    <n v="0"/>
    <n v="14"/>
    <n v="5"/>
    <n v="3"/>
    <n v="4"/>
    <n v="2"/>
    <n v="3"/>
    <n v="2"/>
    <s v="LAB-1391"/>
    <x v="0"/>
    <x v="0"/>
    <x v="1"/>
    <n v="4"/>
    <x v="0"/>
  </r>
  <r>
    <n v="41"/>
    <s v="No"/>
    <s v="Travel_Frequently"/>
    <n v="1200"/>
    <x v="1"/>
    <n v="22"/>
    <n v="3"/>
    <s v="Life Sciences"/>
    <n v="1"/>
    <n v="1392"/>
    <n v="4"/>
    <s v="Female"/>
    <n v="75"/>
    <n v="3"/>
    <n v="2"/>
    <s v="Research Scientist"/>
    <n v="4"/>
    <s v="Divorced"/>
    <n v="5467"/>
    <n v="13953"/>
    <n v="3"/>
    <s v="Y"/>
    <s v="Yes"/>
    <n v="14"/>
    <n v="3"/>
    <n v="1"/>
    <n v="80"/>
    <n v="2"/>
    <n v="12"/>
    <n v="4"/>
    <n v="2"/>
    <n v="6"/>
    <n v="2"/>
    <n v="3"/>
    <n v="3"/>
    <s v="LAB-1392"/>
    <x v="1"/>
    <x v="1"/>
    <x v="1"/>
    <n v="6"/>
    <x v="0"/>
  </r>
  <r>
    <n v="37"/>
    <s v="No"/>
    <s v="Travel_Rarely"/>
    <n v="1439"/>
    <x v="1"/>
    <n v="4"/>
    <n v="1"/>
    <s v="Life Sciences"/>
    <n v="1"/>
    <n v="1394"/>
    <n v="3"/>
    <s v="Male"/>
    <n v="54"/>
    <n v="3"/>
    <n v="1"/>
    <s v="Research Scientist"/>
    <n v="3"/>
    <s v="Married"/>
    <n v="2996"/>
    <n v="5182"/>
    <n v="7"/>
    <s v="Y"/>
    <s v="Yes"/>
    <n v="15"/>
    <n v="3"/>
    <n v="4"/>
    <n v="80"/>
    <n v="0"/>
    <n v="8"/>
    <n v="2"/>
    <n v="3"/>
    <n v="6"/>
    <n v="4"/>
    <n v="1"/>
    <n v="3"/>
    <s v="LAB-1394"/>
    <x v="1"/>
    <x v="1"/>
    <x v="1"/>
    <n v="6"/>
    <x v="0"/>
  </r>
  <r>
    <n v="33"/>
    <s v="No"/>
    <s v="Travel_Frequently"/>
    <n v="1111"/>
    <x v="0"/>
    <n v="5"/>
    <n v="1"/>
    <s v="Life Sciences"/>
    <n v="1"/>
    <n v="1395"/>
    <n v="2"/>
    <s v="Male"/>
    <n v="61"/>
    <n v="3"/>
    <n v="2"/>
    <s v="Sales Executive"/>
    <n v="4"/>
    <s v="Married"/>
    <n v="9998"/>
    <n v="19293"/>
    <n v="6"/>
    <s v="Y"/>
    <s v="No"/>
    <n v="13"/>
    <n v="3"/>
    <n v="1"/>
    <n v="80"/>
    <n v="0"/>
    <n v="8"/>
    <n v="2"/>
    <n v="4"/>
    <n v="5"/>
    <n v="4"/>
    <n v="1"/>
    <n v="2"/>
    <s v="LAB-1395"/>
    <x v="0"/>
    <x v="0"/>
    <x v="1"/>
    <n v="5"/>
    <x v="0"/>
  </r>
  <r>
    <n v="32"/>
    <s v="No"/>
    <s v="Travel_Rarely"/>
    <n v="499"/>
    <x v="0"/>
    <n v="2"/>
    <n v="1"/>
    <s v="Marketing"/>
    <n v="1"/>
    <n v="1396"/>
    <n v="3"/>
    <s v="Male"/>
    <n v="36"/>
    <n v="3"/>
    <n v="2"/>
    <s v="Sales Executive"/>
    <n v="2"/>
    <s v="Married"/>
    <n v="4078"/>
    <n v="20497"/>
    <n v="0"/>
    <s v="Y"/>
    <s v="Yes"/>
    <n v="13"/>
    <n v="3"/>
    <n v="1"/>
    <n v="80"/>
    <n v="3"/>
    <n v="4"/>
    <n v="3"/>
    <n v="2"/>
    <n v="3"/>
    <n v="2"/>
    <n v="1"/>
    <n v="2"/>
    <s v="LAB-1396"/>
    <x v="0"/>
    <x v="0"/>
    <x v="1"/>
    <n v="3"/>
    <x v="0"/>
  </r>
  <r>
    <n v="39"/>
    <s v="No"/>
    <s v="Non-Travel"/>
    <n v="1485"/>
    <x v="1"/>
    <n v="25"/>
    <n v="2"/>
    <s v="Life Sciences"/>
    <n v="1"/>
    <n v="1397"/>
    <n v="3"/>
    <s v="Male"/>
    <n v="71"/>
    <n v="3"/>
    <n v="3"/>
    <s v="Healthcare Representative"/>
    <n v="3"/>
    <s v="Married"/>
    <n v="10920"/>
    <n v="3449"/>
    <n v="3"/>
    <s v="Y"/>
    <s v="No"/>
    <n v="21"/>
    <n v="4"/>
    <n v="2"/>
    <n v="80"/>
    <n v="1"/>
    <n v="13"/>
    <n v="2"/>
    <n v="3"/>
    <n v="6"/>
    <n v="4"/>
    <n v="0"/>
    <n v="5"/>
    <s v="LAB-1397"/>
    <x v="4"/>
    <x v="1"/>
    <x v="1"/>
    <n v="6"/>
    <x v="0"/>
  </r>
  <r>
    <n v="25"/>
    <s v="No"/>
    <s v="Travel_Rarely"/>
    <n v="1372"/>
    <x v="0"/>
    <n v="18"/>
    <n v="1"/>
    <s v="Life Sciences"/>
    <n v="1"/>
    <n v="1399"/>
    <n v="1"/>
    <s v="Male"/>
    <n v="93"/>
    <n v="4"/>
    <n v="2"/>
    <s v="Sales Executive"/>
    <n v="3"/>
    <s v="Married"/>
    <n v="6232"/>
    <n v="12477"/>
    <n v="2"/>
    <s v="Y"/>
    <s v="No"/>
    <n v="11"/>
    <n v="3"/>
    <n v="2"/>
    <n v="80"/>
    <n v="0"/>
    <n v="6"/>
    <n v="3"/>
    <n v="2"/>
    <n v="3"/>
    <n v="2"/>
    <n v="1"/>
    <n v="2"/>
    <s v="LAB-1399"/>
    <x v="0"/>
    <x v="0"/>
    <x v="1"/>
    <n v="3"/>
    <x v="0"/>
  </r>
  <r>
    <n v="52"/>
    <s v="No"/>
    <s v="Travel_Frequently"/>
    <n v="322"/>
    <x v="1"/>
    <n v="28"/>
    <n v="2"/>
    <s v="Medical"/>
    <n v="1"/>
    <n v="1401"/>
    <n v="4"/>
    <s v="Female"/>
    <n v="59"/>
    <n v="4"/>
    <n v="4"/>
    <s v="Manufacturing Director"/>
    <n v="3"/>
    <s v="Married"/>
    <n v="13247"/>
    <n v="9731"/>
    <n v="2"/>
    <s v="Y"/>
    <s v="Yes"/>
    <n v="11"/>
    <n v="3"/>
    <n v="2"/>
    <n v="80"/>
    <n v="1"/>
    <n v="24"/>
    <n v="3"/>
    <n v="2"/>
    <n v="5"/>
    <n v="3"/>
    <n v="0"/>
    <n v="2"/>
    <s v="LAB-1401"/>
    <x v="3"/>
    <x v="1"/>
    <x v="1"/>
    <n v="5"/>
    <x v="0"/>
  </r>
  <r>
    <n v="43"/>
    <s v="No"/>
    <s v="Travel_Rarely"/>
    <n v="930"/>
    <x v="1"/>
    <n v="6"/>
    <n v="3"/>
    <s v="Medical"/>
    <n v="1"/>
    <n v="1402"/>
    <n v="1"/>
    <s v="Female"/>
    <n v="73"/>
    <n v="2"/>
    <n v="2"/>
    <s v="Research Scientist"/>
    <n v="3"/>
    <s v="Single"/>
    <n v="4081"/>
    <n v="20003"/>
    <n v="1"/>
    <s v="Y"/>
    <s v="Yes"/>
    <n v="14"/>
    <n v="3"/>
    <n v="1"/>
    <n v="80"/>
    <n v="0"/>
    <n v="20"/>
    <n v="3"/>
    <n v="1"/>
    <n v="20"/>
    <n v="7"/>
    <n v="1"/>
    <n v="8"/>
    <s v="LAB-1402"/>
    <x v="1"/>
    <x v="1"/>
    <x v="1"/>
    <n v="20"/>
    <x v="0"/>
  </r>
  <r>
    <n v="27"/>
    <s v="No"/>
    <s v="Travel_Rarely"/>
    <n v="205"/>
    <x v="0"/>
    <n v="10"/>
    <n v="3"/>
    <s v="Marketing"/>
    <n v="1"/>
    <n v="1403"/>
    <n v="4"/>
    <s v="Female"/>
    <n v="98"/>
    <n v="2"/>
    <n v="2"/>
    <s v="Sales Executive"/>
    <n v="4"/>
    <s v="Married"/>
    <n v="5769"/>
    <n v="7100"/>
    <n v="1"/>
    <s v="Y"/>
    <s v="Yes"/>
    <n v="11"/>
    <n v="3"/>
    <n v="4"/>
    <n v="80"/>
    <n v="0"/>
    <n v="6"/>
    <n v="3"/>
    <n v="3"/>
    <n v="6"/>
    <n v="2"/>
    <n v="4"/>
    <n v="4"/>
    <s v="LAB-1403"/>
    <x v="0"/>
    <x v="0"/>
    <x v="1"/>
    <n v="6"/>
    <x v="0"/>
  </r>
  <r>
    <n v="27"/>
    <s v="Yes"/>
    <s v="Travel_Rarely"/>
    <n v="135"/>
    <x v="1"/>
    <n v="17"/>
    <n v="4"/>
    <s v="Life Sciences"/>
    <n v="1"/>
    <n v="1405"/>
    <n v="4"/>
    <s v="Female"/>
    <n v="51"/>
    <n v="3"/>
    <n v="1"/>
    <s v="Research Scientist"/>
    <n v="3"/>
    <s v="Single"/>
    <n v="2394"/>
    <n v="25681"/>
    <n v="1"/>
    <s v="Y"/>
    <s v="Yes"/>
    <n v="13"/>
    <n v="3"/>
    <n v="4"/>
    <n v="80"/>
    <n v="0"/>
    <n v="8"/>
    <n v="2"/>
    <n v="3"/>
    <n v="8"/>
    <n v="2"/>
    <n v="7"/>
    <n v="7"/>
    <s v="LAB-1405"/>
    <x v="1"/>
    <x v="1"/>
    <x v="0"/>
    <n v="8"/>
    <x v="0"/>
  </r>
  <r>
    <n v="26"/>
    <s v="No"/>
    <s v="Travel_Rarely"/>
    <n v="683"/>
    <x v="1"/>
    <n v="2"/>
    <n v="1"/>
    <s v="Medical"/>
    <n v="1"/>
    <n v="1407"/>
    <n v="1"/>
    <s v="Male"/>
    <n v="36"/>
    <n v="2"/>
    <n v="1"/>
    <s v="Research Scientist"/>
    <n v="4"/>
    <s v="Single"/>
    <n v="3904"/>
    <n v="4050"/>
    <n v="0"/>
    <s v="Y"/>
    <s v="No"/>
    <n v="12"/>
    <n v="3"/>
    <n v="4"/>
    <n v="80"/>
    <n v="0"/>
    <n v="5"/>
    <n v="2"/>
    <n v="3"/>
    <n v="4"/>
    <n v="3"/>
    <n v="1"/>
    <n v="1"/>
    <s v="LAB-1407"/>
    <x v="1"/>
    <x v="1"/>
    <x v="1"/>
    <n v="4"/>
    <x v="0"/>
  </r>
  <r>
    <n v="42"/>
    <s v="No"/>
    <s v="Travel_Rarely"/>
    <n v="1147"/>
    <x v="2"/>
    <n v="10"/>
    <n v="3"/>
    <s v="Human Resources"/>
    <n v="1"/>
    <n v="1408"/>
    <n v="3"/>
    <s v="Female"/>
    <n v="31"/>
    <n v="3"/>
    <n v="4"/>
    <s v="Manager"/>
    <n v="1"/>
    <s v="Married"/>
    <n v="16799"/>
    <n v="16616"/>
    <n v="0"/>
    <s v="Y"/>
    <s v="No"/>
    <n v="14"/>
    <n v="3"/>
    <n v="3"/>
    <n v="80"/>
    <n v="1"/>
    <n v="21"/>
    <n v="5"/>
    <n v="3"/>
    <n v="20"/>
    <n v="7"/>
    <n v="0"/>
    <n v="9"/>
    <s v="LAB-1408"/>
    <x v="5"/>
    <x v="2"/>
    <x v="1"/>
    <n v="20"/>
    <x v="0"/>
  </r>
  <r>
    <n v="52"/>
    <s v="No"/>
    <s v="Travel_Rarely"/>
    <n v="258"/>
    <x v="1"/>
    <n v="8"/>
    <n v="4"/>
    <s v="Other"/>
    <n v="1"/>
    <n v="1409"/>
    <n v="3"/>
    <s v="Female"/>
    <n v="54"/>
    <n v="3"/>
    <n v="1"/>
    <s v="Laboratory Technician"/>
    <n v="1"/>
    <s v="Married"/>
    <n v="2950"/>
    <n v="17363"/>
    <n v="9"/>
    <s v="Y"/>
    <s v="No"/>
    <n v="13"/>
    <n v="3"/>
    <n v="3"/>
    <n v="80"/>
    <n v="0"/>
    <n v="12"/>
    <n v="2"/>
    <n v="1"/>
    <n v="5"/>
    <n v="4"/>
    <n v="0"/>
    <n v="4"/>
    <s v="LAB-1409"/>
    <x v="2"/>
    <x v="1"/>
    <x v="1"/>
    <n v="5"/>
    <x v="0"/>
  </r>
  <r>
    <n v="37"/>
    <s v="No"/>
    <s v="Travel_Rarely"/>
    <n v="1462"/>
    <x v="1"/>
    <n v="11"/>
    <n v="3"/>
    <s v="Medical"/>
    <n v="1"/>
    <n v="1411"/>
    <n v="1"/>
    <s v="Female"/>
    <n v="94"/>
    <n v="3"/>
    <n v="1"/>
    <s v="Laboratory Technician"/>
    <n v="3"/>
    <s v="Single"/>
    <n v="3629"/>
    <n v="19106"/>
    <n v="4"/>
    <s v="Y"/>
    <s v="No"/>
    <n v="18"/>
    <n v="3"/>
    <n v="1"/>
    <n v="80"/>
    <n v="0"/>
    <n v="8"/>
    <n v="6"/>
    <n v="3"/>
    <n v="3"/>
    <n v="2"/>
    <n v="0"/>
    <n v="2"/>
    <s v="LAB-1411"/>
    <x v="2"/>
    <x v="1"/>
    <x v="1"/>
    <n v="3"/>
    <x v="0"/>
  </r>
  <r>
    <n v="35"/>
    <s v="No"/>
    <s v="Travel_Frequently"/>
    <n v="200"/>
    <x v="1"/>
    <n v="18"/>
    <n v="2"/>
    <s v="Life Sciences"/>
    <n v="1"/>
    <n v="1412"/>
    <n v="3"/>
    <s v="Male"/>
    <n v="60"/>
    <n v="3"/>
    <n v="3"/>
    <s v="Manufacturing Director"/>
    <n v="4"/>
    <s v="Single"/>
    <n v="9362"/>
    <n v="19944"/>
    <n v="2"/>
    <s v="Y"/>
    <s v="No"/>
    <n v="11"/>
    <n v="3"/>
    <n v="3"/>
    <n v="80"/>
    <n v="0"/>
    <n v="10"/>
    <n v="2"/>
    <n v="3"/>
    <n v="2"/>
    <n v="2"/>
    <n v="2"/>
    <n v="2"/>
    <s v="LAB-1412"/>
    <x v="3"/>
    <x v="1"/>
    <x v="1"/>
    <n v="2"/>
    <x v="0"/>
  </r>
  <r>
    <n v="25"/>
    <s v="No"/>
    <s v="Travel_Rarely"/>
    <n v="949"/>
    <x v="1"/>
    <n v="1"/>
    <n v="3"/>
    <s v="Technical Degree"/>
    <n v="1"/>
    <n v="1415"/>
    <n v="1"/>
    <s v="Male"/>
    <n v="81"/>
    <n v="3"/>
    <n v="1"/>
    <s v="Laboratory Technician"/>
    <n v="4"/>
    <s v="Married"/>
    <n v="3229"/>
    <n v="4910"/>
    <n v="4"/>
    <s v="Y"/>
    <s v="No"/>
    <n v="11"/>
    <n v="3"/>
    <n v="2"/>
    <n v="80"/>
    <n v="1"/>
    <n v="7"/>
    <n v="2"/>
    <n v="2"/>
    <n v="3"/>
    <n v="2"/>
    <n v="0"/>
    <n v="2"/>
    <s v="LAB-1415"/>
    <x v="2"/>
    <x v="1"/>
    <x v="1"/>
    <n v="3"/>
    <x v="0"/>
  </r>
  <r>
    <n v="26"/>
    <s v="No"/>
    <s v="Travel_Rarely"/>
    <n v="652"/>
    <x v="1"/>
    <n v="7"/>
    <n v="3"/>
    <s v="Other"/>
    <n v="1"/>
    <n v="1417"/>
    <n v="3"/>
    <s v="Male"/>
    <n v="100"/>
    <n v="4"/>
    <n v="1"/>
    <s v="Laboratory Technician"/>
    <n v="1"/>
    <s v="Single"/>
    <n v="3578"/>
    <n v="23577"/>
    <n v="0"/>
    <s v="Y"/>
    <s v="No"/>
    <n v="12"/>
    <n v="3"/>
    <n v="4"/>
    <n v="80"/>
    <n v="0"/>
    <n v="8"/>
    <n v="2"/>
    <n v="3"/>
    <n v="7"/>
    <n v="7"/>
    <n v="0"/>
    <n v="7"/>
    <s v="LAB-1417"/>
    <x v="2"/>
    <x v="1"/>
    <x v="1"/>
    <n v="7"/>
    <x v="0"/>
  </r>
  <r>
    <n v="29"/>
    <s v="No"/>
    <s v="Travel_Rarely"/>
    <n v="332"/>
    <x v="2"/>
    <n v="17"/>
    <n v="3"/>
    <s v="Other"/>
    <n v="1"/>
    <n v="1419"/>
    <n v="2"/>
    <s v="Male"/>
    <n v="51"/>
    <n v="2"/>
    <n v="3"/>
    <s v="Human Resources"/>
    <n v="1"/>
    <s v="Single"/>
    <n v="7988"/>
    <n v="9769"/>
    <n v="1"/>
    <s v="Y"/>
    <s v="No"/>
    <n v="13"/>
    <n v="3"/>
    <n v="1"/>
    <n v="80"/>
    <n v="0"/>
    <n v="10"/>
    <n v="3"/>
    <n v="2"/>
    <n v="10"/>
    <n v="9"/>
    <n v="0"/>
    <n v="9"/>
    <s v="LAB-1419"/>
    <x v="8"/>
    <x v="2"/>
    <x v="1"/>
    <n v="10"/>
    <x v="0"/>
  </r>
  <r>
    <n v="49"/>
    <s v="Yes"/>
    <s v="Travel_Frequently"/>
    <n v="1475"/>
    <x v="1"/>
    <n v="28"/>
    <n v="2"/>
    <s v="Life Sciences"/>
    <n v="1"/>
    <n v="1420"/>
    <n v="1"/>
    <s v="Male"/>
    <n v="97"/>
    <n v="2"/>
    <n v="2"/>
    <s v="Laboratory Technician"/>
    <n v="1"/>
    <s v="Single"/>
    <n v="4284"/>
    <n v="22710"/>
    <n v="3"/>
    <s v="Y"/>
    <s v="No"/>
    <n v="20"/>
    <n v="4"/>
    <n v="1"/>
    <n v="80"/>
    <n v="0"/>
    <n v="20"/>
    <n v="2"/>
    <n v="3"/>
    <n v="4"/>
    <n v="3"/>
    <n v="1"/>
    <n v="3"/>
    <s v="LAB-1420"/>
    <x v="2"/>
    <x v="1"/>
    <x v="0"/>
    <n v="4"/>
    <x v="0"/>
  </r>
  <r>
    <n v="29"/>
    <s v="Yes"/>
    <s v="Travel_Frequently"/>
    <n v="337"/>
    <x v="1"/>
    <n v="14"/>
    <n v="1"/>
    <s v="Other"/>
    <n v="1"/>
    <n v="1421"/>
    <n v="3"/>
    <s v="Female"/>
    <n v="84"/>
    <n v="3"/>
    <n v="3"/>
    <s v="Healthcare Representative"/>
    <n v="4"/>
    <s v="Single"/>
    <n v="7553"/>
    <n v="22930"/>
    <n v="0"/>
    <s v="Y"/>
    <s v="Yes"/>
    <n v="12"/>
    <n v="3"/>
    <n v="1"/>
    <n v="80"/>
    <n v="0"/>
    <n v="9"/>
    <n v="1"/>
    <n v="3"/>
    <n v="8"/>
    <n v="7"/>
    <n v="7"/>
    <n v="7"/>
    <s v="LAB-1421"/>
    <x v="4"/>
    <x v="1"/>
    <x v="0"/>
    <n v="8"/>
    <x v="0"/>
  </r>
  <r>
    <n v="54"/>
    <s v="No"/>
    <s v="Travel_Rarely"/>
    <n v="971"/>
    <x v="1"/>
    <n v="1"/>
    <n v="3"/>
    <s v="Medical"/>
    <n v="1"/>
    <n v="1422"/>
    <n v="4"/>
    <s v="Female"/>
    <n v="54"/>
    <n v="3"/>
    <n v="4"/>
    <s v="Research Director"/>
    <n v="4"/>
    <s v="Single"/>
    <n v="17328"/>
    <n v="5652"/>
    <n v="6"/>
    <s v="Y"/>
    <s v="No"/>
    <n v="19"/>
    <n v="3"/>
    <n v="4"/>
    <n v="80"/>
    <n v="0"/>
    <n v="29"/>
    <n v="3"/>
    <n v="2"/>
    <n v="20"/>
    <n v="7"/>
    <n v="12"/>
    <n v="7"/>
    <s v="LAB-1422"/>
    <x v="7"/>
    <x v="1"/>
    <x v="1"/>
    <n v="20"/>
    <x v="0"/>
  </r>
  <r>
    <n v="58"/>
    <s v="No"/>
    <s v="Travel_Rarely"/>
    <n v="1055"/>
    <x v="1"/>
    <n v="1"/>
    <n v="3"/>
    <s v="Medical"/>
    <n v="1"/>
    <n v="1423"/>
    <n v="4"/>
    <s v="Female"/>
    <n v="76"/>
    <n v="3"/>
    <n v="5"/>
    <s v="Research Director"/>
    <n v="1"/>
    <s v="Married"/>
    <n v="19701"/>
    <n v="22456"/>
    <n v="3"/>
    <s v="Y"/>
    <s v="Yes"/>
    <n v="21"/>
    <n v="4"/>
    <n v="3"/>
    <n v="80"/>
    <n v="1"/>
    <n v="32"/>
    <n v="3"/>
    <n v="3"/>
    <n v="9"/>
    <n v="8"/>
    <n v="1"/>
    <n v="5"/>
    <s v="LAB-1423"/>
    <x v="7"/>
    <x v="1"/>
    <x v="1"/>
    <n v="9"/>
    <x v="0"/>
  </r>
  <r>
    <n v="55"/>
    <s v="No"/>
    <s v="Travel_Rarely"/>
    <n v="1136"/>
    <x v="1"/>
    <n v="1"/>
    <n v="4"/>
    <s v="Medical"/>
    <n v="1"/>
    <n v="1424"/>
    <n v="2"/>
    <s v="Male"/>
    <n v="81"/>
    <n v="4"/>
    <n v="4"/>
    <s v="Research Director"/>
    <n v="4"/>
    <s v="Divorced"/>
    <n v="14732"/>
    <n v="12414"/>
    <n v="2"/>
    <s v="Y"/>
    <s v="No"/>
    <n v="13"/>
    <n v="3"/>
    <n v="4"/>
    <n v="80"/>
    <n v="2"/>
    <n v="31"/>
    <n v="4"/>
    <n v="4"/>
    <n v="7"/>
    <n v="7"/>
    <n v="0"/>
    <n v="0"/>
    <s v="LAB-1424"/>
    <x v="7"/>
    <x v="1"/>
    <x v="1"/>
    <n v="7"/>
    <x v="0"/>
  </r>
  <r>
    <n v="36"/>
    <s v="No"/>
    <s v="Travel_Rarely"/>
    <n v="1174"/>
    <x v="0"/>
    <n v="3"/>
    <n v="4"/>
    <s v="Marketing"/>
    <n v="1"/>
    <n v="1425"/>
    <n v="1"/>
    <s v="Female"/>
    <n v="99"/>
    <n v="3"/>
    <n v="2"/>
    <s v="Sales Executive"/>
    <n v="2"/>
    <s v="Single"/>
    <n v="9278"/>
    <n v="20763"/>
    <n v="3"/>
    <s v="Y"/>
    <s v="Yes"/>
    <n v="16"/>
    <n v="3"/>
    <n v="4"/>
    <n v="80"/>
    <n v="0"/>
    <n v="15"/>
    <n v="3"/>
    <n v="3"/>
    <n v="5"/>
    <n v="4"/>
    <n v="0"/>
    <n v="1"/>
    <s v="LAB-1425"/>
    <x v="0"/>
    <x v="0"/>
    <x v="1"/>
    <n v="5"/>
    <x v="0"/>
  </r>
  <r>
    <n v="31"/>
    <s v="Yes"/>
    <s v="Travel_Frequently"/>
    <n v="667"/>
    <x v="0"/>
    <n v="1"/>
    <n v="4"/>
    <s v="Life Sciences"/>
    <n v="1"/>
    <n v="1427"/>
    <n v="2"/>
    <s v="Female"/>
    <n v="50"/>
    <n v="1"/>
    <n v="1"/>
    <s v="Sales Representative"/>
    <n v="3"/>
    <s v="Single"/>
    <n v="1359"/>
    <n v="16154"/>
    <n v="1"/>
    <s v="Y"/>
    <s v="No"/>
    <n v="12"/>
    <n v="3"/>
    <n v="2"/>
    <n v="80"/>
    <n v="0"/>
    <n v="1"/>
    <n v="3"/>
    <n v="3"/>
    <n v="1"/>
    <n v="0"/>
    <n v="0"/>
    <n v="0"/>
    <s v="LAB-1427"/>
    <x v="6"/>
    <x v="0"/>
    <x v="0"/>
    <n v="1"/>
    <x v="0"/>
  </r>
  <r>
    <n v="30"/>
    <s v="No"/>
    <s v="Travel_Rarely"/>
    <n v="855"/>
    <x v="0"/>
    <n v="7"/>
    <n v="4"/>
    <s v="Marketing"/>
    <n v="1"/>
    <n v="1428"/>
    <n v="4"/>
    <s v="Female"/>
    <n v="73"/>
    <n v="3"/>
    <n v="2"/>
    <s v="Sales Executive"/>
    <n v="1"/>
    <s v="Divorced"/>
    <n v="4779"/>
    <n v="12761"/>
    <n v="7"/>
    <s v="Y"/>
    <s v="No"/>
    <n v="14"/>
    <n v="3"/>
    <n v="2"/>
    <n v="80"/>
    <n v="2"/>
    <n v="8"/>
    <n v="3"/>
    <n v="3"/>
    <n v="3"/>
    <n v="2"/>
    <n v="0"/>
    <n v="2"/>
    <s v="LAB-1428"/>
    <x v="0"/>
    <x v="0"/>
    <x v="1"/>
    <n v="3"/>
    <x v="0"/>
  </r>
  <r>
    <n v="31"/>
    <s v="No"/>
    <s v="Travel_Rarely"/>
    <n v="182"/>
    <x v="1"/>
    <n v="8"/>
    <n v="5"/>
    <s v="Life Sciences"/>
    <n v="1"/>
    <n v="1430"/>
    <n v="1"/>
    <s v="Female"/>
    <n v="93"/>
    <n v="3"/>
    <n v="4"/>
    <s v="Research Director"/>
    <n v="2"/>
    <s v="Single"/>
    <n v="16422"/>
    <n v="8847"/>
    <n v="3"/>
    <s v="Y"/>
    <s v="No"/>
    <n v="11"/>
    <n v="3"/>
    <n v="3"/>
    <n v="80"/>
    <n v="0"/>
    <n v="9"/>
    <n v="3"/>
    <n v="4"/>
    <n v="3"/>
    <n v="2"/>
    <n v="1"/>
    <n v="0"/>
    <s v="LAB-1430"/>
    <x v="7"/>
    <x v="1"/>
    <x v="1"/>
    <n v="3"/>
    <x v="0"/>
  </r>
  <r>
    <n v="34"/>
    <s v="No"/>
    <s v="Travel_Frequently"/>
    <n v="560"/>
    <x v="1"/>
    <n v="1"/>
    <n v="4"/>
    <s v="Other"/>
    <n v="1"/>
    <n v="1431"/>
    <n v="4"/>
    <s v="Male"/>
    <n v="91"/>
    <n v="3"/>
    <n v="1"/>
    <s v="Research Scientist"/>
    <n v="1"/>
    <s v="Divorced"/>
    <n v="2996"/>
    <n v="20284"/>
    <n v="5"/>
    <s v="Y"/>
    <s v="No"/>
    <n v="14"/>
    <n v="3"/>
    <n v="3"/>
    <n v="80"/>
    <n v="2"/>
    <n v="10"/>
    <n v="2"/>
    <n v="3"/>
    <n v="4"/>
    <n v="3"/>
    <n v="1"/>
    <n v="3"/>
    <s v="LAB-1431"/>
    <x v="1"/>
    <x v="1"/>
    <x v="1"/>
    <n v="4"/>
    <x v="0"/>
  </r>
  <r>
    <n v="31"/>
    <s v="Yes"/>
    <s v="Travel_Rarely"/>
    <n v="202"/>
    <x v="1"/>
    <n v="8"/>
    <n v="3"/>
    <s v="Life Sciences"/>
    <n v="1"/>
    <n v="1433"/>
    <n v="1"/>
    <s v="Female"/>
    <n v="34"/>
    <n v="2"/>
    <n v="1"/>
    <s v="Research Scientist"/>
    <n v="2"/>
    <s v="Single"/>
    <n v="1261"/>
    <n v="22262"/>
    <n v="1"/>
    <s v="Y"/>
    <s v="No"/>
    <n v="12"/>
    <n v="3"/>
    <n v="3"/>
    <n v="80"/>
    <n v="0"/>
    <n v="1"/>
    <n v="3"/>
    <n v="4"/>
    <n v="1"/>
    <n v="0"/>
    <n v="0"/>
    <n v="0"/>
    <s v="LAB-1433"/>
    <x v="1"/>
    <x v="1"/>
    <x v="0"/>
    <n v="1"/>
    <x v="0"/>
  </r>
  <r>
    <n v="27"/>
    <s v="No"/>
    <s v="Travel_Rarely"/>
    <n v="1377"/>
    <x v="1"/>
    <n v="11"/>
    <n v="1"/>
    <s v="Life Sciences"/>
    <n v="1"/>
    <n v="1434"/>
    <n v="2"/>
    <s v="Male"/>
    <n v="91"/>
    <n v="3"/>
    <n v="1"/>
    <s v="Laboratory Technician"/>
    <n v="1"/>
    <s v="Married"/>
    <n v="2099"/>
    <n v="7679"/>
    <n v="0"/>
    <s v="Y"/>
    <s v="No"/>
    <n v="14"/>
    <n v="3"/>
    <n v="2"/>
    <n v="80"/>
    <n v="0"/>
    <n v="6"/>
    <n v="3"/>
    <n v="4"/>
    <n v="5"/>
    <n v="0"/>
    <n v="1"/>
    <n v="4"/>
    <s v="LAB-1434"/>
    <x v="2"/>
    <x v="1"/>
    <x v="1"/>
    <n v="5"/>
    <x v="0"/>
  </r>
  <r>
    <n v="36"/>
    <s v="No"/>
    <s v="Travel_Rarely"/>
    <n v="172"/>
    <x v="1"/>
    <n v="4"/>
    <n v="4"/>
    <s v="Life Sciences"/>
    <n v="1"/>
    <n v="1435"/>
    <n v="1"/>
    <s v="Male"/>
    <n v="37"/>
    <n v="2"/>
    <n v="2"/>
    <s v="Laboratory Technician"/>
    <n v="4"/>
    <s v="Single"/>
    <n v="5810"/>
    <n v="22604"/>
    <n v="1"/>
    <s v="Y"/>
    <s v="No"/>
    <n v="16"/>
    <n v="3"/>
    <n v="3"/>
    <n v="80"/>
    <n v="0"/>
    <n v="10"/>
    <n v="2"/>
    <n v="2"/>
    <n v="10"/>
    <n v="4"/>
    <n v="1"/>
    <n v="8"/>
    <s v="LAB-1435"/>
    <x v="2"/>
    <x v="1"/>
    <x v="1"/>
    <n v="10"/>
    <x v="0"/>
  </r>
  <r>
    <n v="36"/>
    <s v="No"/>
    <s v="Travel_Rarely"/>
    <n v="329"/>
    <x v="0"/>
    <n v="16"/>
    <n v="4"/>
    <s v="Marketing"/>
    <n v="1"/>
    <n v="1436"/>
    <n v="3"/>
    <s v="Female"/>
    <n v="98"/>
    <n v="2"/>
    <n v="2"/>
    <s v="Sales Executive"/>
    <n v="1"/>
    <s v="Married"/>
    <n v="5647"/>
    <n v="13494"/>
    <n v="4"/>
    <s v="Y"/>
    <s v="No"/>
    <n v="13"/>
    <n v="3"/>
    <n v="1"/>
    <n v="80"/>
    <n v="2"/>
    <n v="11"/>
    <n v="3"/>
    <n v="2"/>
    <n v="3"/>
    <n v="2"/>
    <n v="0"/>
    <n v="2"/>
    <s v="LAB-1436"/>
    <x v="0"/>
    <x v="0"/>
    <x v="1"/>
    <n v="3"/>
    <x v="0"/>
  </r>
  <r>
    <n v="47"/>
    <s v="No"/>
    <s v="Travel_Rarely"/>
    <n v="465"/>
    <x v="1"/>
    <n v="1"/>
    <n v="3"/>
    <s v="Technical Degree"/>
    <n v="1"/>
    <n v="1438"/>
    <n v="1"/>
    <s v="Male"/>
    <n v="74"/>
    <n v="3"/>
    <n v="1"/>
    <s v="Research Scientist"/>
    <n v="4"/>
    <s v="Married"/>
    <n v="3420"/>
    <n v="10205"/>
    <n v="7"/>
    <s v="Y"/>
    <s v="No"/>
    <n v="12"/>
    <n v="3"/>
    <n v="3"/>
    <n v="80"/>
    <n v="1"/>
    <n v="17"/>
    <n v="2"/>
    <n v="2"/>
    <n v="6"/>
    <n v="5"/>
    <n v="1"/>
    <n v="2"/>
    <s v="LAB-1438"/>
    <x v="1"/>
    <x v="1"/>
    <x v="1"/>
    <n v="6"/>
    <x v="0"/>
  </r>
  <r>
    <n v="25"/>
    <s v="Yes"/>
    <s v="Travel_Rarely"/>
    <n v="383"/>
    <x v="0"/>
    <n v="9"/>
    <n v="2"/>
    <s v="Life Sciences"/>
    <n v="1"/>
    <n v="1439"/>
    <n v="1"/>
    <s v="Male"/>
    <n v="68"/>
    <n v="2"/>
    <n v="1"/>
    <s v="Sales Representative"/>
    <n v="1"/>
    <s v="Married"/>
    <n v="4400"/>
    <n v="15182"/>
    <n v="3"/>
    <s v="Y"/>
    <s v="No"/>
    <n v="12"/>
    <n v="3"/>
    <n v="1"/>
    <n v="80"/>
    <n v="0"/>
    <n v="6"/>
    <n v="2"/>
    <n v="3"/>
    <n v="3"/>
    <n v="2"/>
    <n v="2"/>
    <n v="2"/>
    <s v="LAB-1439"/>
    <x v="6"/>
    <x v="0"/>
    <x v="0"/>
    <n v="3"/>
    <x v="0"/>
  </r>
  <r>
    <n v="37"/>
    <s v="No"/>
    <s v="Non-Travel"/>
    <n v="1413"/>
    <x v="1"/>
    <n v="5"/>
    <n v="2"/>
    <s v="Technical Degree"/>
    <n v="1"/>
    <n v="1440"/>
    <n v="3"/>
    <s v="Male"/>
    <n v="84"/>
    <n v="4"/>
    <n v="1"/>
    <s v="Laboratory Technician"/>
    <n v="3"/>
    <s v="Single"/>
    <n v="3500"/>
    <n v="25470"/>
    <n v="0"/>
    <s v="Y"/>
    <s v="No"/>
    <n v="14"/>
    <n v="3"/>
    <n v="1"/>
    <n v="80"/>
    <n v="0"/>
    <n v="7"/>
    <n v="2"/>
    <n v="1"/>
    <n v="6"/>
    <n v="5"/>
    <n v="1"/>
    <n v="3"/>
    <s v="LAB-1440"/>
    <x v="2"/>
    <x v="1"/>
    <x v="1"/>
    <n v="6"/>
    <x v="0"/>
  </r>
  <r>
    <n v="56"/>
    <s v="No"/>
    <s v="Travel_Rarely"/>
    <n v="1255"/>
    <x v="1"/>
    <n v="1"/>
    <n v="2"/>
    <s v="Life Sciences"/>
    <n v="1"/>
    <n v="1441"/>
    <n v="1"/>
    <s v="Female"/>
    <n v="90"/>
    <n v="3"/>
    <n v="1"/>
    <s v="Research Scientist"/>
    <n v="1"/>
    <s v="Married"/>
    <n v="2066"/>
    <n v="10494"/>
    <n v="2"/>
    <s v="Y"/>
    <s v="No"/>
    <n v="22"/>
    <n v="4"/>
    <n v="4"/>
    <n v="80"/>
    <n v="1"/>
    <n v="5"/>
    <n v="3"/>
    <n v="4"/>
    <n v="3"/>
    <n v="2"/>
    <n v="1"/>
    <n v="0"/>
    <s v="LAB-1441"/>
    <x v="1"/>
    <x v="1"/>
    <x v="1"/>
    <n v="3"/>
    <x v="0"/>
  </r>
  <r>
    <n v="47"/>
    <s v="No"/>
    <s v="Travel_Rarely"/>
    <n v="359"/>
    <x v="1"/>
    <n v="2"/>
    <n v="4"/>
    <s v="Medical"/>
    <n v="1"/>
    <n v="1443"/>
    <n v="1"/>
    <s v="Female"/>
    <n v="82"/>
    <n v="3"/>
    <n v="4"/>
    <s v="Research Director"/>
    <n v="3"/>
    <s v="Married"/>
    <n v="17169"/>
    <n v="26703"/>
    <n v="3"/>
    <s v="Y"/>
    <s v="No"/>
    <n v="19"/>
    <n v="3"/>
    <n v="2"/>
    <n v="80"/>
    <n v="2"/>
    <n v="26"/>
    <n v="2"/>
    <n v="4"/>
    <n v="20"/>
    <n v="17"/>
    <n v="5"/>
    <n v="6"/>
    <s v="LAB-1443"/>
    <x v="7"/>
    <x v="1"/>
    <x v="1"/>
    <n v="20"/>
    <x v="0"/>
  </r>
  <r>
    <n v="24"/>
    <s v="No"/>
    <s v="Travel_Rarely"/>
    <n v="1476"/>
    <x v="0"/>
    <n v="4"/>
    <n v="1"/>
    <s v="Medical"/>
    <n v="1"/>
    <n v="1445"/>
    <n v="4"/>
    <s v="Female"/>
    <n v="42"/>
    <n v="3"/>
    <n v="2"/>
    <s v="Sales Executive"/>
    <n v="3"/>
    <s v="Married"/>
    <n v="4162"/>
    <n v="15211"/>
    <n v="1"/>
    <s v="Y"/>
    <s v="Yes"/>
    <n v="12"/>
    <n v="3"/>
    <n v="3"/>
    <n v="80"/>
    <n v="2"/>
    <n v="5"/>
    <n v="3"/>
    <n v="3"/>
    <n v="5"/>
    <n v="4"/>
    <n v="0"/>
    <n v="3"/>
    <s v="LAB-1445"/>
    <x v="0"/>
    <x v="0"/>
    <x v="1"/>
    <n v="5"/>
    <x v="0"/>
  </r>
  <r>
    <n v="32"/>
    <s v="No"/>
    <s v="Travel_Rarely"/>
    <n v="601"/>
    <x v="0"/>
    <n v="7"/>
    <n v="5"/>
    <s v="Marketing"/>
    <n v="1"/>
    <n v="1446"/>
    <n v="4"/>
    <s v="Male"/>
    <n v="97"/>
    <n v="3"/>
    <n v="2"/>
    <s v="Sales Executive"/>
    <n v="4"/>
    <s v="Married"/>
    <n v="9204"/>
    <n v="23343"/>
    <n v="4"/>
    <s v="Y"/>
    <s v="No"/>
    <n v="12"/>
    <n v="3"/>
    <n v="3"/>
    <n v="80"/>
    <n v="1"/>
    <n v="7"/>
    <n v="3"/>
    <n v="2"/>
    <n v="4"/>
    <n v="3"/>
    <n v="0"/>
    <n v="3"/>
    <s v="LAB-1446"/>
    <x v="0"/>
    <x v="0"/>
    <x v="1"/>
    <n v="4"/>
    <x v="0"/>
  </r>
  <r>
    <n v="34"/>
    <s v="No"/>
    <s v="Travel_Rarely"/>
    <n v="401"/>
    <x v="1"/>
    <n v="1"/>
    <n v="3"/>
    <s v="Life Sciences"/>
    <n v="1"/>
    <n v="1447"/>
    <n v="4"/>
    <s v="Female"/>
    <n v="86"/>
    <n v="2"/>
    <n v="1"/>
    <s v="Laboratory Technician"/>
    <n v="2"/>
    <s v="Married"/>
    <n v="3294"/>
    <n v="3708"/>
    <n v="5"/>
    <s v="Y"/>
    <s v="No"/>
    <n v="17"/>
    <n v="3"/>
    <n v="1"/>
    <n v="80"/>
    <n v="1"/>
    <n v="7"/>
    <n v="2"/>
    <n v="2"/>
    <n v="5"/>
    <n v="4"/>
    <n v="0"/>
    <n v="2"/>
    <s v="LAB-1447"/>
    <x v="2"/>
    <x v="1"/>
    <x v="1"/>
    <n v="5"/>
    <x v="0"/>
  </r>
  <r>
    <n v="41"/>
    <s v="No"/>
    <s v="Travel_Rarely"/>
    <n v="1283"/>
    <x v="1"/>
    <n v="5"/>
    <n v="5"/>
    <s v="Medical"/>
    <n v="1"/>
    <n v="1448"/>
    <n v="2"/>
    <s v="Male"/>
    <n v="90"/>
    <n v="4"/>
    <n v="1"/>
    <s v="Research Scientist"/>
    <n v="3"/>
    <s v="Married"/>
    <n v="2127"/>
    <n v="5561"/>
    <n v="2"/>
    <s v="Y"/>
    <s v="Yes"/>
    <n v="12"/>
    <n v="3"/>
    <n v="1"/>
    <n v="80"/>
    <n v="0"/>
    <n v="7"/>
    <n v="5"/>
    <n v="2"/>
    <n v="4"/>
    <n v="2"/>
    <n v="0"/>
    <n v="3"/>
    <s v="LAB-1448"/>
    <x v="1"/>
    <x v="1"/>
    <x v="1"/>
    <n v="4"/>
    <x v="0"/>
  </r>
  <r>
    <n v="40"/>
    <s v="No"/>
    <s v="Non-Travel"/>
    <n v="663"/>
    <x v="1"/>
    <n v="9"/>
    <n v="4"/>
    <s v="Other"/>
    <n v="1"/>
    <n v="1449"/>
    <n v="3"/>
    <s v="Male"/>
    <n v="81"/>
    <n v="3"/>
    <n v="2"/>
    <s v="Laboratory Technician"/>
    <n v="3"/>
    <s v="Divorced"/>
    <n v="3975"/>
    <n v="23099"/>
    <n v="3"/>
    <s v="Y"/>
    <s v="No"/>
    <n v="11"/>
    <n v="3"/>
    <n v="3"/>
    <n v="80"/>
    <n v="2"/>
    <n v="11"/>
    <n v="2"/>
    <n v="4"/>
    <n v="8"/>
    <n v="7"/>
    <n v="0"/>
    <n v="7"/>
    <s v="LAB-1449"/>
    <x v="2"/>
    <x v="1"/>
    <x v="1"/>
    <n v="8"/>
    <x v="0"/>
  </r>
  <r>
    <n v="31"/>
    <s v="No"/>
    <s v="Travel_Rarely"/>
    <n v="326"/>
    <x v="0"/>
    <n v="8"/>
    <n v="2"/>
    <s v="Life Sciences"/>
    <n v="1"/>
    <n v="1453"/>
    <n v="1"/>
    <s v="Male"/>
    <n v="31"/>
    <n v="3"/>
    <n v="3"/>
    <s v="Sales Executive"/>
    <n v="4"/>
    <s v="Divorced"/>
    <n v="10793"/>
    <n v="8386"/>
    <n v="1"/>
    <s v="Y"/>
    <s v="No"/>
    <n v="18"/>
    <n v="3"/>
    <n v="1"/>
    <n v="80"/>
    <n v="1"/>
    <n v="13"/>
    <n v="5"/>
    <n v="3"/>
    <n v="13"/>
    <n v="7"/>
    <n v="9"/>
    <n v="9"/>
    <s v="LAB-1453"/>
    <x v="0"/>
    <x v="0"/>
    <x v="1"/>
    <n v="13"/>
    <x v="0"/>
  </r>
  <r>
    <n v="46"/>
    <s v="Yes"/>
    <s v="Travel_Rarely"/>
    <n v="377"/>
    <x v="0"/>
    <n v="9"/>
    <n v="3"/>
    <s v="Marketing"/>
    <n v="1"/>
    <n v="1457"/>
    <n v="1"/>
    <s v="Male"/>
    <n v="52"/>
    <n v="3"/>
    <n v="3"/>
    <s v="Sales Executive"/>
    <n v="4"/>
    <s v="Divorced"/>
    <n v="10096"/>
    <n v="15986"/>
    <n v="4"/>
    <s v="Y"/>
    <s v="No"/>
    <n v="11"/>
    <n v="3"/>
    <n v="1"/>
    <n v="80"/>
    <n v="1"/>
    <n v="28"/>
    <n v="1"/>
    <n v="4"/>
    <n v="7"/>
    <n v="7"/>
    <n v="4"/>
    <n v="3"/>
    <s v="LAB-1457"/>
    <x v="0"/>
    <x v="0"/>
    <x v="0"/>
    <n v="7"/>
    <x v="0"/>
  </r>
  <r>
    <n v="39"/>
    <s v="Yes"/>
    <s v="Non-Travel"/>
    <n v="592"/>
    <x v="1"/>
    <n v="2"/>
    <n v="3"/>
    <s v="Life Sciences"/>
    <n v="1"/>
    <n v="1458"/>
    <n v="1"/>
    <s v="Female"/>
    <n v="54"/>
    <n v="2"/>
    <n v="1"/>
    <s v="Laboratory Technician"/>
    <n v="1"/>
    <s v="Single"/>
    <n v="3646"/>
    <n v="17181"/>
    <n v="2"/>
    <s v="Y"/>
    <s v="Yes"/>
    <n v="23"/>
    <n v="4"/>
    <n v="2"/>
    <n v="80"/>
    <n v="0"/>
    <n v="11"/>
    <n v="2"/>
    <n v="4"/>
    <n v="1"/>
    <n v="0"/>
    <n v="0"/>
    <n v="0"/>
    <s v="LAB-1458"/>
    <x v="2"/>
    <x v="1"/>
    <x v="0"/>
    <n v="1"/>
    <x v="0"/>
  </r>
  <r>
    <n v="31"/>
    <s v="Yes"/>
    <s v="Travel_Frequently"/>
    <n v="1445"/>
    <x v="1"/>
    <n v="1"/>
    <n v="5"/>
    <s v="Life Sciences"/>
    <n v="1"/>
    <n v="1459"/>
    <n v="3"/>
    <s v="Female"/>
    <n v="100"/>
    <n v="4"/>
    <n v="3"/>
    <s v="Manufacturing Director"/>
    <n v="2"/>
    <s v="Single"/>
    <n v="7446"/>
    <n v="8931"/>
    <n v="1"/>
    <s v="Y"/>
    <s v="No"/>
    <n v="11"/>
    <n v="3"/>
    <n v="1"/>
    <n v="80"/>
    <n v="0"/>
    <n v="10"/>
    <n v="2"/>
    <n v="3"/>
    <n v="10"/>
    <n v="8"/>
    <n v="4"/>
    <n v="7"/>
    <s v="LAB-1459"/>
    <x v="3"/>
    <x v="1"/>
    <x v="0"/>
    <n v="10"/>
    <x v="0"/>
  </r>
  <r>
    <n v="45"/>
    <s v="No"/>
    <s v="Travel_Rarely"/>
    <n v="1038"/>
    <x v="1"/>
    <n v="20"/>
    <n v="3"/>
    <s v="Medical"/>
    <n v="1"/>
    <n v="1460"/>
    <n v="2"/>
    <s v="Male"/>
    <n v="95"/>
    <n v="1"/>
    <n v="3"/>
    <s v="Healthcare Representative"/>
    <n v="1"/>
    <s v="Divorced"/>
    <n v="10851"/>
    <n v="19863"/>
    <n v="2"/>
    <s v="Y"/>
    <s v="Yes"/>
    <n v="18"/>
    <n v="3"/>
    <n v="2"/>
    <n v="80"/>
    <n v="1"/>
    <n v="24"/>
    <n v="2"/>
    <n v="3"/>
    <n v="7"/>
    <n v="7"/>
    <n v="0"/>
    <n v="7"/>
    <s v="LAB-1460"/>
    <x v="4"/>
    <x v="1"/>
    <x v="1"/>
    <n v="7"/>
    <x v="0"/>
  </r>
  <r>
    <n v="31"/>
    <s v="No"/>
    <s v="Travel_Rarely"/>
    <n v="1398"/>
    <x v="2"/>
    <n v="8"/>
    <n v="2"/>
    <s v="Medical"/>
    <n v="1"/>
    <n v="1461"/>
    <n v="4"/>
    <s v="Female"/>
    <n v="96"/>
    <n v="4"/>
    <n v="1"/>
    <s v="Human Resources"/>
    <n v="2"/>
    <s v="Single"/>
    <n v="2109"/>
    <n v="24609"/>
    <n v="9"/>
    <s v="Y"/>
    <s v="No"/>
    <n v="18"/>
    <n v="3"/>
    <n v="4"/>
    <n v="80"/>
    <n v="0"/>
    <n v="8"/>
    <n v="3"/>
    <n v="3"/>
    <n v="3"/>
    <n v="2"/>
    <n v="0"/>
    <n v="2"/>
    <s v="LAB-1461"/>
    <x v="8"/>
    <x v="2"/>
    <x v="1"/>
    <n v="3"/>
    <x v="0"/>
  </r>
  <r>
    <n v="31"/>
    <s v="Yes"/>
    <s v="Travel_Frequently"/>
    <n v="523"/>
    <x v="1"/>
    <n v="2"/>
    <n v="3"/>
    <s v="Life Sciences"/>
    <n v="1"/>
    <n v="1464"/>
    <n v="2"/>
    <s v="Male"/>
    <n v="94"/>
    <n v="3"/>
    <n v="1"/>
    <s v="Laboratory Technician"/>
    <n v="4"/>
    <s v="Married"/>
    <n v="3722"/>
    <n v="21081"/>
    <n v="6"/>
    <s v="Y"/>
    <s v="Yes"/>
    <n v="13"/>
    <n v="3"/>
    <n v="3"/>
    <n v="80"/>
    <n v="1"/>
    <n v="7"/>
    <n v="2"/>
    <n v="1"/>
    <n v="2"/>
    <n v="2"/>
    <n v="2"/>
    <n v="2"/>
    <s v="LAB-1464"/>
    <x v="2"/>
    <x v="1"/>
    <x v="0"/>
    <n v="2"/>
    <x v="0"/>
  </r>
  <r>
    <n v="45"/>
    <s v="No"/>
    <s v="Travel_Rarely"/>
    <n v="1448"/>
    <x v="1"/>
    <n v="29"/>
    <n v="3"/>
    <s v="Technical Degree"/>
    <n v="1"/>
    <n v="1465"/>
    <n v="2"/>
    <s v="Male"/>
    <n v="55"/>
    <n v="3"/>
    <n v="3"/>
    <s v="Manufacturing Director"/>
    <n v="4"/>
    <s v="Married"/>
    <n v="9380"/>
    <n v="14720"/>
    <n v="4"/>
    <s v="Y"/>
    <s v="Yes"/>
    <n v="18"/>
    <n v="3"/>
    <n v="4"/>
    <n v="80"/>
    <n v="2"/>
    <n v="10"/>
    <n v="4"/>
    <n v="4"/>
    <n v="3"/>
    <n v="1"/>
    <n v="1"/>
    <n v="2"/>
    <s v="LAB-1465"/>
    <x v="3"/>
    <x v="1"/>
    <x v="1"/>
    <n v="3"/>
    <x v="0"/>
  </r>
  <r>
    <n v="48"/>
    <s v="No"/>
    <s v="Travel_Rarely"/>
    <n v="1221"/>
    <x v="0"/>
    <n v="7"/>
    <n v="3"/>
    <s v="Marketing"/>
    <n v="1"/>
    <n v="1466"/>
    <n v="3"/>
    <s v="Male"/>
    <n v="96"/>
    <n v="3"/>
    <n v="2"/>
    <s v="Sales Executive"/>
    <n v="1"/>
    <s v="Divorced"/>
    <n v="5486"/>
    <n v="24795"/>
    <n v="4"/>
    <s v="Y"/>
    <s v="No"/>
    <n v="11"/>
    <n v="3"/>
    <n v="1"/>
    <n v="80"/>
    <n v="3"/>
    <n v="15"/>
    <n v="3"/>
    <n v="3"/>
    <n v="2"/>
    <n v="2"/>
    <n v="2"/>
    <n v="2"/>
    <s v="LAB-1466"/>
    <x v="0"/>
    <x v="0"/>
    <x v="1"/>
    <n v="2"/>
    <x v="0"/>
  </r>
  <r>
    <n v="34"/>
    <s v="Yes"/>
    <s v="Travel_Rarely"/>
    <n v="1107"/>
    <x v="2"/>
    <n v="9"/>
    <n v="4"/>
    <s v="Technical Degree"/>
    <n v="1"/>
    <n v="1467"/>
    <n v="1"/>
    <s v="Female"/>
    <n v="52"/>
    <n v="3"/>
    <n v="1"/>
    <s v="Human Resources"/>
    <n v="3"/>
    <s v="Married"/>
    <n v="2742"/>
    <n v="3072"/>
    <n v="1"/>
    <s v="Y"/>
    <s v="No"/>
    <n v="15"/>
    <n v="3"/>
    <n v="4"/>
    <n v="80"/>
    <n v="0"/>
    <n v="2"/>
    <n v="0"/>
    <n v="3"/>
    <n v="2"/>
    <n v="2"/>
    <n v="2"/>
    <n v="2"/>
    <s v="LAB-1467"/>
    <x v="8"/>
    <x v="2"/>
    <x v="0"/>
    <n v="2"/>
    <x v="0"/>
  </r>
  <r>
    <n v="40"/>
    <s v="No"/>
    <s v="Non-Travel"/>
    <n v="218"/>
    <x v="1"/>
    <n v="8"/>
    <n v="1"/>
    <s v="Medical"/>
    <n v="1"/>
    <n v="1468"/>
    <n v="4"/>
    <s v="Male"/>
    <n v="55"/>
    <n v="2"/>
    <n v="3"/>
    <s v="Research Director"/>
    <n v="2"/>
    <s v="Divorced"/>
    <n v="13757"/>
    <n v="25178"/>
    <n v="2"/>
    <s v="Y"/>
    <s v="No"/>
    <n v="11"/>
    <n v="3"/>
    <n v="3"/>
    <n v="80"/>
    <n v="1"/>
    <n v="16"/>
    <n v="5"/>
    <n v="3"/>
    <n v="9"/>
    <n v="8"/>
    <n v="4"/>
    <n v="8"/>
    <s v="LAB-1468"/>
    <x v="7"/>
    <x v="1"/>
    <x v="1"/>
    <n v="9"/>
    <x v="0"/>
  </r>
  <r>
    <n v="28"/>
    <s v="No"/>
    <s v="Travel_Rarely"/>
    <n v="866"/>
    <x v="0"/>
    <n v="5"/>
    <n v="3"/>
    <s v="Medical"/>
    <n v="1"/>
    <n v="1469"/>
    <n v="4"/>
    <s v="Male"/>
    <n v="84"/>
    <n v="3"/>
    <n v="2"/>
    <s v="Sales Executive"/>
    <n v="1"/>
    <s v="Single"/>
    <n v="8463"/>
    <n v="23490"/>
    <n v="0"/>
    <s v="Y"/>
    <s v="No"/>
    <n v="18"/>
    <n v="3"/>
    <n v="4"/>
    <n v="80"/>
    <n v="0"/>
    <n v="6"/>
    <n v="4"/>
    <n v="3"/>
    <n v="5"/>
    <n v="4"/>
    <n v="1"/>
    <n v="3"/>
    <s v="LAB-1469"/>
    <x v="0"/>
    <x v="0"/>
    <x v="1"/>
    <n v="5"/>
    <x v="0"/>
  </r>
  <r>
    <n v="44"/>
    <s v="No"/>
    <s v="Non-Travel"/>
    <n v="981"/>
    <x v="1"/>
    <n v="5"/>
    <n v="3"/>
    <s v="Life Sciences"/>
    <n v="1"/>
    <n v="1471"/>
    <n v="3"/>
    <s v="Male"/>
    <n v="90"/>
    <n v="2"/>
    <n v="1"/>
    <s v="Laboratory Technician"/>
    <n v="3"/>
    <s v="Single"/>
    <n v="3162"/>
    <n v="7973"/>
    <n v="3"/>
    <s v="Y"/>
    <s v="No"/>
    <n v="14"/>
    <n v="3"/>
    <n v="4"/>
    <n v="80"/>
    <n v="0"/>
    <n v="7"/>
    <n v="5"/>
    <n v="3"/>
    <n v="5"/>
    <n v="2"/>
    <n v="0"/>
    <n v="3"/>
    <s v="LAB-1471"/>
    <x v="2"/>
    <x v="1"/>
    <x v="1"/>
    <n v="5"/>
    <x v="0"/>
  </r>
  <r>
    <n v="53"/>
    <s v="No"/>
    <s v="Travel_Rarely"/>
    <n v="447"/>
    <x v="1"/>
    <n v="2"/>
    <n v="3"/>
    <s v="Medical"/>
    <n v="1"/>
    <n v="1472"/>
    <n v="4"/>
    <s v="Male"/>
    <n v="39"/>
    <n v="4"/>
    <n v="4"/>
    <s v="Research Director"/>
    <n v="2"/>
    <s v="Single"/>
    <n v="16598"/>
    <n v="19764"/>
    <n v="4"/>
    <s v="Y"/>
    <s v="No"/>
    <n v="12"/>
    <n v="3"/>
    <n v="2"/>
    <n v="80"/>
    <n v="0"/>
    <n v="35"/>
    <n v="2"/>
    <n v="2"/>
    <n v="9"/>
    <n v="8"/>
    <n v="8"/>
    <n v="8"/>
    <s v="LAB-1472"/>
    <x v="7"/>
    <x v="1"/>
    <x v="1"/>
    <n v="9"/>
    <x v="0"/>
  </r>
  <r>
    <n v="49"/>
    <s v="No"/>
    <s v="Travel_Rarely"/>
    <n v="1495"/>
    <x v="1"/>
    <n v="5"/>
    <n v="4"/>
    <s v="Technical Degree"/>
    <n v="1"/>
    <n v="1473"/>
    <n v="1"/>
    <s v="Male"/>
    <n v="96"/>
    <n v="3"/>
    <n v="2"/>
    <s v="Healthcare Representative"/>
    <n v="3"/>
    <s v="Married"/>
    <n v="6651"/>
    <n v="21534"/>
    <n v="2"/>
    <s v="Y"/>
    <s v="No"/>
    <n v="14"/>
    <n v="3"/>
    <n v="2"/>
    <n v="80"/>
    <n v="1"/>
    <n v="20"/>
    <n v="0"/>
    <n v="2"/>
    <n v="3"/>
    <n v="2"/>
    <n v="1"/>
    <n v="2"/>
    <s v="LAB-1473"/>
    <x v="4"/>
    <x v="1"/>
    <x v="1"/>
    <n v="3"/>
    <x v="0"/>
  </r>
  <r>
    <n v="40"/>
    <s v="No"/>
    <s v="Travel_Rarely"/>
    <n v="896"/>
    <x v="1"/>
    <n v="2"/>
    <n v="3"/>
    <s v="Medical"/>
    <n v="1"/>
    <n v="1474"/>
    <n v="3"/>
    <s v="Male"/>
    <n v="68"/>
    <n v="3"/>
    <n v="1"/>
    <s v="Research Scientist"/>
    <n v="3"/>
    <s v="Divorced"/>
    <n v="2345"/>
    <n v="8045"/>
    <n v="2"/>
    <s v="Y"/>
    <s v="No"/>
    <n v="14"/>
    <n v="3"/>
    <n v="3"/>
    <n v="80"/>
    <n v="1"/>
    <n v="8"/>
    <n v="3"/>
    <n v="4"/>
    <n v="3"/>
    <n v="1"/>
    <n v="1"/>
    <n v="2"/>
    <s v="LAB-1474"/>
    <x v="1"/>
    <x v="1"/>
    <x v="1"/>
    <n v="3"/>
    <x v="0"/>
  </r>
  <r>
    <n v="44"/>
    <s v="No"/>
    <s v="Travel_Rarely"/>
    <n v="1467"/>
    <x v="1"/>
    <n v="20"/>
    <n v="3"/>
    <s v="Life Sciences"/>
    <n v="1"/>
    <n v="1475"/>
    <n v="4"/>
    <s v="Male"/>
    <n v="49"/>
    <n v="3"/>
    <n v="1"/>
    <s v="Research Scientist"/>
    <n v="2"/>
    <s v="Single"/>
    <n v="3420"/>
    <n v="21158"/>
    <n v="1"/>
    <s v="Y"/>
    <s v="No"/>
    <n v="13"/>
    <n v="3"/>
    <n v="3"/>
    <n v="80"/>
    <n v="0"/>
    <n v="6"/>
    <n v="3"/>
    <n v="2"/>
    <n v="5"/>
    <n v="2"/>
    <n v="1"/>
    <n v="3"/>
    <s v="LAB-1475"/>
    <x v="1"/>
    <x v="1"/>
    <x v="1"/>
    <n v="5"/>
    <x v="0"/>
  </r>
  <r>
    <n v="33"/>
    <s v="No"/>
    <s v="Travel_Frequently"/>
    <n v="430"/>
    <x v="0"/>
    <n v="7"/>
    <n v="3"/>
    <s v="Medical"/>
    <n v="1"/>
    <n v="1477"/>
    <n v="4"/>
    <s v="Male"/>
    <n v="54"/>
    <n v="3"/>
    <n v="2"/>
    <s v="Sales Executive"/>
    <n v="1"/>
    <s v="Married"/>
    <n v="4373"/>
    <n v="17456"/>
    <n v="0"/>
    <s v="Y"/>
    <s v="No"/>
    <n v="14"/>
    <n v="3"/>
    <n v="1"/>
    <n v="80"/>
    <n v="2"/>
    <n v="5"/>
    <n v="2"/>
    <n v="3"/>
    <n v="4"/>
    <n v="3"/>
    <n v="0"/>
    <n v="3"/>
    <s v="LAB-1477"/>
    <x v="0"/>
    <x v="0"/>
    <x v="1"/>
    <n v="4"/>
    <x v="0"/>
  </r>
  <r>
    <n v="34"/>
    <s v="No"/>
    <s v="Travel_Rarely"/>
    <n v="1326"/>
    <x v="0"/>
    <n v="3"/>
    <n v="3"/>
    <s v="Other"/>
    <n v="1"/>
    <n v="1478"/>
    <n v="4"/>
    <s v="Male"/>
    <n v="81"/>
    <n v="1"/>
    <n v="2"/>
    <s v="Sales Executive"/>
    <n v="1"/>
    <s v="Single"/>
    <n v="4759"/>
    <n v="15891"/>
    <n v="3"/>
    <s v="Y"/>
    <s v="No"/>
    <n v="18"/>
    <n v="3"/>
    <n v="4"/>
    <n v="80"/>
    <n v="0"/>
    <n v="15"/>
    <n v="2"/>
    <n v="3"/>
    <n v="13"/>
    <n v="9"/>
    <n v="3"/>
    <n v="12"/>
    <s v="LAB-1478"/>
    <x v="0"/>
    <x v="0"/>
    <x v="1"/>
    <n v="13"/>
    <x v="0"/>
  </r>
  <r>
    <n v="30"/>
    <s v="No"/>
    <s v="Travel_Rarely"/>
    <n v="1358"/>
    <x v="0"/>
    <n v="16"/>
    <n v="1"/>
    <s v="Life Sciences"/>
    <n v="1"/>
    <n v="1479"/>
    <n v="4"/>
    <s v="Male"/>
    <n v="96"/>
    <n v="3"/>
    <n v="2"/>
    <s v="Sales Executive"/>
    <n v="3"/>
    <s v="Married"/>
    <n v="5301"/>
    <n v="2939"/>
    <n v="8"/>
    <s v="Y"/>
    <s v="No"/>
    <n v="15"/>
    <n v="3"/>
    <n v="3"/>
    <n v="80"/>
    <n v="2"/>
    <n v="4"/>
    <n v="2"/>
    <n v="2"/>
    <n v="2"/>
    <n v="1"/>
    <n v="2"/>
    <n v="2"/>
    <s v="LAB-1479"/>
    <x v="0"/>
    <x v="0"/>
    <x v="1"/>
    <n v="2"/>
    <x v="0"/>
  </r>
  <r>
    <n v="42"/>
    <s v="No"/>
    <s v="Travel_Frequently"/>
    <n v="748"/>
    <x v="1"/>
    <n v="9"/>
    <n v="2"/>
    <s v="Medical"/>
    <n v="1"/>
    <n v="1480"/>
    <n v="1"/>
    <s v="Female"/>
    <n v="74"/>
    <n v="3"/>
    <n v="1"/>
    <s v="Laboratory Technician"/>
    <n v="4"/>
    <s v="Single"/>
    <n v="3673"/>
    <n v="16458"/>
    <n v="1"/>
    <s v="Y"/>
    <s v="No"/>
    <n v="13"/>
    <n v="3"/>
    <n v="3"/>
    <n v="80"/>
    <n v="0"/>
    <n v="12"/>
    <n v="3"/>
    <n v="3"/>
    <n v="12"/>
    <n v="9"/>
    <n v="5"/>
    <n v="8"/>
    <s v="LAB-1480"/>
    <x v="2"/>
    <x v="1"/>
    <x v="1"/>
    <n v="12"/>
    <x v="0"/>
  </r>
  <r>
    <n v="44"/>
    <s v="No"/>
    <s v="Travel_Frequently"/>
    <n v="383"/>
    <x v="0"/>
    <n v="1"/>
    <n v="5"/>
    <s v="Marketing"/>
    <n v="1"/>
    <n v="1481"/>
    <n v="1"/>
    <s v="Female"/>
    <n v="79"/>
    <n v="3"/>
    <n v="2"/>
    <s v="Sales Executive"/>
    <n v="3"/>
    <s v="Married"/>
    <n v="4768"/>
    <n v="9282"/>
    <n v="7"/>
    <s v="Y"/>
    <s v="No"/>
    <n v="12"/>
    <n v="3"/>
    <n v="3"/>
    <n v="80"/>
    <n v="1"/>
    <n v="11"/>
    <n v="4"/>
    <n v="2"/>
    <n v="1"/>
    <n v="0"/>
    <n v="0"/>
    <n v="0"/>
    <s v="LAB-1481"/>
    <x v="0"/>
    <x v="0"/>
    <x v="1"/>
    <n v="1"/>
    <x v="0"/>
  </r>
  <r>
    <n v="30"/>
    <s v="No"/>
    <s v="Non-Travel"/>
    <n v="990"/>
    <x v="1"/>
    <n v="7"/>
    <n v="3"/>
    <s v="Technical Degree"/>
    <n v="1"/>
    <n v="1482"/>
    <n v="3"/>
    <s v="Male"/>
    <n v="64"/>
    <n v="3"/>
    <n v="1"/>
    <s v="Research Scientist"/>
    <n v="3"/>
    <s v="Divorced"/>
    <n v="1274"/>
    <n v="7152"/>
    <n v="1"/>
    <s v="Y"/>
    <s v="No"/>
    <n v="13"/>
    <n v="3"/>
    <n v="2"/>
    <n v="80"/>
    <n v="2"/>
    <n v="1"/>
    <n v="2"/>
    <n v="2"/>
    <n v="1"/>
    <n v="0"/>
    <n v="0"/>
    <n v="0"/>
    <s v="LAB-1482"/>
    <x v="1"/>
    <x v="1"/>
    <x v="1"/>
    <n v="1"/>
    <x v="0"/>
  </r>
  <r>
    <n v="57"/>
    <s v="No"/>
    <s v="Travel_Rarely"/>
    <n v="405"/>
    <x v="1"/>
    <n v="1"/>
    <n v="2"/>
    <s v="Life Sciences"/>
    <n v="1"/>
    <n v="1483"/>
    <n v="2"/>
    <s v="Male"/>
    <n v="93"/>
    <n v="4"/>
    <n v="2"/>
    <s v="Research Scientist"/>
    <n v="3"/>
    <s v="Married"/>
    <n v="4900"/>
    <n v="2721"/>
    <n v="0"/>
    <s v="Y"/>
    <s v="No"/>
    <n v="24"/>
    <n v="4"/>
    <n v="1"/>
    <n v="80"/>
    <n v="1"/>
    <n v="13"/>
    <n v="2"/>
    <n v="2"/>
    <n v="12"/>
    <n v="9"/>
    <n v="2"/>
    <n v="8"/>
    <s v="LAB-1483"/>
    <x v="1"/>
    <x v="1"/>
    <x v="1"/>
    <n v="12"/>
    <x v="0"/>
  </r>
  <r>
    <n v="49"/>
    <s v="No"/>
    <s v="Travel_Rarely"/>
    <n v="1490"/>
    <x v="1"/>
    <n v="7"/>
    <n v="4"/>
    <s v="Life Sciences"/>
    <n v="1"/>
    <n v="1484"/>
    <n v="3"/>
    <s v="Male"/>
    <n v="35"/>
    <n v="3"/>
    <n v="3"/>
    <s v="Healthcare Representative"/>
    <n v="2"/>
    <s v="Divorced"/>
    <n v="10466"/>
    <n v="20948"/>
    <n v="3"/>
    <s v="Y"/>
    <s v="No"/>
    <n v="14"/>
    <n v="3"/>
    <n v="2"/>
    <n v="80"/>
    <n v="2"/>
    <n v="29"/>
    <n v="3"/>
    <n v="3"/>
    <n v="8"/>
    <n v="7"/>
    <n v="0"/>
    <n v="7"/>
    <s v="LAB-1484"/>
    <x v="4"/>
    <x v="1"/>
    <x v="1"/>
    <n v="8"/>
    <x v="0"/>
  </r>
  <r>
    <n v="34"/>
    <s v="No"/>
    <s v="Travel_Frequently"/>
    <n v="829"/>
    <x v="1"/>
    <n v="15"/>
    <n v="3"/>
    <s v="Medical"/>
    <n v="1"/>
    <n v="1485"/>
    <n v="2"/>
    <s v="Male"/>
    <n v="71"/>
    <n v="3"/>
    <n v="4"/>
    <s v="Research Director"/>
    <n v="1"/>
    <s v="Divorced"/>
    <n v="17007"/>
    <n v="11929"/>
    <n v="7"/>
    <s v="Y"/>
    <s v="No"/>
    <n v="14"/>
    <n v="3"/>
    <n v="4"/>
    <n v="80"/>
    <n v="2"/>
    <n v="16"/>
    <n v="3"/>
    <n v="2"/>
    <n v="14"/>
    <n v="8"/>
    <n v="6"/>
    <n v="9"/>
    <s v="LAB-1485"/>
    <x v="7"/>
    <x v="1"/>
    <x v="1"/>
    <n v="14"/>
    <x v="0"/>
  </r>
  <r>
    <n v="28"/>
    <s v="Yes"/>
    <s v="Travel_Frequently"/>
    <n v="1496"/>
    <x v="0"/>
    <n v="1"/>
    <n v="3"/>
    <s v="Technical Degree"/>
    <n v="1"/>
    <n v="1486"/>
    <n v="1"/>
    <s v="Male"/>
    <n v="92"/>
    <n v="3"/>
    <n v="1"/>
    <s v="Sales Representative"/>
    <n v="3"/>
    <s v="Married"/>
    <n v="2909"/>
    <n v="15747"/>
    <n v="3"/>
    <s v="Y"/>
    <s v="No"/>
    <n v="15"/>
    <n v="3"/>
    <n v="4"/>
    <n v="80"/>
    <n v="1"/>
    <n v="5"/>
    <n v="3"/>
    <n v="4"/>
    <n v="3"/>
    <n v="2"/>
    <n v="1"/>
    <n v="2"/>
    <s v="LAB-1486"/>
    <x v="6"/>
    <x v="0"/>
    <x v="0"/>
    <n v="3"/>
    <x v="0"/>
  </r>
  <r>
    <n v="29"/>
    <s v="Yes"/>
    <s v="Travel_Frequently"/>
    <n v="115"/>
    <x v="0"/>
    <n v="13"/>
    <n v="3"/>
    <s v="Technical Degree"/>
    <n v="1"/>
    <n v="1487"/>
    <n v="1"/>
    <s v="Female"/>
    <n v="51"/>
    <n v="3"/>
    <n v="2"/>
    <s v="Sales Executive"/>
    <n v="2"/>
    <s v="Single"/>
    <n v="5765"/>
    <n v="17485"/>
    <n v="5"/>
    <s v="Y"/>
    <s v="No"/>
    <n v="11"/>
    <n v="3"/>
    <n v="1"/>
    <n v="80"/>
    <n v="0"/>
    <n v="7"/>
    <n v="4"/>
    <n v="1"/>
    <n v="5"/>
    <n v="3"/>
    <n v="0"/>
    <n v="0"/>
    <s v="LAB-1487"/>
    <x v="0"/>
    <x v="0"/>
    <x v="0"/>
    <n v="5"/>
    <x v="0"/>
  </r>
  <r>
    <n v="34"/>
    <s v="Yes"/>
    <s v="Travel_Rarely"/>
    <n v="790"/>
    <x v="0"/>
    <n v="24"/>
    <n v="4"/>
    <s v="Medical"/>
    <n v="1"/>
    <n v="1489"/>
    <n v="1"/>
    <s v="Female"/>
    <n v="40"/>
    <n v="2"/>
    <n v="2"/>
    <s v="Sales Executive"/>
    <n v="2"/>
    <s v="Single"/>
    <n v="4599"/>
    <n v="7815"/>
    <n v="0"/>
    <s v="Y"/>
    <s v="Yes"/>
    <n v="23"/>
    <n v="4"/>
    <n v="3"/>
    <n v="80"/>
    <n v="0"/>
    <n v="16"/>
    <n v="2"/>
    <n v="4"/>
    <n v="15"/>
    <n v="9"/>
    <n v="10"/>
    <n v="10"/>
    <s v="LAB-1489"/>
    <x v="0"/>
    <x v="0"/>
    <x v="0"/>
    <n v="15"/>
    <x v="0"/>
  </r>
  <r>
    <n v="35"/>
    <s v="No"/>
    <s v="Travel_Rarely"/>
    <n v="660"/>
    <x v="0"/>
    <n v="7"/>
    <n v="1"/>
    <s v="Life Sciences"/>
    <n v="1"/>
    <n v="1492"/>
    <n v="4"/>
    <s v="Male"/>
    <n v="76"/>
    <n v="3"/>
    <n v="1"/>
    <s v="Sales Representative"/>
    <n v="3"/>
    <s v="Married"/>
    <n v="2404"/>
    <n v="16192"/>
    <n v="1"/>
    <s v="Y"/>
    <s v="No"/>
    <n v="13"/>
    <n v="3"/>
    <n v="1"/>
    <n v="80"/>
    <n v="1"/>
    <n v="1"/>
    <n v="3"/>
    <n v="3"/>
    <n v="1"/>
    <n v="0"/>
    <n v="0"/>
    <n v="0"/>
    <s v="LAB-1492"/>
    <x v="6"/>
    <x v="0"/>
    <x v="1"/>
    <n v="1"/>
    <x v="0"/>
  </r>
  <r>
    <n v="24"/>
    <s v="Yes"/>
    <s v="Travel_Frequently"/>
    <n v="381"/>
    <x v="1"/>
    <n v="9"/>
    <n v="3"/>
    <s v="Medical"/>
    <n v="1"/>
    <n v="1494"/>
    <n v="2"/>
    <s v="Male"/>
    <n v="89"/>
    <n v="3"/>
    <n v="1"/>
    <s v="Laboratory Technician"/>
    <n v="1"/>
    <s v="Single"/>
    <n v="3172"/>
    <n v="16998"/>
    <n v="2"/>
    <s v="Y"/>
    <s v="Yes"/>
    <n v="11"/>
    <n v="3"/>
    <n v="3"/>
    <n v="80"/>
    <n v="0"/>
    <n v="4"/>
    <n v="2"/>
    <n v="2"/>
    <n v="0"/>
    <n v="0"/>
    <n v="0"/>
    <n v="0"/>
    <s v="LAB-1494"/>
    <x v="2"/>
    <x v="1"/>
    <x v="0"/>
    <n v="0"/>
    <x v="0"/>
  </r>
  <r>
    <n v="24"/>
    <s v="No"/>
    <s v="Non-Travel"/>
    <n v="830"/>
    <x v="0"/>
    <n v="13"/>
    <n v="2"/>
    <s v="Life Sciences"/>
    <n v="1"/>
    <n v="1495"/>
    <n v="4"/>
    <s v="Female"/>
    <n v="78"/>
    <n v="3"/>
    <n v="1"/>
    <s v="Sales Representative"/>
    <n v="2"/>
    <s v="Married"/>
    <n v="2033"/>
    <n v="7103"/>
    <n v="1"/>
    <s v="Y"/>
    <s v="No"/>
    <n v="13"/>
    <n v="3"/>
    <n v="3"/>
    <n v="80"/>
    <n v="1"/>
    <n v="1"/>
    <n v="2"/>
    <n v="3"/>
    <n v="1"/>
    <n v="0"/>
    <n v="0"/>
    <n v="0"/>
    <s v="LAB-1495"/>
    <x v="6"/>
    <x v="0"/>
    <x v="1"/>
    <n v="1"/>
    <x v="0"/>
  </r>
  <r>
    <n v="44"/>
    <s v="No"/>
    <s v="Travel_Frequently"/>
    <n v="1193"/>
    <x v="1"/>
    <n v="2"/>
    <n v="1"/>
    <s v="Medical"/>
    <n v="1"/>
    <n v="1496"/>
    <n v="2"/>
    <s v="Male"/>
    <n v="86"/>
    <n v="3"/>
    <n v="3"/>
    <s v="Manufacturing Director"/>
    <n v="3"/>
    <s v="Single"/>
    <n v="10209"/>
    <n v="19719"/>
    <n v="5"/>
    <s v="Y"/>
    <s v="Yes"/>
    <n v="18"/>
    <n v="3"/>
    <n v="2"/>
    <n v="80"/>
    <n v="0"/>
    <n v="16"/>
    <n v="2"/>
    <n v="2"/>
    <n v="2"/>
    <n v="2"/>
    <n v="2"/>
    <n v="2"/>
    <s v="LAB-1496"/>
    <x v="3"/>
    <x v="1"/>
    <x v="1"/>
    <n v="2"/>
    <x v="0"/>
  </r>
  <r>
    <n v="29"/>
    <s v="No"/>
    <s v="Travel_Rarely"/>
    <n v="1246"/>
    <x v="0"/>
    <n v="19"/>
    <n v="3"/>
    <s v="Life Sciences"/>
    <n v="1"/>
    <n v="1497"/>
    <n v="3"/>
    <s v="Male"/>
    <n v="77"/>
    <n v="2"/>
    <n v="2"/>
    <s v="Sales Executive"/>
    <n v="3"/>
    <s v="Divorced"/>
    <n v="8620"/>
    <n v="23757"/>
    <n v="1"/>
    <s v="Y"/>
    <s v="No"/>
    <n v="14"/>
    <n v="3"/>
    <n v="3"/>
    <n v="80"/>
    <n v="2"/>
    <n v="10"/>
    <n v="3"/>
    <n v="3"/>
    <n v="10"/>
    <n v="7"/>
    <n v="0"/>
    <n v="4"/>
    <s v="LAB-1497"/>
    <x v="0"/>
    <x v="0"/>
    <x v="1"/>
    <n v="10"/>
    <x v="0"/>
  </r>
  <r>
    <n v="30"/>
    <s v="No"/>
    <s v="Travel_Rarely"/>
    <n v="330"/>
    <x v="2"/>
    <n v="1"/>
    <n v="3"/>
    <s v="Life Sciences"/>
    <n v="1"/>
    <n v="1499"/>
    <n v="3"/>
    <s v="Male"/>
    <n v="46"/>
    <n v="3"/>
    <n v="1"/>
    <s v="Human Resources"/>
    <n v="3"/>
    <s v="Divorced"/>
    <n v="2064"/>
    <n v="15428"/>
    <n v="0"/>
    <s v="Y"/>
    <s v="No"/>
    <n v="21"/>
    <n v="4"/>
    <n v="1"/>
    <n v="80"/>
    <n v="1"/>
    <n v="6"/>
    <n v="3"/>
    <n v="4"/>
    <n v="5"/>
    <n v="3"/>
    <n v="1"/>
    <n v="3"/>
    <s v="LAB-1499"/>
    <x v="8"/>
    <x v="2"/>
    <x v="1"/>
    <n v="5"/>
    <x v="0"/>
  </r>
  <r>
    <n v="55"/>
    <s v="No"/>
    <s v="Travel_Rarely"/>
    <n v="1229"/>
    <x v="1"/>
    <n v="4"/>
    <n v="4"/>
    <s v="Life Sciences"/>
    <n v="1"/>
    <n v="1501"/>
    <n v="4"/>
    <s v="Male"/>
    <n v="30"/>
    <n v="3"/>
    <n v="2"/>
    <s v="Healthcare Representative"/>
    <n v="3"/>
    <s v="Married"/>
    <n v="4035"/>
    <n v="16143"/>
    <n v="0"/>
    <s v="Y"/>
    <s v="Yes"/>
    <n v="16"/>
    <n v="3"/>
    <n v="2"/>
    <n v="80"/>
    <n v="0"/>
    <n v="4"/>
    <n v="2"/>
    <n v="3"/>
    <n v="3"/>
    <n v="2"/>
    <n v="1"/>
    <n v="2"/>
    <s v="LAB-1501"/>
    <x v="4"/>
    <x v="1"/>
    <x v="1"/>
    <n v="3"/>
    <x v="0"/>
  </r>
  <r>
    <n v="33"/>
    <s v="No"/>
    <s v="Travel_Rarely"/>
    <n v="1099"/>
    <x v="1"/>
    <n v="4"/>
    <n v="4"/>
    <s v="Medical"/>
    <n v="1"/>
    <n v="1502"/>
    <n v="1"/>
    <s v="Female"/>
    <n v="82"/>
    <n v="2"/>
    <n v="1"/>
    <s v="Laboratory Technician"/>
    <n v="2"/>
    <s v="Married"/>
    <n v="3838"/>
    <n v="8192"/>
    <n v="8"/>
    <s v="Y"/>
    <s v="No"/>
    <n v="11"/>
    <n v="3"/>
    <n v="4"/>
    <n v="80"/>
    <n v="0"/>
    <n v="8"/>
    <n v="5"/>
    <n v="3"/>
    <n v="5"/>
    <n v="4"/>
    <n v="0"/>
    <n v="2"/>
    <s v="LAB-1502"/>
    <x v="2"/>
    <x v="1"/>
    <x v="1"/>
    <n v="5"/>
    <x v="0"/>
  </r>
  <r>
    <n v="47"/>
    <s v="No"/>
    <s v="Travel_Rarely"/>
    <n v="571"/>
    <x v="0"/>
    <n v="14"/>
    <n v="3"/>
    <s v="Medical"/>
    <n v="1"/>
    <n v="1503"/>
    <n v="3"/>
    <s v="Female"/>
    <n v="78"/>
    <n v="3"/>
    <n v="2"/>
    <s v="Sales Executive"/>
    <n v="3"/>
    <s v="Married"/>
    <n v="4591"/>
    <n v="24200"/>
    <n v="3"/>
    <s v="Y"/>
    <s v="Yes"/>
    <n v="17"/>
    <n v="3"/>
    <n v="3"/>
    <n v="80"/>
    <n v="1"/>
    <n v="11"/>
    <n v="4"/>
    <n v="2"/>
    <n v="5"/>
    <n v="4"/>
    <n v="1"/>
    <n v="2"/>
    <s v="LAB-1503"/>
    <x v="0"/>
    <x v="0"/>
    <x v="1"/>
    <n v="5"/>
    <x v="0"/>
  </r>
  <r>
    <n v="28"/>
    <s v="Yes"/>
    <s v="Travel_Frequently"/>
    <n v="289"/>
    <x v="1"/>
    <n v="2"/>
    <n v="2"/>
    <s v="Medical"/>
    <n v="1"/>
    <n v="1504"/>
    <n v="3"/>
    <s v="Male"/>
    <n v="38"/>
    <n v="2"/>
    <n v="1"/>
    <s v="Laboratory Technician"/>
    <n v="1"/>
    <s v="Single"/>
    <n v="2561"/>
    <n v="5355"/>
    <n v="7"/>
    <s v="Y"/>
    <s v="No"/>
    <n v="11"/>
    <n v="3"/>
    <n v="3"/>
    <n v="80"/>
    <n v="0"/>
    <n v="8"/>
    <n v="2"/>
    <n v="2"/>
    <n v="0"/>
    <n v="0"/>
    <n v="0"/>
    <n v="0"/>
    <s v="LAB-1504"/>
    <x v="2"/>
    <x v="1"/>
    <x v="0"/>
    <n v="0"/>
    <x v="0"/>
  </r>
  <r>
    <n v="28"/>
    <s v="No"/>
    <s v="Travel_Rarely"/>
    <n v="1423"/>
    <x v="1"/>
    <n v="1"/>
    <n v="3"/>
    <s v="Life Sciences"/>
    <n v="1"/>
    <n v="1506"/>
    <n v="1"/>
    <s v="Male"/>
    <n v="72"/>
    <n v="2"/>
    <n v="1"/>
    <s v="Research Scientist"/>
    <n v="3"/>
    <s v="Divorced"/>
    <n v="1563"/>
    <n v="12530"/>
    <n v="1"/>
    <s v="Y"/>
    <s v="No"/>
    <n v="14"/>
    <n v="3"/>
    <n v="4"/>
    <n v="80"/>
    <n v="1"/>
    <n v="1"/>
    <n v="2"/>
    <n v="1"/>
    <n v="1"/>
    <n v="0"/>
    <n v="0"/>
    <n v="0"/>
    <s v="LAB-1506"/>
    <x v="1"/>
    <x v="1"/>
    <x v="1"/>
    <n v="1"/>
    <x v="0"/>
  </r>
  <r>
    <n v="28"/>
    <s v="No"/>
    <s v="Travel_Frequently"/>
    <n v="467"/>
    <x v="0"/>
    <n v="7"/>
    <n v="3"/>
    <s v="Life Sciences"/>
    <n v="1"/>
    <n v="1507"/>
    <n v="3"/>
    <s v="Male"/>
    <n v="55"/>
    <n v="3"/>
    <n v="2"/>
    <s v="Sales Executive"/>
    <n v="1"/>
    <s v="Single"/>
    <n v="4898"/>
    <n v="11827"/>
    <n v="0"/>
    <s v="Y"/>
    <s v="No"/>
    <n v="14"/>
    <n v="3"/>
    <n v="4"/>
    <n v="80"/>
    <n v="0"/>
    <n v="5"/>
    <n v="5"/>
    <n v="3"/>
    <n v="4"/>
    <n v="2"/>
    <n v="1"/>
    <n v="3"/>
    <s v="LAB-1507"/>
    <x v="0"/>
    <x v="0"/>
    <x v="1"/>
    <n v="4"/>
    <x v="0"/>
  </r>
  <r>
    <n v="49"/>
    <s v="No"/>
    <s v="Travel_Rarely"/>
    <n v="271"/>
    <x v="1"/>
    <n v="3"/>
    <n v="2"/>
    <s v="Medical"/>
    <n v="1"/>
    <n v="1509"/>
    <n v="3"/>
    <s v="Female"/>
    <n v="43"/>
    <n v="2"/>
    <n v="2"/>
    <s v="Laboratory Technician"/>
    <n v="1"/>
    <s v="Married"/>
    <n v="4789"/>
    <n v="23070"/>
    <n v="4"/>
    <s v="Y"/>
    <s v="No"/>
    <n v="25"/>
    <n v="4"/>
    <n v="1"/>
    <n v="80"/>
    <n v="1"/>
    <n v="10"/>
    <n v="3"/>
    <n v="3"/>
    <n v="3"/>
    <n v="2"/>
    <n v="1"/>
    <n v="2"/>
    <s v="LAB-1509"/>
    <x v="2"/>
    <x v="1"/>
    <x v="1"/>
    <n v="3"/>
    <x v="0"/>
  </r>
  <r>
    <n v="29"/>
    <s v="No"/>
    <s v="Travel_Frequently"/>
    <n v="410"/>
    <x v="1"/>
    <n v="2"/>
    <n v="1"/>
    <s v="Life Sciences"/>
    <n v="1"/>
    <n v="1513"/>
    <n v="4"/>
    <s v="Female"/>
    <n v="97"/>
    <n v="3"/>
    <n v="1"/>
    <s v="Laboratory Technician"/>
    <n v="2"/>
    <s v="Married"/>
    <n v="3180"/>
    <n v="4668"/>
    <n v="0"/>
    <s v="Y"/>
    <s v="No"/>
    <n v="13"/>
    <n v="3"/>
    <n v="3"/>
    <n v="80"/>
    <n v="3"/>
    <n v="4"/>
    <n v="3"/>
    <n v="3"/>
    <n v="3"/>
    <n v="2"/>
    <n v="0"/>
    <n v="2"/>
    <s v="LAB-1513"/>
    <x v="2"/>
    <x v="1"/>
    <x v="1"/>
    <n v="3"/>
    <x v="0"/>
  </r>
  <r>
    <n v="28"/>
    <s v="No"/>
    <s v="Travel_Rarely"/>
    <n v="1083"/>
    <x v="1"/>
    <n v="29"/>
    <n v="1"/>
    <s v="Life Sciences"/>
    <n v="1"/>
    <n v="1514"/>
    <n v="3"/>
    <s v="Male"/>
    <n v="96"/>
    <n v="1"/>
    <n v="2"/>
    <s v="Manufacturing Director"/>
    <n v="2"/>
    <s v="Married"/>
    <n v="6549"/>
    <n v="3173"/>
    <n v="1"/>
    <s v="Y"/>
    <s v="No"/>
    <n v="14"/>
    <n v="3"/>
    <n v="2"/>
    <n v="80"/>
    <n v="2"/>
    <n v="8"/>
    <n v="2"/>
    <n v="2"/>
    <n v="8"/>
    <n v="6"/>
    <n v="1"/>
    <n v="7"/>
    <s v="LAB-1514"/>
    <x v="3"/>
    <x v="1"/>
    <x v="1"/>
    <n v="8"/>
    <x v="0"/>
  </r>
  <r>
    <n v="33"/>
    <s v="No"/>
    <s v="Travel_Rarely"/>
    <n v="516"/>
    <x v="1"/>
    <n v="8"/>
    <n v="5"/>
    <s v="Life Sciences"/>
    <n v="1"/>
    <n v="1515"/>
    <n v="4"/>
    <s v="Male"/>
    <n v="69"/>
    <n v="3"/>
    <n v="2"/>
    <s v="Healthcare Representative"/>
    <n v="3"/>
    <s v="Single"/>
    <n v="6388"/>
    <n v="22049"/>
    <n v="2"/>
    <s v="Y"/>
    <s v="Yes"/>
    <n v="17"/>
    <n v="3"/>
    <n v="1"/>
    <n v="80"/>
    <n v="0"/>
    <n v="14"/>
    <n v="6"/>
    <n v="3"/>
    <n v="0"/>
    <n v="0"/>
    <n v="0"/>
    <n v="0"/>
    <s v="LAB-1515"/>
    <x v="4"/>
    <x v="1"/>
    <x v="1"/>
    <n v="0"/>
    <x v="0"/>
  </r>
  <r>
    <n v="32"/>
    <s v="No"/>
    <s v="Travel_Rarely"/>
    <n v="495"/>
    <x v="1"/>
    <n v="10"/>
    <n v="3"/>
    <s v="Medical"/>
    <n v="1"/>
    <n v="1516"/>
    <n v="3"/>
    <s v="Male"/>
    <n v="64"/>
    <n v="3"/>
    <n v="3"/>
    <s v="Manager"/>
    <n v="4"/>
    <s v="Single"/>
    <n v="11244"/>
    <n v="21072"/>
    <n v="2"/>
    <s v="Y"/>
    <s v="No"/>
    <n v="25"/>
    <n v="4"/>
    <n v="2"/>
    <n v="80"/>
    <n v="0"/>
    <n v="10"/>
    <n v="5"/>
    <n v="4"/>
    <n v="5"/>
    <n v="2"/>
    <n v="0"/>
    <n v="0"/>
    <s v="LAB-1516"/>
    <x v="5"/>
    <x v="1"/>
    <x v="1"/>
    <n v="5"/>
    <x v="0"/>
  </r>
  <r>
    <n v="54"/>
    <s v="No"/>
    <s v="Travel_Frequently"/>
    <n v="1050"/>
    <x v="1"/>
    <n v="11"/>
    <n v="4"/>
    <s v="Medical"/>
    <n v="1"/>
    <n v="1520"/>
    <n v="2"/>
    <s v="Female"/>
    <n v="87"/>
    <n v="3"/>
    <n v="4"/>
    <s v="Manager"/>
    <n v="4"/>
    <s v="Divorced"/>
    <n v="16032"/>
    <n v="24456"/>
    <n v="3"/>
    <s v="Y"/>
    <s v="No"/>
    <n v="20"/>
    <n v="4"/>
    <n v="1"/>
    <n v="80"/>
    <n v="1"/>
    <n v="26"/>
    <n v="2"/>
    <n v="3"/>
    <n v="14"/>
    <n v="9"/>
    <n v="1"/>
    <n v="12"/>
    <s v="LAB-1520"/>
    <x v="5"/>
    <x v="1"/>
    <x v="1"/>
    <n v="14"/>
    <x v="0"/>
  </r>
  <r>
    <n v="29"/>
    <s v="Yes"/>
    <s v="Travel_Rarely"/>
    <n v="224"/>
    <x v="1"/>
    <n v="1"/>
    <n v="4"/>
    <s v="Technical Degree"/>
    <n v="1"/>
    <n v="1522"/>
    <n v="1"/>
    <s v="Male"/>
    <n v="100"/>
    <n v="2"/>
    <n v="1"/>
    <s v="Research Scientist"/>
    <n v="1"/>
    <s v="Single"/>
    <n v="2362"/>
    <n v="7568"/>
    <n v="6"/>
    <s v="Y"/>
    <s v="No"/>
    <n v="13"/>
    <n v="3"/>
    <n v="3"/>
    <n v="80"/>
    <n v="0"/>
    <n v="11"/>
    <n v="2"/>
    <n v="1"/>
    <n v="9"/>
    <n v="7"/>
    <n v="0"/>
    <n v="7"/>
    <s v="LAB-1522"/>
    <x v="1"/>
    <x v="1"/>
    <x v="0"/>
    <n v="9"/>
    <x v="0"/>
  </r>
  <r>
    <n v="44"/>
    <s v="No"/>
    <s v="Travel_Rarely"/>
    <n v="136"/>
    <x v="1"/>
    <n v="28"/>
    <n v="3"/>
    <s v="Life Sciences"/>
    <n v="1"/>
    <n v="1523"/>
    <n v="4"/>
    <s v="Male"/>
    <n v="32"/>
    <n v="3"/>
    <n v="4"/>
    <s v="Research Director"/>
    <n v="1"/>
    <s v="Married"/>
    <n v="16328"/>
    <n v="22074"/>
    <n v="3"/>
    <s v="Y"/>
    <s v="No"/>
    <n v="13"/>
    <n v="3"/>
    <n v="3"/>
    <n v="80"/>
    <n v="1"/>
    <n v="24"/>
    <n v="1"/>
    <n v="4"/>
    <n v="20"/>
    <n v="6"/>
    <n v="14"/>
    <n v="17"/>
    <s v="LAB-1523"/>
    <x v="7"/>
    <x v="1"/>
    <x v="1"/>
    <n v="20"/>
    <x v="0"/>
  </r>
  <r>
    <n v="39"/>
    <s v="No"/>
    <s v="Travel_Rarely"/>
    <n v="1089"/>
    <x v="1"/>
    <n v="6"/>
    <n v="3"/>
    <s v="Life Sciences"/>
    <n v="1"/>
    <n v="1525"/>
    <n v="2"/>
    <s v="Female"/>
    <n v="32"/>
    <n v="3"/>
    <n v="3"/>
    <s v="Manufacturing Director"/>
    <n v="2"/>
    <s v="Single"/>
    <n v="8376"/>
    <n v="9150"/>
    <n v="4"/>
    <s v="Y"/>
    <s v="No"/>
    <n v="18"/>
    <n v="3"/>
    <n v="4"/>
    <n v="80"/>
    <n v="0"/>
    <n v="9"/>
    <n v="3"/>
    <n v="3"/>
    <n v="2"/>
    <n v="0"/>
    <n v="2"/>
    <n v="2"/>
    <s v="LAB-1525"/>
    <x v="3"/>
    <x v="1"/>
    <x v="1"/>
    <n v="2"/>
    <x v="0"/>
  </r>
  <r>
    <n v="46"/>
    <s v="No"/>
    <s v="Travel_Rarely"/>
    <n v="228"/>
    <x v="0"/>
    <n v="3"/>
    <n v="3"/>
    <s v="Life Sciences"/>
    <n v="1"/>
    <n v="1527"/>
    <n v="3"/>
    <s v="Female"/>
    <n v="51"/>
    <n v="3"/>
    <n v="4"/>
    <s v="Manager"/>
    <n v="2"/>
    <s v="Married"/>
    <n v="16606"/>
    <n v="11380"/>
    <n v="8"/>
    <s v="Y"/>
    <s v="No"/>
    <n v="12"/>
    <n v="3"/>
    <n v="4"/>
    <n v="80"/>
    <n v="1"/>
    <n v="23"/>
    <n v="2"/>
    <n v="4"/>
    <n v="13"/>
    <n v="12"/>
    <n v="5"/>
    <n v="1"/>
    <s v="LAB-1527"/>
    <x v="5"/>
    <x v="0"/>
    <x v="1"/>
    <n v="13"/>
    <x v="0"/>
  </r>
  <r>
    <n v="35"/>
    <s v="No"/>
    <s v="Travel_Rarely"/>
    <n v="1029"/>
    <x v="1"/>
    <n v="16"/>
    <n v="3"/>
    <s v="Life Sciences"/>
    <n v="1"/>
    <n v="1529"/>
    <n v="4"/>
    <s v="Female"/>
    <n v="91"/>
    <n v="2"/>
    <n v="3"/>
    <s v="Healthcare Representative"/>
    <n v="2"/>
    <s v="Single"/>
    <n v="8606"/>
    <n v="21195"/>
    <n v="1"/>
    <s v="Y"/>
    <s v="No"/>
    <n v="19"/>
    <n v="3"/>
    <n v="4"/>
    <n v="80"/>
    <n v="0"/>
    <n v="11"/>
    <n v="3"/>
    <n v="1"/>
    <n v="11"/>
    <n v="8"/>
    <n v="3"/>
    <n v="3"/>
    <s v="LAB-1529"/>
    <x v="4"/>
    <x v="1"/>
    <x v="1"/>
    <n v="11"/>
    <x v="0"/>
  </r>
  <r>
    <n v="23"/>
    <s v="No"/>
    <s v="Travel_Rarely"/>
    <n v="507"/>
    <x v="1"/>
    <n v="20"/>
    <n v="1"/>
    <s v="Life Sciences"/>
    <n v="1"/>
    <n v="1533"/>
    <n v="1"/>
    <s v="Male"/>
    <n v="97"/>
    <n v="3"/>
    <n v="2"/>
    <s v="Laboratory Technician"/>
    <n v="3"/>
    <s v="Single"/>
    <n v="2272"/>
    <n v="24812"/>
    <n v="0"/>
    <s v="Y"/>
    <s v="No"/>
    <n v="14"/>
    <n v="3"/>
    <n v="2"/>
    <n v="80"/>
    <n v="0"/>
    <n v="5"/>
    <n v="2"/>
    <n v="3"/>
    <n v="4"/>
    <n v="3"/>
    <n v="1"/>
    <n v="2"/>
    <s v="LAB-1533"/>
    <x v="2"/>
    <x v="1"/>
    <x v="1"/>
    <n v="4"/>
    <x v="0"/>
  </r>
  <r>
    <n v="40"/>
    <s v="Yes"/>
    <s v="Travel_Rarely"/>
    <n v="676"/>
    <x v="1"/>
    <n v="9"/>
    <n v="4"/>
    <s v="Life Sciences"/>
    <n v="1"/>
    <n v="1534"/>
    <n v="4"/>
    <s v="Male"/>
    <n v="86"/>
    <n v="3"/>
    <n v="1"/>
    <s v="Laboratory Technician"/>
    <n v="1"/>
    <s v="Single"/>
    <n v="2018"/>
    <n v="21831"/>
    <n v="3"/>
    <s v="Y"/>
    <s v="No"/>
    <n v="14"/>
    <n v="3"/>
    <n v="2"/>
    <n v="80"/>
    <n v="0"/>
    <n v="15"/>
    <n v="3"/>
    <n v="1"/>
    <n v="5"/>
    <n v="4"/>
    <n v="1"/>
    <n v="0"/>
    <s v="LAB-1534"/>
    <x v="2"/>
    <x v="1"/>
    <x v="0"/>
    <n v="5"/>
    <x v="0"/>
  </r>
  <r>
    <n v="34"/>
    <s v="No"/>
    <s v="Travel_Rarely"/>
    <n v="971"/>
    <x v="0"/>
    <n v="1"/>
    <n v="3"/>
    <s v="Technical Degree"/>
    <n v="1"/>
    <n v="1535"/>
    <n v="4"/>
    <s v="Male"/>
    <n v="64"/>
    <n v="2"/>
    <n v="3"/>
    <s v="Sales Executive"/>
    <n v="3"/>
    <s v="Married"/>
    <n v="7083"/>
    <n v="12288"/>
    <n v="1"/>
    <s v="Y"/>
    <s v="Yes"/>
    <n v="14"/>
    <n v="3"/>
    <n v="4"/>
    <n v="80"/>
    <n v="0"/>
    <n v="10"/>
    <n v="3"/>
    <n v="3"/>
    <n v="10"/>
    <n v="9"/>
    <n v="8"/>
    <n v="6"/>
    <s v="LAB-1535"/>
    <x v="0"/>
    <x v="0"/>
    <x v="1"/>
    <n v="10"/>
    <x v="0"/>
  </r>
  <r>
    <n v="31"/>
    <s v="Yes"/>
    <s v="Travel_Frequently"/>
    <n v="561"/>
    <x v="1"/>
    <n v="3"/>
    <n v="3"/>
    <s v="Life Sciences"/>
    <n v="1"/>
    <n v="1537"/>
    <n v="4"/>
    <s v="Female"/>
    <n v="33"/>
    <n v="3"/>
    <n v="1"/>
    <s v="Research Scientist"/>
    <n v="3"/>
    <s v="Single"/>
    <n v="4084"/>
    <n v="4156"/>
    <n v="1"/>
    <s v="Y"/>
    <s v="No"/>
    <n v="12"/>
    <n v="3"/>
    <n v="1"/>
    <n v="80"/>
    <n v="0"/>
    <n v="7"/>
    <n v="2"/>
    <n v="1"/>
    <n v="7"/>
    <n v="2"/>
    <n v="7"/>
    <n v="7"/>
    <s v="LAB-1537"/>
    <x v="1"/>
    <x v="1"/>
    <x v="0"/>
    <n v="7"/>
    <x v="0"/>
  </r>
  <r>
    <n v="50"/>
    <s v="No"/>
    <s v="Travel_Frequently"/>
    <n v="333"/>
    <x v="1"/>
    <n v="22"/>
    <n v="5"/>
    <s v="Medical"/>
    <n v="1"/>
    <n v="1539"/>
    <n v="3"/>
    <s v="Male"/>
    <n v="88"/>
    <n v="1"/>
    <n v="4"/>
    <s v="Research Director"/>
    <n v="4"/>
    <s v="Single"/>
    <n v="14411"/>
    <n v="24450"/>
    <n v="1"/>
    <s v="Y"/>
    <s v="Yes"/>
    <n v="13"/>
    <n v="3"/>
    <n v="4"/>
    <n v="80"/>
    <n v="0"/>
    <n v="32"/>
    <n v="2"/>
    <n v="3"/>
    <n v="32"/>
    <n v="6"/>
    <n v="13"/>
    <n v="9"/>
    <s v="LAB-1539"/>
    <x v="7"/>
    <x v="1"/>
    <x v="1"/>
    <n v="32"/>
    <x v="0"/>
  </r>
  <r>
    <n v="34"/>
    <s v="No"/>
    <s v="Travel_Rarely"/>
    <n v="1440"/>
    <x v="0"/>
    <n v="7"/>
    <n v="2"/>
    <s v="Technical Degree"/>
    <n v="1"/>
    <n v="1541"/>
    <n v="2"/>
    <s v="Male"/>
    <n v="55"/>
    <n v="3"/>
    <n v="1"/>
    <s v="Sales Representative"/>
    <n v="3"/>
    <s v="Married"/>
    <n v="2308"/>
    <n v="4944"/>
    <n v="0"/>
    <s v="Y"/>
    <s v="Yes"/>
    <n v="25"/>
    <n v="4"/>
    <n v="2"/>
    <n v="80"/>
    <n v="1"/>
    <n v="12"/>
    <n v="4"/>
    <n v="3"/>
    <n v="11"/>
    <n v="10"/>
    <n v="5"/>
    <n v="7"/>
    <s v="LAB-1541"/>
    <x v="6"/>
    <x v="0"/>
    <x v="1"/>
    <n v="11"/>
    <x v="0"/>
  </r>
  <r>
    <n v="42"/>
    <s v="No"/>
    <s v="Travel_Rarely"/>
    <n v="1210"/>
    <x v="1"/>
    <n v="2"/>
    <n v="3"/>
    <s v="Medical"/>
    <n v="1"/>
    <n v="1542"/>
    <n v="3"/>
    <s v="Male"/>
    <n v="68"/>
    <n v="2"/>
    <n v="1"/>
    <s v="Laboratory Technician"/>
    <n v="2"/>
    <s v="Married"/>
    <n v="4841"/>
    <n v="24052"/>
    <n v="4"/>
    <s v="Y"/>
    <s v="No"/>
    <n v="14"/>
    <n v="3"/>
    <n v="2"/>
    <n v="80"/>
    <n v="1"/>
    <n v="4"/>
    <n v="3"/>
    <n v="3"/>
    <n v="1"/>
    <n v="0"/>
    <n v="0"/>
    <n v="0"/>
    <s v="LAB-1542"/>
    <x v="2"/>
    <x v="1"/>
    <x v="1"/>
    <n v="1"/>
    <x v="0"/>
  </r>
  <r>
    <n v="37"/>
    <s v="No"/>
    <s v="Travel_Rarely"/>
    <n v="674"/>
    <x v="1"/>
    <n v="13"/>
    <n v="3"/>
    <s v="Medical"/>
    <n v="1"/>
    <n v="1543"/>
    <n v="1"/>
    <s v="Male"/>
    <n v="47"/>
    <n v="3"/>
    <n v="2"/>
    <s v="Research Scientist"/>
    <n v="4"/>
    <s v="Married"/>
    <n v="4285"/>
    <n v="3031"/>
    <n v="1"/>
    <s v="Y"/>
    <s v="No"/>
    <n v="17"/>
    <n v="3"/>
    <n v="1"/>
    <n v="80"/>
    <n v="0"/>
    <n v="10"/>
    <n v="2"/>
    <n v="3"/>
    <n v="10"/>
    <n v="8"/>
    <n v="3"/>
    <n v="7"/>
    <s v="LAB-1543"/>
    <x v="1"/>
    <x v="1"/>
    <x v="1"/>
    <n v="10"/>
    <x v="0"/>
  </r>
  <r>
    <n v="29"/>
    <s v="No"/>
    <s v="Travel_Rarely"/>
    <n v="441"/>
    <x v="1"/>
    <n v="8"/>
    <n v="1"/>
    <s v="Other"/>
    <n v="1"/>
    <n v="1544"/>
    <n v="3"/>
    <s v="Female"/>
    <n v="39"/>
    <n v="1"/>
    <n v="2"/>
    <s v="Healthcare Representative"/>
    <n v="1"/>
    <s v="Married"/>
    <n v="9715"/>
    <n v="7288"/>
    <n v="3"/>
    <s v="Y"/>
    <s v="No"/>
    <n v="13"/>
    <n v="3"/>
    <n v="3"/>
    <n v="80"/>
    <n v="1"/>
    <n v="9"/>
    <n v="3"/>
    <n v="3"/>
    <n v="7"/>
    <n v="7"/>
    <n v="0"/>
    <n v="7"/>
    <s v="LAB-1544"/>
    <x v="4"/>
    <x v="1"/>
    <x v="1"/>
    <n v="7"/>
    <x v="0"/>
  </r>
  <r>
    <n v="33"/>
    <s v="No"/>
    <s v="Travel_Rarely"/>
    <n v="575"/>
    <x v="1"/>
    <n v="25"/>
    <n v="3"/>
    <s v="Life Sciences"/>
    <n v="1"/>
    <n v="1545"/>
    <n v="4"/>
    <s v="Male"/>
    <n v="44"/>
    <n v="2"/>
    <n v="2"/>
    <s v="Manufacturing Director"/>
    <n v="2"/>
    <s v="Single"/>
    <n v="4320"/>
    <n v="24152"/>
    <n v="1"/>
    <s v="Y"/>
    <s v="No"/>
    <n v="13"/>
    <n v="3"/>
    <n v="4"/>
    <n v="80"/>
    <n v="0"/>
    <n v="5"/>
    <n v="2"/>
    <n v="3"/>
    <n v="5"/>
    <n v="3"/>
    <n v="0"/>
    <n v="2"/>
    <s v="LAB-1545"/>
    <x v="3"/>
    <x v="1"/>
    <x v="1"/>
    <n v="5"/>
    <x v="0"/>
  </r>
  <r>
    <n v="45"/>
    <s v="No"/>
    <s v="Travel_Rarely"/>
    <n v="950"/>
    <x v="1"/>
    <n v="28"/>
    <n v="3"/>
    <s v="Technical Degree"/>
    <n v="1"/>
    <n v="1546"/>
    <n v="4"/>
    <s v="Male"/>
    <n v="97"/>
    <n v="3"/>
    <n v="1"/>
    <s v="Research Scientist"/>
    <n v="4"/>
    <s v="Married"/>
    <n v="2132"/>
    <n v="4585"/>
    <n v="4"/>
    <s v="Y"/>
    <s v="No"/>
    <n v="20"/>
    <n v="4"/>
    <n v="4"/>
    <n v="80"/>
    <n v="1"/>
    <n v="8"/>
    <n v="3"/>
    <n v="3"/>
    <n v="5"/>
    <n v="4"/>
    <n v="0"/>
    <n v="3"/>
    <s v="LAB-1546"/>
    <x v="1"/>
    <x v="1"/>
    <x v="1"/>
    <n v="5"/>
    <x v="0"/>
  </r>
  <r>
    <n v="42"/>
    <s v="No"/>
    <s v="Travel_Frequently"/>
    <n v="288"/>
    <x v="1"/>
    <n v="2"/>
    <n v="3"/>
    <s v="Life Sciences"/>
    <n v="1"/>
    <n v="1547"/>
    <n v="4"/>
    <s v="Male"/>
    <n v="40"/>
    <n v="3"/>
    <n v="3"/>
    <s v="Healthcare Representative"/>
    <n v="4"/>
    <s v="Married"/>
    <n v="10124"/>
    <n v="18611"/>
    <n v="2"/>
    <s v="Y"/>
    <s v="Yes"/>
    <n v="14"/>
    <n v="3"/>
    <n v="3"/>
    <n v="80"/>
    <n v="1"/>
    <n v="24"/>
    <n v="3"/>
    <n v="1"/>
    <n v="20"/>
    <n v="8"/>
    <n v="13"/>
    <n v="9"/>
    <s v="LAB-1547"/>
    <x v="4"/>
    <x v="1"/>
    <x v="1"/>
    <n v="20"/>
    <x v="0"/>
  </r>
  <r>
    <n v="40"/>
    <s v="No"/>
    <s v="Travel_Rarely"/>
    <n v="1342"/>
    <x v="0"/>
    <n v="9"/>
    <n v="2"/>
    <s v="Medical"/>
    <n v="1"/>
    <n v="1548"/>
    <n v="1"/>
    <s v="Male"/>
    <n v="47"/>
    <n v="3"/>
    <n v="2"/>
    <s v="Sales Executive"/>
    <n v="1"/>
    <s v="Married"/>
    <n v="5473"/>
    <n v="19345"/>
    <n v="0"/>
    <s v="Y"/>
    <s v="No"/>
    <n v="12"/>
    <n v="3"/>
    <n v="4"/>
    <n v="80"/>
    <n v="0"/>
    <n v="9"/>
    <n v="5"/>
    <n v="4"/>
    <n v="8"/>
    <n v="4"/>
    <n v="7"/>
    <n v="1"/>
    <s v="LAB-1548"/>
    <x v="0"/>
    <x v="0"/>
    <x v="1"/>
    <n v="8"/>
    <x v="0"/>
  </r>
  <r>
    <n v="33"/>
    <s v="No"/>
    <s v="Travel_Rarely"/>
    <n v="589"/>
    <x v="1"/>
    <n v="28"/>
    <n v="4"/>
    <s v="Life Sciences"/>
    <n v="1"/>
    <n v="1549"/>
    <n v="2"/>
    <s v="Male"/>
    <n v="79"/>
    <n v="3"/>
    <n v="2"/>
    <s v="Laboratory Technician"/>
    <n v="3"/>
    <s v="Married"/>
    <n v="5207"/>
    <n v="22949"/>
    <n v="1"/>
    <s v="Y"/>
    <s v="Yes"/>
    <n v="12"/>
    <n v="3"/>
    <n v="2"/>
    <n v="80"/>
    <n v="1"/>
    <n v="15"/>
    <n v="3"/>
    <n v="3"/>
    <n v="15"/>
    <n v="14"/>
    <n v="5"/>
    <n v="7"/>
    <s v="LAB-1549"/>
    <x v="2"/>
    <x v="1"/>
    <x v="1"/>
    <n v="15"/>
    <x v="0"/>
  </r>
  <r>
    <n v="40"/>
    <s v="No"/>
    <s v="Travel_Rarely"/>
    <n v="898"/>
    <x v="2"/>
    <n v="6"/>
    <n v="2"/>
    <s v="Medical"/>
    <n v="1"/>
    <n v="1550"/>
    <n v="3"/>
    <s v="Male"/>
    <n v="38"/>
    <n v="3"/>
    <n v="4"/>
    <s v="Manager"/>
    <n v="4"/>
    <s v="Single"/>
    <n v="16437"/>
    <n v="17381"/>
    <n v="1"/>
    <s v="Y"/>
    <s v="Yes"/>
    <n v="21"/>
    <n v="4"/>
    <n v="4"/>
    <n v="80"/>
    <n v="0"/>
    <n v="21"/>
    <n v="2"/>
    <n v="3"/>
    <n v="21"/>
    <n v="7"/>
    <n v="7"/>
    <n v="7"/>
    <s v="LAB-1550"/>
    <x v="5"/>
    <x v="2"/>
    <x v="1"/>
    <n v="21"/>
    <x v="0"/>
  </r>
  <r>
    <n v="24"/>
    <s v="No"/>
    <s v="Travel_Rarely"/>
    <n v="350"/>
    <x v="1"/>
    <n v="21"/>
    <n v="2"/>
    <s v="Technical Degree"/>
    <n v="1"/>
    <n v="1551"/>
    <n v="3"/>
    <s v="Male"/>
    <n v="57"/>
    <n v="2"/>
    <n v="1"/>
    <s v="Laboratory Technician"/>
    <n v="1"/>
    <s v="Divorced"/>
    <n v="2296"/>
    <n v="10036"/>
    <n v="0"/>
    <s v="Y"/>
    <s v="No"/>
    <n v="14"/>
    <n v="3"/>
    <n v="2"/>
    <n v="80"/>
    <n v="3"/>
    <n v="2"/>
    <n v="3"/>
    <n v="3"/>
    <n v="1"/>
    <n v="1"/>
    <n v="0"/>
    <n v="0"/>
    <s v="LAB-1551"/>
    <x v="2"/>
    <x v="1"/>
    <x v="1"/>
    <n v="1"/>
    <x v="0"/>
  </r>
  <r>
    <n v="40"/>
    <s v="No"/>
    <s v="Non-Travel"/>
    <n v="1142"/>
    <x v="1"/>
    <n v="8"/>
    <n v="2"/>
    <s v="Life Sciences"/>
    <n v="1"/>
    <n v="1552"/>
    <n v="4"/>
    <s v="Male"/>
    <n v="72"/>
    <n v="3"/>
    <n v="2"/>
    <s v="Healthcare Representative"/>
    <n v="4"/>
    <s v="Divorced"/>
    <n v="4069"/>
    <n v="8841"/>
    <n v="3"/>
    <s v="Y"/>
    <s v="Yes"/>
    <n v="18"/>
    <n v="3"/>
    <n v="3"/>
    <n v="80"/>
    <n v="0"/>
    <n v="8"/>
    <n v="2"/>
    <n v="3"/>
    <n v="2"/>
    <n v="2"/>
    <n v="2"/>
    <n v="2"/>
    <s v="LAB-1552"/>
    <x v="4"/>
    <x v="1"/>
    <x v="1"/>
    <n v="2"/>
    <x v="0"/>
  </r>
  <r>
    <n v="45"/>
    <s v="No"/>
    <s v="Travel_Rarely"/>
    <n v="538"/>
    <x v="1"/>
    <n v="1"/>
    <n v="4"/>
    <s v="Technical Degree"/>
    <n v="1"/>
    <n v="1553"/>
    <n v="1"/>
    <s v="Male"/>
    <n v="66"/>
    <n v="3"/>
    <n v="3"/>
    <s v="Healthcare Representative"/>
    <n v="2"/>
    <s v="Divorced"/>
    <n v="7441"/>
    <n v="20933"/>
    <n v="1"/>
    <s v="Y"/>
    <s v="No"/>
    <n v="12"/>
    <n v="3"/>
    <n v="1"/>
    <n v="80"/>
    <n v="3"/>
    <n v="10"/>
    <n v="4"/>
    <n v="3"/>
    <n v="10"/>
    <n v="8"/>
    <n v="7"/>
    <n v="7"/>
    <s v="LAB-1553"/>
    <x v="4"/>
    <x v="1"/>
    <x v="1"/>
    <n v="10"/>
    <x v="0"/>
  </r>
  <r>
    <n v="35"/>
    <s v="No"/>
    <s v="Travel_Rarely"/>
    <n v="1402"/>
    <x v="0"/>
    <n v="28"/>
    <n v="4"/>
    <s v="Life Sciences"/>
    <n v="1"/>
    <n v="1554"/>
    <n v="2"/>
    <s v="Female"/>
    <n v="98"/>
    <n v="2"/>
    <n v="1"/>
    <s v="Sales Representative"/>
    <n v="3"/>
    <s v="Married"/>
    <n v="2430"/>
    <n v="26204"/>
    <n v="0"/>
    <s v="Y"/>
    <s v="No"/>
    <n v="23"/>
    <n v="4"/>
    <n v="1"/>
    <n v="80"/>
    <n v="2"/>
    <n v="6"/>
    <n v="5"/>
    <n v="3"/>
    <n v="5"/>
    <n v="3"/>
    <n v="4"/>
    <n v="2"/>
    <s v="LAB-1554"/>
    <x v="6"/>
    <x v="0"/>
    <x v="1"/>
    <n v="5"/>
    <x v="0"/>
  </r>
  <r>
    <n v="32"/>
    <s v="No"/>
    <s v="Travel_Rarely"/>
    <n v="824"/>
    <x v="1"/>
    <n v="5"/>
    <n v="2"/>
    <s v="Life Sciences"/>
    <n v="1"/>
    <n v="1555"/>
    <n v="4"/>
    <s v="Female"/>
    <n v="67"/>
    <n v="2"/>
    <n v="2"/>
    <s v="Research Scientist"/>
    <n v="2"/>
    <s v="Married"/>
    <n v="5878"/>
    <n v="15624"/>
    <n v="3"/>
    <s v="Y"/>
    <s v="No"/>
    <n v="12"/>
    <n v="3"/>
    <n v="1"/>
    <n v="80"/>
    <n v="1"/>
    <n v="12"/>
    <n v="2"/>
    <n v="3"/>
    <n v="7"/>
    <n v="1"/>
    <n v="2"/>
    <n v="5"/>
    <s v="LAB-1555"/>
    <x v="1"/>
    <x v="1"/>
    <x v="1"/>
    <n v="7"/>
    <x v="0"/>
  </r>
  <r>
    <n v="36"/>
    <s v="No"/>
    <s v="Travel_Rarely"/>
    <n v="1157"/>
    <x v="0"/>
    <n v="2"/>
    <n v="4"/>
    <s v="Life Sciences"/>
    <n v="1"/>
    <n v="1556"/>
    <n v="3"/>
    <s v="Male"/>
    <n v="70"/>
    <n v="3"/>
    <n v="1"/>
    <s v="Sales Representative"/>
    <n v="4"/>
    <s v="Single"/>
    <n v="2644"/>
    <n v="17001"/>
    <n v="3"/>
    <s v="Y"/>
    <s v="Yes"/>
    <n v="21"/>
    <n v="4"/>
    <n v="4"/>
    <n v="80"/>
    <n v="0"/>
    <n v="7"/>
    <n v="3"/>
    <n v="2"/>
    <n v="3"/>
    <n v="2"/>
    <n v="1"/>
    <n v="2"/>
    <s v="LAB-1556"/>
    <x v="6"/>
    <x v="0"/>
    <x v="1"/>
    <n v="3"/>
    <x v="0"/>
  </r>
  <r>
    <n v="48"/>
    <s v="No"/>
    <s v="Travel_Rarely"/>
    <n v="492"/>
    <x v="0"/>
    <n v="16"/>
    <n v="4"/>
    <s v="Life Sciences"/>
    <n v="1"/>
    <n v="1557"/>
    <n v="3"/>
    <s v="Female"/>
    <n v="96"/>
    <n v="3"/>
    <n v="2"/>
    <s v="Sales Executive"/>
    <n v="3"/>
    <s v="Divorced"/>
    <n v="6439"/>
    <n v="13693"/>
    <n v="8"/>
    <s v="Y"/>
    <s v="No"/>
    <n v="14"/>
    <n v="3"/>
    <n v="3"/>
    <n v="80"/>
    <n v="1"/>
    <n v="18"/>
    <n v="2"/>
    <n v="3"/>
    <n v="8"/>
    <n v="7"/>
    <n v="7"/>
    <n v="7"/>
    <s v="LAB-1557"/>
    <x v="0"/>
    <x v="0"/>
    <x v="1"/>
    <n v="8"/>
    <x v="0"/>
  </r>
  <r>
    <n v="29"/>
    <s v="No"/>
    <s v="Travel_Rarely"/>
    <n v="598"/>
    <x v="1"/>
    <n v="9"/>
    <n v="3"/>
    <s v="Life Sciences"/>
    <n v="1"/>
    <n v="1558"/>
    <n v="3"/>
    <s v="Male"/>
    <n v="91"/>
    <n v="4"/>
    <n v="1"/>
    <s v="Research Scientist"/>
    <n v="3"/>
    <s v="Married"/>
    <n v="2451"/>
    <n v="22376"/>
    <n v="6"/>
    <s v="Y"/>
    <s v="No"/>
    <n v="18"/>
    <n v="3"/>
    <n v="1"/>
    <n v="80"/>
    <n v="2"/>
    <n v="5"/>
    <n v="2"/>
    <n v="2"/>
    <n v="1"/>
    <n v="0"/>
    <n v="0"/>
    <n v="0"/>
    <s v="LAB-1558"/>
    <x v="1"/>
    <x v="1"/>
    <x v="1"/>
    <n v="1"/>
    <x v="0"/>
  </r>
  <r>
    <n v="33"/>
    <s v="No"/>
    <s v="Travel_Rarely"/>
    <n v="1242"/>
    <x v="0"/>
    <n v="8"/>
    <n v="4"/>
    <s v="Life Sciences"/>
    <n v="1"/>
    <n v="1560"/>
    <n v="1"/>
    <s v="Male"/>
    <n v="46"/>
    <n v="3"/>
    <n v="2"/>
    <s v="Sales Executive"/>
    <n v="1"/>
    <s v="Married"/>
    <n v="6392"/>
    <n v="10589"/>
    <n v="2"/>
    <s v="Y"/>
    <s v="No"/>
    <n v="13"/>
    <n v="3"/>
    <n v="4"/>
    <n v="80"/>
    <n v="1"/>
    <n v="8"/>
    <n v="6"/>
    <n v="1"/>
    <n v="2"/>
    <n v="2"/>
    <n v="2"/>
    <n v="2"/>
    <s v="LAB-1560"/>
    <x v="0"/>
    <x v="0"/>
    <x v="1"/>
    <n v="2"/>
    <x v="0"/>
  </r>
  <r>
    <n v="30"/>
    <s v="Yes"/>
    <s v="Travel_Rarely"/>
    <n v="740"/>
    <x v="0"/>
    <n v="1"/>
    <n v="3"/>
    <s v="Life Sciences"/>
    <n v="1"/>
    <n v="1562"/>
    <n v="2"/>
    <s v="Male"/>
    <n v="64"/>
    <n v="2"/>
    <n v="2"/>
    <s v="Sales Executive"/>
    <n v="1"/>
    <s v="Married"/>
    <n v="9714"/>
    <n v="5323"/>
    <n v="1"/>
    <s v="Y"/>
    <s v="No"/>
    <n v="11"/>
    <n v="3"/>
    <n v="4"/>
    <n v="80"/>
    <n v="1"/>
    <n v="10"/>
    <n v="4"/>
    <n v="3"/>
    <n v="10"/>
    <n v="8"/>
    <n v="6"/>
    <n v="7"/>
    <s v="LAB-1562"/>
    <x v="0"/>
    <x v="0"/>
    <x v="0"/>
    <n v="10"/>
    <x v="0"/>
  </r>
  <r>
    <n v="38"/>
    <s v="No"/>
    <s v="Travel_Frequently"/>
    <n v="888"/>
    <x v="2"/>
    <n v="10"/>
    <n v="4"/>
    <s v="Human Resources"/>
    <n v="1"/>
    <n v="1563"/>
    <n v="3"/>
    <s v="Male"/>
    <n v="71"/>
    <n v="3"/>
    <n v="2"/>
    <s v="Human Resources"/>
    <n v="3"/>
    <s v="Married"/>
    <n v="6077"/>
    <n v="14814"/>
    <n v="3"/>
    <s v="Y"/>
    <s v="No"/>
    <n v="11"/>
    <n v="3"/>
    <n v="3"/>
    <n v="80"/>
    <n v="0"/>
    <n v="10"/>
    <n v="2"/>
    <n v="3"/>
    <n v="6"/>
    <n v="3"/>
    <n v="1"/>
    <n v="2"/>
    <s v="LAB-1563"/>
    <x v="8"/>
    <x v="2"/>
    <x v="1"/>
    <n v="6"/>
    <x v="0"/>
  </r>
  <r>
    <n v="35"/>
    <s v="No"/>
    <s v="Travel_Rarely"/>
    <n v="992"/>
    <x v="1"/>
    <n v="1"/>
    <n v="3"/>
    <s v="Medical"/>
    <n v="1"/>
    <n v="1564"/>
    <n v="4"/>
    <s v="Male"/>
    <n v="68"/>
    <n v="2"/>
    <n v="1"/>
    <s v="Laboratory Technician"/>
    <n v="1"/>
    <s v="Single"/>
    <n v="2450"/>
    <n v="21731"/>
    <n v="1"/>
    <s v="Y"/>
    <s v="No"/>
    <n v="19"/>
    <n v="3"/>
    <n v="2"/>
    <n v="80"/>
    <n v="0"/>
    <n v="3"/>
    <n v="3"/>
    <n v="3"/>
    <n v="3"/>
    <n v="0"/>
    <n v="1"/>
    <n v="2"/>
    <s v="LAB-1564"/>
    <x v="2"/>
    <x v="1"/>
    <x v="1"/>
    <n v="3"/>
    <x v="0"/>
  </r>
  <r>
    <n v="30"/>
    <s v="No"/>
    <s v="Travel_Rarely"/>
    <n v="1288"/>
    <x v="0"/>
    <n v="29"/>
    <n v="4"/>
    <s v="Technical Degree"/>
    <n v="1"/>
    <n v="1568"/>
    <n v="3"/>
    <s v="Male"/>
    <n v="33"/>
    <n v="3"/>
    <n v="3"/>
    <s v="Sales Executive"/>
    <n v="2"/>
    <s v="Married"/>
    <n v="9250"/>
    <n v="17799"/>
    <n v="3"/>
    <s v="Y"/>
    <s v="No"/>
    <n v="12"/>
    <n v="3"/>
    <n v="2"/>
    <n v="80"/>
    <n v="1"/>
    <n v="9"/>
    <n v="3"/>
    <n v="3"/>
    <n v="4"/>
    <n v="2"/>
    <n v="1"/>
    <n v="3"/>
    <s v="LAB-1568"/>
    <x v="0"/>
    <x v="0"/>
    <x v="1"/>
    <n v="4"/>
    <x v="0"/>
  </r>
  <r>
    <n v="35"/>
    <s v="Yes"/>
    <s v="Travel_Rarely"/>
    <n v="104"/>
    <x v="1"/>
    <n v="2"/>
    <n v="3"/>
    <s v="Life Sciences"/>
    <n v="1"/>
    <n v="1569"/>
    <n v="1"/>
    <s v="Female"/>
    <n v="69"/>
    <n v="3"/>
    <n v="1"/>
    <s v="Laboratory Technician"/>
    <n v="1"/>
    <s v="Divorced"/>
    <n v="2074"/>
    <n v="26619"/>
    <n v="1"/>
    <s v="Y"/>
    <s v="Yes"/>
    <n v="12"/>
    <n v="3"/>
    <n v="4"/>
    <n v="80"/>
    <n v="1"/>
    <n v="1"/>
    <n v="2"/>
    <n v="3"/>
    <n v="1"/>
    <n v="0"/>
    <n v="0"/>
    <n v="0"/>
    <s v="LAB-1569"/>
    <x v="2"/>
    <x v="1"/>
    <x v="0"/>
    <n v="1"/>
    <x v="0"/>
  </r>
  <r>
    <n v="53"/>
    <s v="Yes"/>
    <s v="Travel_Rarely"/>
    <n v="607"/>
    <x v="1"/>
    <n v="2"/>
    <n v="5"/>
    <s v="Technical Degree"/>
    <n v="1"/>
    <n v="1572"/>
    <n v="3"/>
    <s v="Female"/>
    <n v="78"/>
    <n v="2"/>
    <n v="3"/>
    <s v="Manufacturing Director"/>
    <n v="4"/>
    <s v="Married"/>
    <n v="10169"/>
    <n v="14618"/>
    <n v="0"/>
    <s v="Y"/>
    <s v="No"/>
    <n v="16"/>
    <n v="3"/>
    <n v="2"/>
    <n v="80"/>
    <n v="1"/>
    <n v="34"/>
    <n v="4"/>
    <n v="3"/>
    <n v="33"/>
    <n v="7"/>
    <n v="1"/>
    <n v="9"/>
    <s v="LAB-1572"/>
    <x v="3"/>
    <x v="1"/>
    <x v="0"/>
    <n v="33"/>
    <x v="0"/>
  </r>
  <r>
    <n v="38"/>
    <s v="Yes"/>
    <s v="Travel_Rarely"/>
    <n v="903"/>
    <x v="1"/>
    <n v="2"/>
    <n v="3"/>
    <s v="Medical"/>
    <n v="1"/>
    <n v="1573"/>
    <n v="3"/>
    <s v="Male"/>
    <n v="81"/>
    <n v="3"/>
    <n v="2"/>
    <s v="Manufacturing Director"/>
    <n v="2"/>
    <s v="Married"/>
    <n v="4855"/>
    <n v="7653"/>
    <n v="4"/>
    <s v="Y"/>
    <s v="No"/>
    <n v="11"/>
    <n v="3"/>
    <n v="1"/>
    <n v="80"/>
    <n v="2"/>
    <n v="7"/>
    <n v="2"/>
    <n v="3"/>
    <n v="5"/>
    <n v="2"/>
    <n v="1"/>
    <n v="4"/>
    <s v="LAB-1573"/>
    <x v="3"/>
    <x v="1"/>
    <x v="0"/>
    <n v="5"/>
    <x v="0"/>
  </r>
  <r>
    <n v="32"/>
    <s v="No"/>
    <s v="Non-Travel"/>
    <n v="1200"/>
    <x v="1"/>
    <n v="1"/>
    <n v="4"/>
    <s v="Technical Degree"/>
    <n v="1"/>
    <n v="1574"/>
    <n v="4"/>
    <s v="Male"/>
    <n v="62"/>
    <n v="3"/>
    <n v="2"/>
    <s v="Research Scientist"/>
    <n v="1"/>
    <s v="Married"/>
    <n v="4087"/>
    <n v="25174"/>
    <n v="4"/>
    <s v="Y"/>
    <s v="No"/>
    <n v="14"/>
    <n v="3"/>
    <n v="2"/>
    <n v="80"/>
    <n v="1"/>
    <n v="9"/>
    <n v="3"/>
    <n v="2"/>
    <n v="6"/>
    <n v="5"/>
    <n v="1"/>
    <n v="2"/>
    <s v="LAB-1574"/>
    <x v="1"/>
    <x v="1"/>
    <x v="1"/>
    <n v="6"/>
    <x v="0"/>
  </r>
  <r>
    <n v="48"/>
    <s v="No"/>
    <s v="Travel_Rarely"/>
    <n v="1108"/>
    <x v="1"/>
    <n v="15"/>
    <n v="4"/>
    <s v="Other"/>
    <n v="1"/>
    <n v="1576"/>
    <n v="3"/>
    <s v="Female"/>
    <n v="65"/>
    <n v="3"/>
    <n v="1"/>
    <s v="Research Scientist"/>
    <n v="1"/>
    <s v="Married"/>
    <n v="2367"/>
    <n v="16530"/>
    <n v="8"/>
    <s v="Y"/>
    <s v="No"/>
    <n v="12"/>
    <n v="3"/>
    <n v="4"/>
    <n v="80"/>
    <n v="1"/>
    <n v="10"/>
    <n v="3"/>
    <n v="2"/>
    <n v="8"/>
    <n v="2"/>
    <n v="7"/>
    <n v="6"/>
    <s v="LAB-1576"/>
    <x v="1"/>
    <x v="1"/>
    <x v="1"/>
    <n v="8"/>
    <x v="0"/>
  </r>
  <r>
    <n v="34"/>
    <s v="No"/>
    <s v="Travel_Rarely"/>
    <n v="479"/>
    <x v="1"/>
    <n v="7"/>
    <n v="4"/>
    <s v="Medical"/>
    <n v="1"/>
    <n v="1577"/>
    <n v="1"/>
    <s v="Male"/>
    <n v="35"/>
    <n v="3"/>
    <n v="1"/>
    <s v="Research Scientist"/>
    <n v="4"/>
    <s v="Single"/>
    <n v="2972"/>
    <n v="22061"/>
    <n v="1"/>
    <s v="Y"/>
    <s v="No"/>
    <n v="13"/>
    <n v="3"/>
    <n v="3"/>
    <n v="80"/>
    <n v="0"/>
    <n v="1"/>
    <n v="4"/>
    <n v="1"/>
    <n v="1"/>
    <n v="0"/>
    <n v="0"/>
    <n v="0"/>
    <s v="LAB-1577"/>
    <x v="1"/>
    <x v="1"/>
    <x v="1"/>
    <n v="1"/>
    <x v="0"/>
  </r>
  <r>
    <n v="55"/>
    <s v="No"/>
    <s v="Travel_Rarely"/>
    <n v="685"/>
    <x v="0"/>
    <n v="26"/>
    <n v="5"/>
    <s v="Marketing"/>
    <n v="1"/>
    <n v="1578"/>
    <n v="3"/>
    <s v="Male"/>
    <n v="60"/>
    <n v="2"/>
    <n v="5"/>
    <s v="Manager"/>
    <n v="4"/>
    <s v="Married"/>
    <n v="19586"/>
    <n v="23037"/>
    <n v="1"/>
    <s v="Y"/>
    <s v="No"/>
    <n v="21"/>
    <n v="4"/>
    <n v="3"/>
    <n v="80"/>
    <n v="1"/>
    <n v="36"/>
    <n v="3"/>
    <n v="3"/>
    <n v="36"/>
    <n v="6"/>
    <n v="2"/>
    <n v="13"/>
    <s v="LAB-1578"/>
    <x v="5"/>
    <x v="0"/>
    <x v="1"/>
    <n v="36"/>
    <x v="0"/>
  </r>
  <r>
    <n v="34"/>
    <s v="No"/>
    <s v="Travel_Rarely"/>
    <n v="1351"/>
    <x v="1"/>
    <n v="1"/>
    <n v="4"/>
    <s v="Life Sciences"/>
    <n v="1"/>
    <n v="1580"/>
    <n v="2"/>
    <s v="Male"/>
    <n v="45"/>
    <n v="3"/>
    <n v="2"/>
    <s v="Research Scientist"/>
    <n v="4"/>
    <s v="Married"/>
    <n v="5484"/>
    <n v="13008"/>
    <n v="9"/>
    <s v="Y"/>
    <s v="No"/>
    <n v="17"/>
    <n v="3"/>
    <n v="2"/>
    <n v="80"/>
    <n v="1"/>
    <n v="9"/>
    <n v="3"/>
    <n v="2"/>
    <n v="2"/>
    <n v="2"/>
    <n v="2"/>
    <n v="1"/>
    <s v="LAB-1580"/>
    <x v="1"/>
    <x v="1"/>
    <x v="1"/>
    <n v="2"/>
    <x v="0"/>
  </r>
  <r>
    <n v="26"/>
    <s v="No"/>
    <s v="Travel_Rarely"/>
    <n v="474"/>
    <x v="1"/>
    <n v="3"/>
    <n v="3"/>
    <s v="Life Sciences"/>
    <n v="1"/>
    <n v="1581"/>
    <n v="1"/>
    <s v="Female"/>
    <n v="89"/>
    <n v="3"/>
    <n v="1"/>
    <s v="Research Scientist"/>
    <n v="4"/>
    <s v="Married"/>
    <n v="2061"/>
    <n v="11133"/>
    <n v="1"/>
    <s v="Y"/>
    <s v="No"/>
    <n v="21"/>
    <n v="4"/>
    <n v="1"/>
    <n v="80"/>
    <n v="0"/>
    <n v="1"/>
    <n v="5"/>
    <n v="3"/>
    <n v="1"/>
    <n v="0"/>
    <n v="0"/>
    <n v="0"/>
    <s v="LAB-1581"/>
    <x v="1"/>
    <x v="1"/>
    <x v="1"/>
    <n v="1"/>
    <x v="0"/>
  </r>
  <r>
    <n v="38"/>
    <s v="No"/>
    <s v="Travel_Rarely"/>
    <n v="1245"/>
    <x v="0"/>
    <n v="14"/>
    <n v="3"/>
    <s v="Life Sciences"/>
    <n v="1"/>
    <n v="1582"/>
    <n v="3"/>
    <s v="Male"/>
    <n v="80"/>
    <n v="3"/>
    <n v="2"/>
    <s v="Sales Executive"/>
    <n v="2"/>
    <s v="Married"/>
    <n v="9924"/>
    <n v="12355"/>
    <n v="0"/>
    <s v="Y"/>
    <s v="No"/>
    <n v="11"/>
    <n v="3"/>
    <n v="4"/>
    <n v="80"/>
    <n v="1"/>
    <n v="10"/>
    <n v="3"/>
    <n v="3"/>
    <n v="9"/>
    <n v="8"/>
    <n v="7"/>
    <n v="7"/>
    <s v="LAB-1582"/>
    <x v="0"/>
    <x v="0"/>
    <x v="1"/>
    <n v="9"/>
    <x v="0"/>
  </r>
  <r>
    <n v="38"/>
    <s v="No"/>
    <s v="Travel_Rarely"/>
    <n v="437"/>
    <x v="0"/>
    <n v="16"/>
    <n v="3"/>
    <s v="Life Sciences"/>
    <n v="1"/>
    <n v="1583"/>
    <n v="2"/>
    <s v="Female"/>
    <n v="90"/>
    <n v="3"/>
    <n v="2"/>
    <s v="Sales Executive"/>
    <n v="2"/>
    <s v="Single"/>
    <n v="4198"/>
    <n v="16379"/>
    <n v="2"/>
    <s v="Y"/>
    <s v="No"/>
    <n v="12"/>
    <n v="3"/>
    <n v="2"/>
    <n v="80"/>
    <n v="0"/>
    <n v="8"/>
    <n v="5"/>
    <n v="4"/>
    <n v="3"/>
    <n v="2"/>
    <n v="1"/>
    <n v="2"/>
    <s v="LAB-1583"/>
    <x v="0"/>
    <x v="0"/>
    <x v="1"/>
    <n v="3"/>
    <x v="0"/>
  </r>
  <r>
    <n v="36"/>
    <s v="No"/>
    <s v="Travel_Rarely"/>
    <n v="884"/>
    <x v="0"/>
    <n v="1"/>
    <n v="4"/>
    <s v="Life Sciences"/>
    <n v="1"/>
    <n v="1585"/>
    <n v="2"/>
    <s v="Female"/>
    <n v="73"/>
    <n v="3"/>
    <n v="2"/>
    <s v="Sales Executive"/>
    <n v="3"/>
    <s v="Single"/>
    <n v="6815"/>
    <n v="21447"/>
    <n v="6"/>
    <s v="Y"/>
    <s v="No"/>
    <n v="13"/>
    <n v="3"/>
    <n v="1"/>
    <n v="80"/>
    <n v="0"/>
    <n v="15"/>
    <n v="5"/>
    <n v="3"/>
    <n v="1"/>
    <n v="0"/>
    <n v="0"/>
    <n v="0"/>
    <s v="LAB-1585"/>
    <x v="0"/>
    <x v="0"/>
    <x v="1"/>
    <n v="1"/>
    <x v="0"/>
  </r>
  <r>
    <n v="29"/>
    <s v="No"/>
    <s v="Travel_Rarely"/>
    <n v="1370"/>
    <x v="1"/>
    <n v="3"/>
    <n v="1"/>
    <s v="Medical"/>
    <n v="1"/>
    <n v="1586"/>
    <n v="2"/>
    <s v="Male"/>
    <n v="87"/>
    <n v="3"/>
    <n v="1"/>
    <s v="Laboratory Technician"/>
    <n v="1"/>
    <s v="Single"/>
    <n v="4723"/>
    <n v="16213"/>
    <n v="1"/>
    <s v="Y"/>
    <s v="Yes"/>
    <n v="18"/>
    <n v="3"/>
    <n v="4"/>
    <n v="80"/>
    <n v="0"/>
    <n v="10"/>
    <n v="3"/>
    <n v="3"/>
    <n v="10"/>
    <n v="9"/>
    <n v="1"/>
    <n v="5"/>
    <s v="LAB-1586"/>
    <x v="2"/>
    <x v="1"/>
    <x v="1"/>
    <n v="10"/>
    <x v="0"/>
  </r>
  <r>
    <n v="35"/>
    <s v="No"/>
    <s v="Travel_Rarely"/>
    <n v="670"/>
    <x v="1"/>
    <n v="10"/>
    <n v="4"/>
    <s v="Medical"/>
    <n v="1"/>
    <n v="1587"/>
    <n v="1"/>
    <s v="Female"/>
    <n v="51"/>
    <n v="3"/>
    <n v="2"/>
    <s v="Healthcare Representative"/>
    <n v="3"/>
    <s v="Single"/>
    <n v="6142"/>
    <n v="4223"/>
    <n v="3"/>
    <s v="Y"/>
    <s v="Yes"/>
    <n v="16"/>
    <n v="3"/>
    <n v="3"/>
    <n v="80"/>
    <n v="0"/>
    <n v="10"/>
    <n v="4"/>
    <n v="3"/>
    <n v="5"/>
    <n v="2"/>
    <n v="0"/>
    <n v="4"/>
    <s v="LAB-1587"/>
    <x v="4"/>
    <x v="1"/>
    <x v="1"/>
    <n v="5"/>
    <x v="0"/>
  </r>
  <r>
    <n v="39"/>
    <s v="No"/>
    <s v="Travel_Rarely"/>
    <n v="1462"/>
    <x v="0"/>
    <n v="6"/>
    <n v="3"/>
    <s v="Medical"/>
    <n v="1"/>
    <n v="1588"/>
    <n v="4"/>
    <s v="Male"/>
    <n v="38"/>
    <n v="4"/>
    <n v="3"/>
    <s v="Sales Executive"/>
    <n v="3"/>
    <s v="Married"/>
    <n v="8237"/>
    <n v="4658"/>
    <n v="2"/>
    <s v="Y"/>
    <s v="No"/>
    <n v="11"/>
    <n v="3"/>
    <n v="1"/>
    <n v="80"/>
    <n v="1"/>
    <n v="11"/>
    <n v="3"/>
    <n v="3"/>
    <n v="7"/>
    <n v="6"/>
    <n v="7"/>
    <n v="6"/>
    <s v="LAB-1588"/>
    <x v="0"/>
    <x v="0"/>
    <x v="1"/>
    <n v="7"/>
    <x v="0"/>
  </r>
  <r>
    <n v="29"/>
    <s v="No"/>
    <s v="Travel_Frequently"/>
    <n v="995"/>
    <x v="1"/>
    <n v="2"/>
    <n v="1"/>
    <s v="Life Sciences"/>
    <n v="1"/>
    <n v="1590"/>
    <n v="1"/>
    <s v="Male"/>
    <n v="87"/>
    <n v="3"/>
    <n v="2"/>
    <s v="Healthcare Representative"/>
    <n v="4"/>
    <s v="Divorced"/>
    <n v="8853"/>
    <n v="24483"/>
    <n v="1"/>
    <s v="Y"/>
    <s v="No"/>
    <n v="19"/>
    <n v="3"/>
    <n v="4"/>
    <n v="80"/>
    <n v="1"/>
    <n v="6"/>
    <n v="0"/>
    <n v="4"/>
    <n v="6"/>
    <n v="4"/>
    <n v="1"/>
    <n v="3"/>
    <s v="LAB-1590"/>
    <x v="4"/>
    <x v="1"/>
    <x v="1"/>
    <n v="6"/>
    <x v="0"/>
  </r>
  <r>
    <n v="50"/>
    <s v="No"/>
    <s v="Travel_Rarely"/>
    <n v="264"/>
    <x v="0"/>
    <n v="9"/>
    <n v="3"/>
    <s v="Marketing"/>
    <n v="1"/>
    <n v="1591"/>
    <n v="3"/>
    <s v="Male"/>
    <n v="59"/>
    <n v="3"/>
    <n v="5"/>
    <s v="Manager"/>
    <n v="3"/>
    <s v="Married"/>
    <n v="19331"/>
    <n v="19519"/>
    <n v="4"/>
    <s v="Y"/>
    <s v="Yes"/>
    <n v="16"/>
    <n v="3"/>
    <n v="3"/>
    <n v="80"/>
    <n v="1"/>
    <n v="27"/>
    <n v="2"/>
    <n v="3"/>
    <n v="1"/>
    <n v="0"/>
    <n v="0"/>
    <n v="0"/>
    <s v="LAB-1591"/>
    <x v="5"/>
    <x v="0"/>
    <x v="1"/>
    <n v="1"/>
    <x v="0"/>
  </r>
  <r>
    <n v="23"/>
    <s v="No"/>
    <s v="Travel_Rarely"/>
    <n v="977"/>
    <x v="1"/>
    <n v="10"/>
    <n v="3"/>
    <s v="Technical Degree"/>
    <n v="1"/>
    <n v="1592"/>
    <n v="4"/>
    <s v="Male"/>
    <n v="45"/>
    <n v="4"/>
    <n v="1"/>
    <s v="Research Scientist"/>
    <n v="3"/>
    <s v="Married"/>
    <n v="2073"/>
    <n v="12826"/>
    <n v="2"/>
    <s v="Y"/>
    <s v="No"/>
    <n v="16"/>
    <n v="3"/>
    <n v="4"/>
    <n v="80"/>
    <n v="1"/>
    <n v="4"/>
    <n v="2"/>
    <n v="3"/>
    <n v="2"/>
    <n v="2"/>
    <n v="2"/>
    <n v="2"/>
    <s v="LAB-1592"/>
    <x v="1"/>
    <x v="1"/>
    <x v="1"/>
    <n v="2"/>
    <x v="0"/>
  </r>
  <r>
    <n v="36"/>
    <s v="No"/>
    <s v="Travel_Frequently"/>
    <n v="1302"/>
    <x v="1"/>
    <n v="6"/>
    <n v="4"/>
    <s v="Life Sciences"/>
    <n v="1"/>
    <n v="1594"/>
    <n v="1"/>
    <s v="Male"/>
    <n v="80"/>
    <n v="4"/>
    <n v="2"/>
    <s v="Laboratory Technician"/>
    <n v="1"/>
    <s v="Married"/>
    <n v="5562"/>
    <n v="19711"/>
    <n v="3"/>
    <s v="Y"/>
    <s v="Yes"/>
    <n v="13"/>
    <n v="3"/>
    <n v="4"/>
    <n v="80"/>
    <n v="1"/>
    <n v="9"/>
    <n v="3"/>
    <n v="3"/>
    <n v="3"/>
    <n v="2"/>
    <n v="0"/>
    <n v="2"/>
    <s v="LAB-1594"/>
    <x v="2"/>
    <x v="1"/>
    <x v="1"/>
    <n v="3"/>
    <x v="0"/>
  </r>
  <r>
    <n v="42"/>
    <s v="No"/>
    <s v="Travel_Rarely"/>
    <n v="1059"/>
    <x v="1"/>
    <n v="9"/>
    <n v="2"/>
    <s v="Other"/>
    <n v="1"/>
    <n v="1595"/>
    <n v="4"/>
    <s v="Male"/>
    <n v="93"/>
    <n v="2"/>
    <n v="5"/>
    <s v="Manager"/>
    <n v="4"/>
    <s v="Single"/>
    <n v="19613"/>
    <n v="26362"/>
    <n v="8"/>
    <s v="Y"/>
    <s v="No"/>
    <n v="22"/>
    <n v="4"/>
    <n v="4"/>
    <n v="80"/>
    <n v="0"/>
    <n v="24"/>
    <n v="2"/>
    <n v="3"/>
    <n v="1"/>
    <n v="0"/>
    <n v="0"/>
    <n v="1"/>
    <s v="LAB-1595"/>
    <x v="5"/>
    <x v="1"/>
    <x v="1"/>
    <n v="1"/>
    <x v="0"/>
  </r>
  <r>
    <n v="35"/>
    <s v="No"/>
    <s v="Travel_Rarely"/>
    <n v="750"/>
    <x v="1"/>
    <n v="28"/>
    <n v="3"/>
    <s v="Life Sciences"/>
    <n v="1"/>
    <n v="1596"/>
    <n v="2"/>
    <s v="Male"/>
    <n v="46"/>
    <n v="4"/>
    <n v="2"/>
    <s v="Laboratory Technician"/>
    <n v="3"/>
    <s v="Married"/>
    <n v="3407"/>
    <n v="25348"/>
    <n v="1"/>
    <s v="Y"/>
    <s v="No"/>
    <n v="17"/>
    <n v="3"/>
    <n v="4"/>
    <n v="80"/>
    <n v="2"/>
    <n v="10"/>
    <n v="3"/>
    <n v="2"/>
    <n v="10"/>
    <n v="9"/>
    <n v="6"/>
    <n v="8"/>
    <s v="LAB-1596"/>
    <x v="2"/>
    <x v="1"/>
    <x v="1"/>
    <n v="10"/>
    <x v="0"/>
  </r>
  <r>
    <n v="34"/>
    <s v="No"/>
    <s v="Travel_Frequently"/>
    <n v="653"/>
    <x v="1"/>
    <n v="10"/>
    <n v="4"/>
    <s v="Technical Degree"/>
    <n v="1"/>
    <n v="1597"/>
    <n v="4"/>
    <s v="Male"/>
    <n v="92"/>
    <n v="2"/>
    <n v="2"/>
    <s v="Healthcare Representative"/>
    <n v="3"/>
    <s v="Married"/>
    <n v="5063"/>
    <n v="15332"/>
    <n v="1"/>
    <s v="Y"/>
    <s v="No"/>
    <n v="14"/>
    <n v="3"/>
    <n v="2"/>
    <n v="80"/>
    <n v="1"/>
    <n v="8"/>
    <n v="3"/>
    <n v="2"/>
    <n v="8"/>
    <n v="2"/>
    <n v="7"/>
    <n v="7"/>
    <s v="LAB-1597"/>
    <x v="4"/>
    <x v="1"/>
    <x v="1"/>
    <n v="8"/>
    <x v="0"/>
  </r>
  <r>
    <n v="40"/>
    <s v="No"/>
    <s v="Travel_Rarely"/>
    <n v="118"/>
    <x v="0"/>
    <n v="14"/>
    <n v="2"/>
    <s v="Life Sciences"/>
    <n v="1"/>
    <n v="1598"/>
    <n v="4"/>
    <s v="Female"/>
    <n v="84"/>
    <n v="3"/>
    <n v="2"/>
    <s v="Sales Executive"/>
    <n v="1"/>
    <s v="Married"/>
    <n v="4639"/>
    <n v="11262"/>
    <n v="1"/>
    <s v="Y"/>
    <s v="No"/>
    <n v="15"/>
    <n v="3"/>
    <n v="3"/>
    <n v="80"/>
    <n v="1"/>
    <n v="5"/>
    <n v="2"/>
    <n v="3"/>
    <n v="5"/>
    <n v="4"/>
    <n v="1"/>
    <n v="2"/>
    <s v="LAB-1598"/>
    <x v="0"/>
    <x v="0"/>
    <x v="1"/>
    <n v="5"/>
    <x v="0"/>
  </r>
  <r>
    <n v="43"/>
    <s v="No"/>
    <s v="Travel_Rarely"/>
    <n v="990"/>
    <x v="1"/>
    <n v="27"/>
    <n v="3"/>
    <s v="Technical Degree"/>
    <n v="1"/>
    <n v="1599"/>
    <n v="4"/>
    <s v="Male"/>
    <n v="87"/>
    <n v="4"/>
    <n v="1"/>
    <s v="Laboratory Technician"/>
    <n v="2"/>
    <s v="Divorced"/>
    <n v="4876"/>
    <n v="5855"/>
    <n v="5"/>
    <s v="Y"/>
    <s v="No"/>
    <n v="12"/>
    <n v="3"/>
    <n v="3"/>
    <n v="80"/>
    <n v="1"/>
    <n v="8"/>
    <n v="0"/>
    <n v="3"/>
    <n v="6"/>
    <n v="4"/>
    <n v="0"/>
    <n v="2"/>
    <s v="LAB-1599"/>
    <x v="2"/>
    <x v="1"/>
    <x v="1"/>
    <n v="6"/>
    <x v="0"/>
  </r>
  <r>
    <n v="35"/>
    <s v="No"/>
    <s v="Travel_Rarely"/>
    <n v="1349"/>
    <x v="1"/>
    <n v="7"/>
    <n v="2"/>
    <s v="Life Sciences"/>
    <n v="1"/>
    <n v="1601"/>
    <n v="3"/>
    <s v="Male"/>
    <n v="63"/>
    <n v="2"/>
    <n v="1"/>
    <s v="Laboratory Technician"/>
    <n v="4"/>
    <s v="Married"/>
    <n v="2690"/>
    <n v="7713"/>
    <n v="1"/>
    <s v="Y"/>
    <s v="No"/>
    <n v="18"/>
    <n v="3"/>
    <n v="4"/>
    <n v="80"/>
    <n v="1"/>
    <n v="1"/>
    <n v="5"/>
    <n v="2"/>
    <n v="1"/>
    <n v="0"/>
    <n v="0"/>
    <n v="1"/>
    <s v="LAB-1601"/>
    <x v="2"/>
    <x v="1"/>
    <x v="1"/>
    <n v="1"/>
    <x v="0"/>
  </r>
  <r>
    <n v="46"/>
    <s v="No"/>
    <s v="Travel_Rarely"/>
    <n v="563"/>
    <x v="0"/>
    <n v="1"/>
    <n v="4"/>
    <s v="Life Sciences"/>
    <n v="1"/>
    <n v="1602"/>
    <n v="4"/>
    <s v="Male"/>
    <n v="56"/>
    <n v="4"/>
    <n v="4"/>
    <s v="Manager"/>
    <n v="1"/>
    <s v="Single"/>
    <n v="17567"/>
    <n v="3156"/>
    <n v="1"/>
    <s v="Y"/>
    <s v="No"/>
    <n v="15"/>
    <n v="3"/>
    <n v="2"/>
    <n v="80"/>
    <n v="0"/>
    <n v="27"/>
    <n v="5"/>
    <n v="1"/>
    <n v="26"/>
    <n v="0"/>
    <n v="0"/>
    <n v="12"/>
    <s v="LAB-1602"/>
    <x v="5"/>
    <x v="0"/>
    <x v="1"/>
    <n v="26"/>
    <x v="0"/>
  </r>
  <r>
    <n v="28"/>
    <s v="Yes"/>
    <s v="Travel_Rarely"/>
    <n v="329"/>
    <x v="1"/>
    <n v="24"/>
    <n v="3"/>
    <s v="Medical"/>
    <n v="1"/>
    <n v="1604"/>
    <n v="3"/>
    <s v="Male"/>
    <n v="51"/>
    <n v="3"/>
    <n v="1"/>
    <s v="Laboratory Technician"/>
    <n v="2"/>
    <s v="Married"/>
    <n v="2408"/>
    <n v="7324"/>
    <n v="1"/>
    <s v="Y"/>
    <s v="Yes"/>
    <n v="17"/>
    <n v="3"/>
    <n v="3"/>
    <n v="80"/>
    <n v="3"/>
    <n v="1"/>
    <n v="3"/>
    <n v="3"/>
    <n v="1"/>
    <n v="1"/>
    <n v="0"/>
    <n v="0"/>
    <s v="LAB-1604"/>
    <x v="2"/>
    <x v="1"/>
    <x v="0"/>
    <n v="1"/>
    <x v="0"/>
  </r>
  <r>
    <n v="22"/>
    <s v="No"/>
    <s v="Non-Travel"/>
    <n v="457"/>
    <x v="1"/>
    <n v="26"/>
    <n v="2"/>
    <s v="Other"/>
    <n v="1"/>
    <n v="1605"/>
    <n v="2"/>
    <s v="Female"/>
    <n v="85"/>
    <n v="2"/>
    <n v="1"/>
    <s v="Research Scientist"/>
    <n v="3"/>
    <s v="Married"/>
    <n v="2814"/>
    <n v="10293"/>
    <n v="1"/>
    <s v="Y"/>
    <s v="Yes"/>
    <n v="14"/>
    <n v="3"/>
    <n v="2"/>
    <n v="80"/>
    <n v="0"/>
    <n v="4"/>
    <n v="2"/>
    <n v="2"/>
    <n v="4"/>
    <n v="2"/>
    <n v="1"/>
    <n v="3"/>
    <s v="LAB-1605"/>
    <x v="1"/>
    <x v="1"/>
    <x v="1"/>
    <n v="4"/>
    <x v="0"/>
  </r>
  <r>
    <n v="50"/>
    <s v="No"/>
    <s v="Travel_Frequently"/>
    <n v="1234"/>
    <x v="1"/>
    <n v="20"/>
    <n v="5"/>
    <s v="Medical"/>
    <n v="1"/>
    <n v="1606"/>
    <n v="2"/>
    <s v="Male"/>
    <n v="41"/>
    <n v="3"/>
    <n v="4"/>
    <s v="Healthcare Representative"/>
    <n v="3"/>
    <s v="Married"/>
    <n v="11245"/>
    <n v="20689"/>
    <n v="2"/>
    <s v="Y"/>
    <s v="Yes"/>
    <n v="15"/>
    <n v="3"/>
    <n v="3"/>
    <n v="80"/>
    <n v="1"/>
    <n v="32"/>
    <n v="3"/>
    <n v="3"/>
    <n v="30"/>
    <n v="8"/>
    <n v="12"/>
    <n v="13"/>
    <s v="LAB-1606"/>
    <x v="4"/>
    <x v="1"/>
    <x v="1"/>
    <n v="30"/>
    <x v="0"/>
  </r>
  <r>
    <n v="32"/>
    <s v="No"/>
    <s v="Travel_Rarely"/>
    <n v="634"/>
    <x v="1"/>
    <n v="5"/>
    <n v="4"/>
    <s v="Other"/>
    <n v="1"/>
    <n v="1607"/>
    <n v="2"/>
    <s v="Female"/>
    <n v="35"/>
    <n v="4"/>
    <n v="1"/>
    <s v="Research Scientist"/>
    <n v="4"/>
    <s v="Married"/>
    <n v="3312"/>
    <n v="18783"/>
    <n v="3"/>
    <s v="Y"/>
    <s v="No"/>
    <n v="17"/>
    <n v="3"/>
    <n v="4"/>
    <n v="80"/>
    <n v="2"/>
    <n v="6"/>
    <n v="3"/>
    <n v="3"/>
    <n v="3"/>
    <n v="2"/>
    <n v="0"/>
    <n v="2"/>
    <s v="LAB-1607"/>
    <x v="1"/>
    <x v="1"/>
    <x v="1"/>
    <n v="3"/>
    <x v="0"/>
  </r>
  <r>
    <n v="44"/>
    <s v="No"/>
    <s v="Travel_Rarely"/>
    <n v="1313"/>
    <x v="1"/>
    <n v="7"/>
    <n v="3"/>
    <s v="Medical"/>
    <n v="1"/>
    <n v="1608"/>
    <n v="2"/>
    <s v="Female"/>
    <n v="31"/>
    <n v="3"/>
    <n v="5"/>
    <s v="Research Director"/>
    <n v="4"/>
    <s v="Divorced"/>
    <n v="19049"/>
    <n v="3549"/>
    <n v="0"/>
    <s v="Y"/>
    <s v="Yes"/>
    <n v="14"/>
    <n v="3"/>
    <n v="4"/>
    <n v="80"/>
    <n v="1"/>
    <n v="23"/>
    <n v="4"/>
    <n v="2"/>
    <n v="22"/>
    <n v="7"/>
    <n v="1"/>
    <n v="10"/>
    <s v="LAB-1608"/>
    <x v="7"/>
    <x v="1"/>
    <x v="1"/>
    <n v="22"/>
    <x v="0"/>
  </r>
  <r>
    <n v="30"/>
    <s v="No"/>
    <s v="Travel_Rarely"/>
    <n v="241"/>
    <x v="1"/>
    <n v="7"/>
    <n v="3"/>
    <s v="Medical"/>
    <n v="1"/>
    <n v="1609"/>
    <n v="2"/>
    <s v="Male"/>
    <n v="48"/>
    <n v="2"/>
    <n v="1"/>
    <s v="Research Scientist"/>
    <n v="2"/>
    <s v="Married"/>
    <n v="2141"/>
    <n v="5348"/>
    <n v="1"/>
    <s v="Y"/>
    <s v="No"/>
    <n v="12"/>
    <n v="3"/>
    <n v="2"/>
    <n v="80"/>
    <n v="1"/>
    <n v="6"/>
    <n v="3"/>
    <n v="2"/>
    <n v="6"/>
    <n v="4"/>
    <n v="1"/>
    <n v="1"/>
    <s v="LAB-1609"/>
    <x v="1"/>
    <x v="1"/>
    <x v="1"/>
    <n v="6"/>
    <x v="0"/>
  </r>
  <r>
    <n v="45"/>
    <s v="No"/>
    <s v="Travel_Rarely"/>
    <n v="1015"/>
    <x v="1"/>
    <n v="5"/>
    <n v="5"/>
    <s v="Medical"/>
    <n v="1"/>
    <n v="1611"/>
    <n v="3"/>
    <s v="Female"/>
    <n v="50"/>
    <n v="1"/>
    <n v="2"/>
    <s v="Laboratory Technician"/>
    <n v="1"/>
    <s v="Single"/>
    <n v="5769"/>
    <n v="23447"/>
    <n v="1"/>
    <s v="Y"/>
    <s v="Yes"/>
    <n v="14"/>
    <n v="3"/>
    <n v="1"/>
    <n v="80"/>
    <n v="0"/>
    <n v="10"/>
    <n v="3"/>
    <n v="3"/>
    <n v="10"/>
    <n v="7"/>
    <n v="1"/>
    <n v="4"/>
    <s v="LAB-1611"/>
    <x v="2"/>
    <x v="1"/>
    <x v="1"/>
    <n v="10"/>
    <x v="0"/>
  </r>
  <r>
    <n v="45"/>
    <s v="No"/>
    <s v="Non-Travel"/>
    <n v="336"/>
    <x v="0"/>
    <n v="26"/>
    <n v="3"/>
    <s v="Marketing"/>
    <n v="1"/>
    <n v="1612"/>
    <n v="1"/>
    <s v="Male"/>
    <n v="52"/>
    <n v="2"/>
    <n v="2"/>
    <s v="Sales Executive"/>
    <n v="1"/>
    <s v="Married"/>
    <n v="4385"/>
    <n v="24162"/>
    <n v="1"/>
    <s v="Y"/>
    <s v="No"/>
    <n v="15"/>
    <n v="3"/>
    <n v="1"/>
    <n v="80"/>
    <n v="1"/>
    <n v="10"/>
    <n v="2"/>
    <n v="3"/>
    <n v="10"/>
    <n v="7"/>
    <n v="4"/>
    <n v="5"/>
    <s v="LAB-1612"/>
    <x v="0"/>
    <x v="0"/>
    <x v="1"/>
    <n v="10"/>
    <x v="0"/>
  </r>
  <r>
    <n v="31"/>
    <s v="No"/>
    <s v="Travel_Frequently"/>
    <n v="715"/>
    <x v="0"/>
    <n v="2"/>
    <n v="4"/>
    <s v="Other"/>
    <n v="1"/>
    <n v="1613"/>
    <n v="4"/>
    <s v="Male"/>
    <n v="54"/>
    <n v="3"/>
    <n v="2"/>
    <s v="Sales Executive"/>
    <n v="1"/>
    <s v="Single"/>
    <n v="5332"/>
    <n v="21602"/>
    <n v="7"/>
    <s v="Y"/>
    <s v="No"/>
    <n v="13"/>
    <n v="3"/>
    <n v="4"/>
    <n v="80"/>
    <n v="0"/>
    <n v="10"/>
    <n v="3"/>
    <n v="3"/>
    <n v="5"/>
    <n v="2"/>
    <n v="0"/>
    <n v="3"/>
    <s v="LAB-1613"/>
    <x v="0"/>
    <x v="0"/>
    <x v="1"/>
    <n v="5"/>
    <x v="0"/>
  </r>
  <r>
    <n v="36"/>
    <s v="No"/>
    <s v="Travel_Rarely"/>
    <n v="559"/>
    <x v="1"/>
    <n v="12"/>
    <n v="4"/>
    <s v="Life Sciences"/>
    <n v="1"/>
    <n v="1614"/>
    <n v="3"/>
    <s v="Female"/>
    <n v="76"/>
    <n v="3"/>
    <n v="2"/>
    <s v="Manufacturing Director"/>
    <n v="3"/>
    <s v="Married"/>
    <n v="4663"/>
    <n v="12421"/>
    <n v="9"/>
    <s v="Y"/>
    <s v="Yes"/>
    <n v="12"/>
    <n v="3"/>
    <n v="2"/>
    <n v="80"/>
    <n v="2"/>
    <n v="7"/>
    <n v="2"/>
    <n v="3"/>
    <n v="3"/>
    <n v="2"/>
    <n v="1"/>
    <n v="1"/>
    <s v="LAB-1614"/>
    <x v="3"/>
    <x v="1"/>
    <x v="1"/>
    <n v="3"/>
    <x v="0"/>
  </r>
  <r>
    <n v="34"/>
    <s v="No"/>
    <s v="Travel_Frequently"/>
    <n v="426"/>
    <x v="1"/>
    <n v="10"/>
    <n v="4"/>
    <s v="Life Sciences"/>
    <n v="1"/>
    <n v="1615"/>
    <n v="3"/>
    <s v="Male"/>
    <n v="42"/>
    <n v="4"/>
    <n v="2"/>
    <s v="Manufacturing Director"/>
    <n v="4"/>
    <s v="Divorced"/>
    <n v="4724"/>
    <n v="17000"/>
    <n v="1"/>
    <s v="Y"/>
    <s v="No"/>
    <n v="13"/>
    <n v="3"/>
    <n v="1"/>
    <n v="80"/>
    <n v="1"/>
    <n v="9"/>
    <n v="3"/>
    <n v="3"/>
    <n v="9"/>
    <n v="7"/>
    <n v="7"/>
    <n v="2"/>
    <s v="LAB-1615"/>
    <x v="3"/>
    <x v="1"/>
    <x v="1"/>
    <n v="9"/>
    <x v="0"/>
  </r>
  <r>
    <n v="49"/>
    <s v="No"/>
    <s v="Travel_Rarely"/>
    <n v="722"/>
    <x v="1"/>
    <n v="25"/>
    <n v="4"/>
    <s v="Life Sciences"/>
    <n v="1"/>
    <n v="1617"/>
    <n v="3"/>
    <s v="Female"/>
    <n v="84"/>
    <n v="3"/>
    <n v="1"/>
    <s v="Laboratory Technician"/>
    <n v="1"/>
    <s v="Married"/>
    <n v="3211"/>
    <n v="22102"/>
    <n v="1"/>
    <s v="Y"/>
    <s v="No"/>
    <n v="14"/>
    <n v="3"/>
    <n v="4"/>
    <n v="80"/>
    <n v="1"/>
    <n v="10"/>
    <n v="3"/>
    <n v="2"/>
    <n v="9"/>
    <n v="6"/>
    <n v="1"/>
    <n v="4"/>
    <s v="LAB-1617"/>
    <x v="2"/>
    <x v="1"/>
    <x v="1"/>
    <n v="9"/>
    <x v="0"/>
  </r>
  <r>
    <n v="39"/>
    <s v="No"/>
    <s v="Travel_Rarely"/>
    <n v="1387"/>
    <x v="1"/>
    <n v="10"/>
    <n v="5"/>
    <s v="Medical"/>
    <n v="1"/>
    <n v="1618"/>
    <n v="2"/>
    <s v="Male"/>
    <n v="76"/>
    <n v="3"/>
    <n v="2"/>
    <s v="Manufacturing Director"/>
    <n v="1"/>
    <s v="Married"/>
    <n v="5377"/>
    <n v="3835"/>
    <n v="2"/>
    <s v="Y"/>
    <s v="No"/>
    <n v="13"/>
    <n v="3"/>
    <n v="4"/>
    <n v="80"/>
    <n v="3"/>
    <n v="10"/>
    <n v="3"/>
    <n v="3"/>
    <n v="7"/>
    <n v="7"/>
    <n v="7"/>
    <n v="7"/>
    <s v="LAB-1618"/>
    <x v="3"/>
    <x v="1"/>
    <x v="1"/>
    <n v="7"/>
    <x v="0"/>
  </r>
  <r>
    <n v="27"/>
    <s v="No"/>
    <s v="Travel_Rarely"/>
    <n v="1302"/>
    <x v="1"/>
    <n v="19"/>
    <n v="3"/>
    <s v="Other"/>
    <n v="1"/>
    <n v="1619"/>
    <n v="4"/>
    <s v="Male"/>
    <n v="67"/>
    <n v="2"/>
    <n v="1"/>
    <s v="Laboratory Technician"/>
    <n v="1"/>
    <s v="Divorced"/>
    <n v="4066"/>
    <n v="16290"/>
    <n v="1"/>
    <s v="Y"/>
    <s v="No"/>
    <n v="11"/>
    <n v="3"/>
    <n v="1"/>
    <n v="80"/>
    <n v="2"/>
    <n v="7"/>
    <n v="3"/>
    <n v="3"/>
    <n v="7"/>
    <n v="7"/>
    <n v="0"/>
    <n v="7"/>
    <s v="LAB-1619"/>
    <x v="2"/>
    <x v="1"/>
    <x v="1"/>
    <n v="7"/>
    <x v="0"/>
  </r>
  <r>
    <n v="35"/>
    <s v="No"/>
    <s v="Travel_Rarely"/>
    <n v="819"/>
    <x v="1"/>
    <n v="18"/>
    <n v="5"/>
    <s v="Life Sciences"/>
    <n v="1"/>
    <n v="1621"/>
    <n v="2"/>
    <s v="Male"/>
    <n v="48"/>
    <n v="4"/>
    <n v="2"/>
    <s v="Research Scientist"/>
    <n v="1"/>
    <s v="Married"/>
    <n v="5208"/>
    <n v="26312"/>
    <n v="1"/>
    <s v="Y"/>
    <s v="No"/>
    <n v="11"/>
    <n v="3"/>
    <n v="4"/>
    <n v="80"/>
    <n v="0"/>
    <n v="16"/>
    <n v="2"/>
    <n v="3"/>
    <n v="16"/>
    <n v="15"/>
    <n v="1"/>
    <n v="10"/>
    <s v="LAB-1621"/>
    <x v="1"/>
    <x v="1"/>
    <x v="1"/>
    <n v="16"/>
    <x v="0"/>
  </r>
  <r>
    <n v="28"/>
    <s v="No"/>
    <s v="Travel_Rarely"/>
    <n v="580"/>
    <x v="1"/>
    <n v="27"/>
    <n v="3"/>
    <s v="Medical"/>
    <n v="1"/>
    <n v="1622"/>
    <n v="2"/>
    <s v="Female"/>
    <n v="39"/>
    <n v="1"/>
    <n v="2"/>
    <s v="Manufacturing Director"/>
    <n v="1"/>
    <s v="Divorced"/>
    <n v="4877"/>
    <n v="20460"/>
    <n v="0"/>
    <s v="Y"/>
    <s v="No"/>
    <n v="21"/>
    <n v="4"/>
    <n v="2"/>
    <n v="80"/>
    <n v="1"/>
    <n v="6"/>
    <n v="5"/>
    <n v="2"/>
    <n v="5"/>
    <n v="3"/>
    <n v="0"/>
    <n v="0"/>
    <s v="LAB-1622"/>
    <x v="3"/>
    <x v="1"/>
    <x v="1"/>
    <n v="5"/>
    <x v="0"/>
  </r>
  <r>
    <n v="21"/>
    <s v="No"/>
    <s v="Travel_Rarely"/>
    <n v="546"/>
    <x v="1"/>
    <n v="5"/>
    <n v="1"/>
    <s v="Medical"/>
    <n v="1"/>
    <n v="1623"/>
    <n v="3"/>
    <s v="Male"/>
    <n v="97"/>
    <n v="3"/>
    <n v="1"/>
    <s v="Research Scientist"/>
    <n v="4"/>
    <s v="Single"/>
    <n v="3117"/>
    <n v="26009"/>
    <n v="1"/>
    <s v="Y"/>
    <s v="No"/>
    <n v="18"/>
    <n v="3"/>
    <n v="3"/>
    <n v="80"/>
    <n v="0"/>
    <n v="3"/>
    <n v="2"/>
    <n v="3"/>
    <n v="2"/>
    <n v="2"/>
    <n v="2"/>
    <n v="2"/>
    <s v="LAB-1623"/>
    <x v="1"/>
    <x v="1"/>
    <x v="1"/>
    <n v="2"/>
    <x v="0"/>
  </r>
  <r>
    <n v="18"/>
    <s v="Yes"/>
    <s v="Travel_Frequently"/>
    <n v="544"/>
    <x v="0"/>
    <n v="3"/>
    <n v="2"/>
    <s v="Medical"/>
    <n v="1"/>
    <n v="1624"/>
    <n v="2"/>
    <s v="Female"/>
    <n v="70"/>
    <n v="3"/>
    <n v="1"/>
    <s v="Sales Representative"/>
    <n v="4"/>
    <s v="Single"/>
    <n v="1569"/>
    <n v="18420"/>
    <n v="1"/>
    <s v="Y"/>
    <s v="Yes"/>
    <n v="12"/>
    <n v="3"/>
    <n v="3"/>
    <n v="80"/>
    <n v="0"/>
    <n v="0"/>
    <n v="2"/>
    <n v="4"/>
    <n v="0"/>
    <n v="0"/>
    <n v="0"/>
    <n v="0"/>
    <s v="LAB-1624"/>
    <x v="6"/>
    <x v="0"/>
    <x v="0"/>
    <n v="0"/>
    <x v="0"/>
  </r>
  <r>
    <n v="47"/>
    <s v="No"/>
    <s v="Travel_Rarely"/>
    <n v="1176"/>
    <x v="2"/>
    <n v="26"/>
    <n v="4"/>
    <s v="Life Sciences"/>
    <n v="1"/>
    <n v="1625"/>
    <n v="4"/>
    <s v="Female"/>
    <n v="98"/>
    <n v="3"/>
    <n v="5"/>
    <s v="Manager"/>
    <n v="3"/>
    <s v="Married"/>
    <n v="19658"/>
    <n v="5220"/>
    <n v="3"/>
    <s v="Y"/>
    <s v="No"/>
    <n v="11"/>
    <n v="3"/>
    <n v="3"/>
    <n v="80"/>
    <n v="1"/>
    <n v="27"/>
    <n v="2"/>
    <n v="3"/>
    <n v="5"/>
    <n v="2"/>
    <n v="1"/>
    <n v="0"/>
    <s v="LAB-1625"/>
    <x v="5"/>
    <x v="2"/>
    <x v="1"/>
    <n v="5"/>
    <x v="0"/>
  </r>
  <r>
    <n v="39"/>
    <s v="No"/>
    <s v="Travel_Rarely"/>
    <n v="170"/>
    <x v="1"/>
    <n v="3"/>
    <n v="2"/>
    <s v="Medical"/>
    <n v="1"/>
    <n v="1627"/>
    <n v="3"/>
    <s v="Male"/>
    <n v="76"/>
    <n v="2"/>
    <n v="2"/>
    <s v="Laboratory Technician"/>
    <n v="3"/>
    <s v="Divorced"/>
    <n v="3069"/>
    <n v="10302"/>
    <n v="0"/>
    <s v="Y"/>
    <s v="No"/>
    <n v="15"/>
    <n v="3"/>
    <n v="4"/>
    <n v="80"/>
    <n v="1"/>
    <n v="11"/>
    <n v="3"/>
    <n v="3"/>
    <n v="10"/>
    <n v="8"/>
    <n v="0"/>
    <n v="7"/>
    <s v="LAB-1627"/>
    <x v="2"/>
    <x v="1"/>
    <x v="1"/>
    <n v="10"/>
    <x v="0"/>
  </r>
  <r>
    <n v="40"/>
    <s v="No"/>
    <s v="Travel_Rarely"/>
    <n v="884"/>
    <x v="1"/>
    <n v="15"/>
    <n v="3"/>
    <s v="Life Sciences"/>
    <n v="1"/>
    <n v="1628"/>
    <n v="1"/>
    <s v="Female"/>
    <n v="80"/>
    <n v="2"/>
    <n v="3"/>
    <s v="Manufacturing Director"/>
    <n v="3"/>
    <s v="Married"/>
    <n v="10435"/>
    <n v="25800"/>
    <n v="1"/>
    <s v="Y"/>
    <s v="No"/>
    <n v="13"/>
    <n v="3"/>
    <n v="4"/>
    <n v="80"/>
    <n v="2"/>
    <n v="18"/>
    <n v="2"/>
    <n v="3"/>
    <n v="18"/>
    <n v="15"/>
    <n v="14"/>
    <n v="12"/>
    <s v="LAB-1628"/>
    <x v="3"/>
    <x v="1"/>
    <x v="1"/>
    <n v="18"/>
    <x v="0"/>
  </r>
  <r>
    <n v="35"/>
    <s v="No"/>
    <s v="Non-Travel"/>
    <n v="208"/>
    <x v="1"/>
    <n v="8"/>
    <n v="4"/>
    <s v="Life Sciences"/>
    <n v="1"/>
    <n v="1630"/>
    <n v="3"/>
    <s v="Female"/>
    <n v="52"/>
    <n v="3"/>
    <n v="2"/>
    <s v="Healthcare Representative"/>
    <n v="3"/>
    <s v="Married"/>
    <n v="4148"/>
    <n v="12250"/>
    <n v="1"/>
    <s v="Y"/>
    <s v="No"/>
    <n v="12"/>
    <n v="3"/>
    <n v="4"/>
    <n v="80"/>
    <n v="1"/>
    <n v="15"/>
    <n v="5"/>
    <n v="3"/>
    <n v="14"/>
    <n v="11"/>
    <n v="2"/>
    <n v="9"/>
    <s v="LAB-1630"/>
    <x v="4"/>
    <x v="1"/>
    <x v="1"/>
    <n v="14"/>
    <x v="0"/>
  </r>
  <r>
    <n v="37"/>
    <s v="No"/>
    <s v="Travel_Rarely"/>
    <n v="671"/>
    <x v="1"/>
    <n v="19"/>
    <n v="3"/>
    <s v="Life Sciences"/>
    <n v="1"/>
    <n v="1631"/>
    <n v="3"/>
    <s v="Male"/>
    <n v="85"/>
    <n v="3"/>
    <n v="2"/>
    <s v="Manufacturing Director"/>
    <n v="3"/>
    <s v="Married"/>
    <n v="5768"/>
    <n v="26493"/>
    <n v="3"/>
    <s v="Y"/>
    <s v="No"/>
    <n v="17"/>
    <n v="3"/>
    <n v="1"/>
    <n v="80"/>
    <n v="3"/>
    <n v="9"/>
    <n v="2"/>
    <n v="2"/>
    <n v="4"/>
    <n v="3"/>
    <n v="0"/>
    <n v="2"/>
    <s v="LAB-1631"/>
    <x v="3"/>
    <x v="1"/>
    <x v="1"/>
    <n v="4"/>
    <x v="0"/>
  </r>
  <r>
    <n v="39"/>
    <s v="No"/>
    <s v="Travel_Frequently"/>
    <n v="711"/>
    <x v="1"/>
    <n v="4"/>
    <n v="3"/>
    <s v="Medical"/>
    <n v="1"/>
    <n v="1633"/>
    <n v="1"/>
    <s v="Female"/>
    <n v="81"/>
    <n v="3"/>
    <n v="2"/>
    <s v="Manufacturing Director"/>
    <n v="3"/>
    <s v="Single"/>
    <n v="5042"/>
    <n v="3140"/>
    <n v="0"/>
    <s v="Y"/>
    <s v="No"/>
    <n v="13"/>
    <n v="3"/>
    <n v="4"/>
    <n v="80"/>
    <n v="0"/>
    <n v="10"/>
    <n v="2"/>
    <n v="1"/>
    <n v="9"/>
    <n v="2"/>
    <n v="3"/>
    <n v="8"/>
    <s v="LAB-1633"/>
    <x v="3"/>
    <x v="1"/>
    <x v="1"/>
    <n v="9"/>
    <x v="0"/>
  </r>
  <r>
    <n v="45"/>
    <s v="No"/>
    <s v="Travel_Rarely"/>
    <n v="1329"/>
    <x v="1"/>
    <n v="2"/>
    <n v="2"/>
    <s v="Other"/>
    <n v="1"/>
    <n v="1635"/>
    <n v="4"/>
    <s v="Female"/>
    <n v="59"/>
    <n v="2"/>
    <n v="2"/>
    <s v="Manufacturing Director"/>
    <n v="4"/>
    <s v="Divorced"/>
    <n v="5770"/>
    <n v="5388"/>
    <n v="1"/>
    <s v="Y"/>
    <s v="No"/>
    <n v="19"/>
    <n v="3"/>
    <n v="1"/>
    <n v="80"/>
    <n v="2"/>
    <n v="10"/>
    <n v="3"/>
    <n v="3"/>
    <n v="10"/>
    <n v="7"/>
    <n v="3"/>
    <n v="9"/>
    <s v="LAB-1635"/>
    <x v="3"/>
    <x v="1"/>
    <x v="1"/>
    <n v="10"/>
    <x v="0"/>
  </r>
  <r>
    <n v="38"/>
    <s v="No"/>
    <s v="Travel_Rarely"/>
    <n v="397"/>
    <x v="1"/>
    <n v="2"/>
    <n v="2"/>
    <s v="Medical"/>
    <n v="1"/>
    <n v="1638"/>
    <n v="4"/>
    <s v="Female"/>
    <n v="54"/>
    <n v="2"/>
    <n v="3"/>
    <s v="Manufacturing Director"/>
    <n v="3"/>
    <s v="Married"/>
    <n v="7756"/>
    <n v="14199"/>
    <n v="3"/>
    <s v="Y"/>
    <s v="Yes"/>
    <n v="19"/>
    <n v="3"/>
    <n v="4"/>
    <n v="80"/>
    <n v="1"/>
    <n v="10"/>
    <n v="6"/>
    <n v="4"/>
    <n v="5"/>
    <n v="4"/>
    <n v="0"/>
    <n v="2"/>
    <s v="LAB-1638"/>
    <x v="3"/>
    <x v="1"/>
    <x v="1"/>
    <n v="5"/>
    <x v="0"/>
  </r>
  <r>
    <n v="35"/>
    <s v="Yes"/>
    <s v="Travel_Rarely"/>
    <n v="737"/>
    <x v="0"/>
    <n v="10"/>
    <n v="3"/>
    <s v="Medical"/>
    <n v="1"/>
    <n v="1639"/>
    <n v="4"/>
    <s v="Male"/>
    <n v="55"/>
    <n v="2"/>
    <n v="3"/>
    <s v="Sales Executive"/>
    <n v="1"/>
    <s v="Married"/>
    <n v="10306"/>
    <n v="21530"/>
    <n v="9"/>
    <s v="Y"/>
    <s v="No"/>
    <n v="17"/>
    <n v="3"/>
    <n v="3"/>
    <n v="80"/>
    <n v="0"/>
    <n v="15"/>
    <n v="3"/>
    <n v="3"/>
    <n v="13"/>
    <n v="12"/>
    <n v="6"/>
    <n v="0"/>
    <s v="LAB-1639"/>
    <x v="0"/>
    <x v="0"/>
    <x v="0"/>
    <n v="13"/>
    <x v="0"/>
  </r>
  <r>
    <n v="37"/>
    <s v="No"/>
    <s v="Travel_Rarely"/>
    <n v="1470"/>
    <x v="1"/>
    <n v="10"/>
    <n v="3"/>
    <s v="Medical"/>
    <n v="1"/>
    <n v="1640"/>
    <n v="2"/>
    <s v="Female"/>
    <n v="71"/>
    <n v="3"/>
    <n v="1"/>
    <s v="Research Scientist"/>
    <n v="2"/>
    <s v="Married"/>
    <n v="3936"/>
    <n v="9953"/>
    <n v="1"/>
    <s v="Y"/>
    <s v="No"/>
    <n v="11"/>
    <n v="3"/>
    <n v="1"/>
    <n v="80"/>
    <n v="1"/>
    <n v="8"/>
    <n v="2"/>
    <n v="1"/>
    <n v="8"/>
    <n v="4"/>
    <n v="7"/>
    <n v="7"/>
    <s v="LAB-1640"/>
    <x v="1"/>
    <x v="1"/>
    <x v="1"/>
    <n v="8"/>
    <x v="0"/>
  </r>
  <r>
    <n v="40"/>
    <s v="No"/>
    <s v="Travel_Rarely"/>
    <n v="448"/>
    <x v="1"/>
    <n v="16"/>
    <n v="3"/>
    <s v="Life Sciences"/>
    <n v="1"/>
    <n v="1641"/>
    <n v="3"/>
    <s v="Female"/>
    <n v="84"/>
    <n v="3"/>
    <n v="3"/>
    <s v="Manufacturing Director"/>
    <n v="4"/>
    <s v="Single"/>
    <n v="7945"/>
    <n v="19948"/>
    <n v="6"/>
    <s v="Y"/>
    <s v="Yes"/>
    <n v="15"/>
    <n v="3"/>
    <n v="4"/>
    <n v="80"/>
    <n v="0"/>
    <n v="18"/>
    <n v="2"/>
    <n v="2"/>
    <n v="4"/>
    <n v="2"/>
    <n v="3"/>
    <n v="3"/>
    <s v="LAB-1641"/>
    <x v="3"/>
    <x v="1"/>
    <x v="1"/>
    <n v="4"/>
    <x v="0"/>
  </r>
  <r>
    <n v="44"/>
    <s v="No"/>
    <s v="Travel_Frequently"/>
    <n v="602"/>
    <x v="2"/>
    <n v="1"/>
    <n v="5"/>
    <s v="Human Resources"/>
    <n v="1"/>
    <n v="1642"/>
    <n v="1"/>
    <s v="Male"/>
    <n v="37"/>
    <n v="3"/>
    <n v="2"/>
    <s v="Human Resources"/>
    <n v="4"/>
    <s v="Married"/>
    <n v="5743"/>
    <n v="10503"/>
    <n v="4"/>
    <s v="Y"/>
    <s v="Yes"/>
    <n v="11"/>
    <n v="3"/>
    <n v="3"/>
    <n v="80"/>
    <n v="0"/>
    <n v="14"/>
    <n v="3"/>
    <n v="3"/>
    <n v="10"/>
    <n v="7"/>
    <n v="0"/>
    <n v="2"/>
    <s v="LAB-1642"/>
    <x v="8"/>
    <x v="2"/>
    <x v="1"/>
    <n v="10"/>
    <x v="0"/>
  </r>
  <r>
    <n v="48"/>
    <s v="No"/>
    <s v="Travel_Frequently"/>
    <n v="365"/>
    <x v="1"/>
    <n v="4"/>
    <n v="5"/>
    <s v="Medical"/>
    <n v="1"/>
    <n v="1644"/>
    <n v="3"/>
    <s v="Male"/>
    <n v="89"/>
    <n v="2"/>
    <n v="4"/>
    <s v="Manager"/>
    <n v="4"/>
    <s v="Married"/>
    <n v="15202"/>
    <n v="5602"/>
    <n v="2"/>
    <s v="Y"/>
    <s v="No"/>
    <n v="25"/>
    <n v="4"/>
    <n v="2"/>
    <n v="80"/>
    <n v="1"/>
    <n v="23"/>
    <n v="3"/>
    <n v="3"/>
    <n v="2"/>
    <n v="2"/>
    <n v="2"/>
    <n v="2"/>
    <s v="LAB-1644"/>
    <x v="5"/>
    <x v="1"/>
    <x v="1"/>
    <n v="2"/>
    <x v="0"/>
  </r>
  <r>
    <n v="35"/>
    <s v="Yes"/>
    <s v="Travel_Rarely"/>
    <n v="763"/>
    <x v="0"/>
    <n v="15"/>
    <n v="2"/>
    <s v="Medical"/>
    <n v="1"/>
    <n v="1645"/>
    <n v="1"/>
    <s v="Male"/>
    <n v="59"/>
    <n v="1"/>
    <n v="2"/>
    <s v="Sales Executive"/>
    <n v="4"/>
    <s v="Divorced"/>
    <n v="5440"/>
    <n v="22098"/>
    <n v="6"/>
    <s v="Y"/>
    <s v="Yes"/>
    <n v="14"/>
    <n v="3"/>
    <n v="4"/>
    <n v="80"/>
    <n v="2"/>
    <n v="7"/>
    <n v="2"/>
    <n v="2"/>
    <n v="2"/>
    <n v="2"/>
    <n v="2"/>
    <n v="2"/>
    <s v="LAB-1645"/>
    <x v="0"/>
    <x v="0"/>
    <x v="0"/>
    <n v="2"/>
    <x v="0"/>
  </r>
  <r>
    <n v="24"/>
    <s v="No"/>
    <s v="Travel_Frequently"/>
    <n v="567"/>
    <x v="1"/>
    <n v="2"/>
    <n v="1"/>
    <s v="Technical Degree"/>
    <n v="1"/>
    <n v="1646"/>
    <n v="1"/>
    <s v="Female"/>
    <n v="32"/>
    <n v="3"/>
    <n v="1"/>
    <s v="Research Scientist"/>
    <n v="4"/>
    <s v="Single"/>
    <n v="3760"/>
    <n v="17218"/>
    <n v="1"/>
    <s v="Y"/>
    <s v="Yes"/>
    <n v="13"/>
    <n v="3"/>
    <n v="3"/>
    <n v="80"/>
    <n v="0"/>
    <n v="6"/>
    <n v="2"/>
    <n v="3"/>
    <n v="6"/>
    <n v="3"/>
    <n v="1"/>
    <n v="3"/>
    <s v="LAB-1646"/>
    <x v="1"/>
    <x v="1"/>
    <x v="1"/>
    <n v="6"/>
    <x v="0"/>
  </r>
  <r>
    <n v="27"/>
    <s v="No"/>
    <s v="Travel_Rarely"/>
    <n v="486"/>
    <x v="1"/>
    <n v="8"/>
    <n v="3"/>
    <s v="Medical"/>
    <n v="1"/>
    <n v="1647"/>
    <n v="2"/>
    <s v="Female"/>
    <n v="86"/>
    <n v="4"/>
    <n v="1"/>
    <s v="Research Scientist"/>
    <n v="3"/>
    <s v="Married"/>
    <n v="3517"/>
    <n v="22490"/>
    <n v="7"/>
    <s v="Y"/>
    <s v="No"/>
    <n v="17"/>
    <n v="3"/>
    <n v="1"/>
    <n v="80"/>
    <n v="0"/>
    <n v="5"/>
    <n v="0"/>
    <n v="3"/>
    <n v="3"/>
    <n v="2"/>
    <n v="0"/>
    <n v="2"/>
    <s v="LAB-1647"/>
    <x v="1"/>
    <x v="1"/>
    <x v="1"/>
    <n v="3"/>
    <x v="0"/>
  </r>
  <r>
    <n v="27"/>
    <s v="No"/>
    <s v="Travel_Frequently"/>
    <n v="591"/>
    <x v="1"/>
    <n v="2"/>
    <n v="3"/>
    <s v="Medical"/>
    <n v="1"/>
    <n v="1648"/>
    <n v="4"/>
    <s v="Male"/>
    <n v="87"/>
    <n v="3"/>
    <n v="1"/>
    <s v="Research Scientist"/>
    <n v="4"/>
    <s v="Single"/>
    <n v="2580"/>
    <n v="6297"/>
    <n v="2"/>
    <s v="Y"/>
    <s v="No"/>
    <n v="13"/>
    <n v="3"/>
    <n v="3"/>
    <n v="80"/>
    <n v="0"/>
    <n v="6"/>
    <n v="0"/>
    <n v="2"/>
    <n v="4"/>
    <n v="2"/>
    <n v="1"/>
    <n v="2"/>
    <s v="LAB-1648"/>
    <x v="1"/>
    <x v="1"/>
    <x v="1"/>
    <n v="4"/>
    <x v="0"/>
  </r>
  <r>
    <n v="40"/>
    <s v="Yes"/>
    <s v="Travel_Rarely"/>
    <n v="1329"/>
    <x v="1"/>
    <n v="7"/>
    <n v="3"/>
    <s v="Life Sciences"/>
    <n v="1"/>
    <n v="1649"/>
    <n v="1"/>
    <s v="Male"/>
    <n v="73"/>
    <n v="3"/>
    <n v="1"/>
    <s v="Laboratory Technician"/>
    <n v="1"/>
    <s v="Single"/>
    <n v="2166"/>
    <n v="3339"/>
    <n v="3"/>
    <s v="Y"/>
    <s v="Yes"/>
    <n v="14"/>
    <n v="3"/>
    <n v="2"/>
    <n v="80"/>
    <n v="0"/>
    <n v="10"/>
    <n v="3"/>
    <n v="1"/>
    <n v="4"/>
    <n v="2"/>
    <n v="0"/>
    <n v="3"/>
    <s v="LAB-1649"/>
    <x v="2"/>
    <x v="1"/>
    <x v="0"/>
    <n v="4"/>
    <x v="0"/>
  </r>
  <r>
    <n v="29"/>
    <s v="No"/>
    <s v="Travel_Rarely"/>
    <n v="469"/>
    <x v="0"/>
    <n v="10"/>
    <n v="3"/>
    <s v="Medical"/>
    <n v="1"/>
    <n v="1650"/>
    <n v="3"/>
    <s v="Male"/>
    <n v="42"/>
    <n v="2"/>
    <n v="2"/>
    <s v="Sales Executive"/>
    <n v="3"/>
    <s v="Single"/>
    <n v="5869"/>
    <n v="23413"/>
    <n v="9"/>
    <s v="Y"/>
    <s v="No"/>
    <n v="11"/>
    <n v="3"/>
    <n v="3"/>
    <n v="80"/>
    <n v="0"/>
    <n v="8"/>
    <n v="2"/>
    <n v="3"/>
    <n v="5"/>
    <n v="2"/>
    <n v="1"/>
    <n v="4"/>
    <s v="LAB-1650"/>
    <x v="0"/>
    <x v="0"/>
    <x v="1"/>
    <n v="5"/>
    <x v="0"/>
  </r>
  <r>
    <n v="36"/>
    <s v="No"/>
    <s v="Travel_Rarely"/>
    <n v="711"/>
    <x v="1"/>
    <n v="5"/>
    <n v="4"/>
    <s v="Life Sciences"/>
    <n v="1"/>
    <n v="1651"/>
    <n v="2"/>
    <s v="Female"/>
    <n v="42"/>
    <n v="3"/>
    <n v="3"/>
    <s v="Healthcare Representative"/>
    <n v="1"/>
    <s v="Married"/>
    <n v="8008"/>
    <n v="22792"/>
    <n v="4"/>
    <s v="Y"/>
    <s v="No"/>
    <n v="12"/>
    <n v="3"/>
    <n v="3"/>
    <n v="80"/>
    <n v="2"/>
    <n v="9"/>
    <n v="6"/>
    <n v="3"/>
    <n v="3"/>
    <n v="2"/>
    <n v="0"/>
    <n v="2"/>
    <s v="LAB-1651"/>
    <x v="4"/>
    <x v="1"/>
    <x v="1"/>
    <n v="3"/>
    <x v="0"/>
  </r>
  <r>
    <n v="25"/>
    <s v="No"/>
    <s v="Travel_Frequently"/>
    <n v="772"/>
    <x v="1"/>
    <n v="2"/>
    <n v="1"/>
    <s v="Life Sciences"/>
    <n v="1"/>
    <n v="1653"/>
    <n v="4"/>
    <s v="Male"/>
    <n v="77"/>
    <n v="4"/>
    <n v="2"/>
    <s v="Manufacturing Director"/>
    <n v="3"/>
    <s v="Divorced"/>
    <n v="5206"/>
    <n v="4973"/>
    <n v="1"/>
    <s v="Y"/>
    <s v="No"/>
    <n v="17"/>
    <n v="3"/>
    <n v="3"/>
    <n v="80"/>
    <n v="2"/>
    <n v="7"/>
    <n v="6"/>
    <n v="3"/>
    <n v="7"/>
    <n v="7"/>
    <n v="0"/>
    <n v="7"/>
    <s v="LAB-1653"/>
    <x v="3"/>
    <x v="1"/>
    <x v="1"/>
    <n v="7"/>
    <x v="0"/>
  </r>
  <r>
    <n v="39"/>
    <s v="No"/>
    <s v="Travel_Rarely"/>
    <n v="492"/>
    <x v="1"/>
    <n v="12"/>
    <n v="3"/>
    <s v="Medical"/>
    <n v="1"/>
    <n v="1654"/>
    <n v="4"/>
    <s v="Male"/>
    <n v="66"/>
    <n v="3"/>
    <n v="2"/>
    <s v="Manufacturing Director"/>
    <n v="2"/>
    <s v="Married"/>
    <n v="5295"/>
    <n v="7693"/>
    <n v="4"/>
    <s v="Y"/>
    <s v="No"/>
    <n v="21"/>
    <n v="4"/>
    <n v="3"/>
    <n v="80"/>
    <n v="0"/>
    <n v="7"/>
    <n v="3"/>
    <n v="3"/>
    <n v="5"/>
    <n v="4"/>
    <n v="1"/>
    <n v="0"/>
    <s v="LAB-1654"/>
    <x v="3"/>
    <x v="1"/>
    <x v="1"/>
    <n v="5"/>
    <x v="0"/>
  </r>
  <r>
    <n v="49"/>
    <s v="No"/>
    <s v="Travel_Rarely"/>
    <n v="301"/>
    <x v="1"/>
    <n v="22"/>
    <n v="4"/>
    <s v="Other"/>
    <n v="1"/>
    <n v="1655"/>
    <n v="1"/>
    <s v="Female"/>
    <n v="72"/>
    <n v="3"/>
    <n v="4"/>
    <s v="Research Director"/>
    <n v="2"/>
    <s v="Married"/>
    <n v="16413"/>
    <n v="3498"/>
    <n v="3"/>
    <s v="Y"/>
    <s v="No"/>
    <n v="16"/>
    <n v="3"/>
    <n v="2"/>
    <n v="80"/>
    <n v="2"/>
    <n v="27"/>
    <n v="2"/>
    <n v="3"/>
    <n v="4"/>
    <n v="2"/>
    <n v="1"/>
    <n v="2"/>
    <s v="LAB-1655"/>
    <x v="7"/>
    <x v="1"/>
    <x v="1"/>
    <n v="4"/>
    <x v="0"/>
  </r>
  <r>
    <n v="50"/>
    <s v="No"/>
    <s v="Travel_Rarely"/>
    <n v="813"/>
    <x v="1"/>
    <n v="17"/>
    <n v="5"/>
    <s v="Life Sciences"/>
    <n v="1"/>
    <n v="1656"/>
    <n v="4"/>
    <s v="Female"/>
    <n v="50"/>
    <n v="2"/>
    <n v="3"/>
    <s v="Research Director"/>
    <n v="1"/>
    <s v="Divorced"/>
    <n v="13269"/>
    <n v="21981"/>
    <n v="5"/>
    <s v="Y"/>
    <s v="No"/>
    <n v="15"/>
    <n v="3"/>
    <n v="3"/>
    <n v="80"/>
    <n v="3"/>
    <n v="19"/>
    <n v="3"/>
    <n v="3"/>
    <n v="14"/>
    <n v="11"/>
    <n v="1"/>
    <n v="11"/>
    <s v="LAB-1656"/>
    <x v="7"/>
    <x v="1"/>
    <x v="1"/>
    <n v="14"/>
    <x v="0"/>
  </r>
  <r>
    <n v="20"/>
    <s v="No"/>
    <s v="Travel_Rarely"/>
    <n v="1141"/>
    <x v="0"/>
    <n v="2"/>
    <n v="3"/>
    <s v="Medical"/>
    <n v="1"/>
    <n v="1657"/>
    <n v="3"/>
    <s v="Female"/>
    <n v="31"/>
    <n v="3"/>
    <n v="1"/>
    <s v="Sales Representative"/>
    <n v="3"/>
    <s v="Single"/>
    <n v="2783"/>
    <n v="13251"/>
    <n v="1"/>
    <s v="Y"/>
    <s v="No"/>
    <n v="19"/>
    <n v="3"/>
    <n v="1"/>
    <n v="80"/>
    <n v="0"/>
    <n v="2"/>
    <n v="3"/>
    <n v="3"/>
    <n v="2"/>
    <n v="2"/>
    <n v="2"/>
    <n v="2"/>
    <s v="LAB-1657"/>
    <x v="6"/>
    <x v="0"/>
    <x v="1"/>
    <n v="2"/>
    <x v="0"/>
  </r>
  <r>
    <n v="34"/>
    <s v="No"/>
    <s v="Travel_Rarely"/>
    <n v="1130"/>
    <x v="1"/>
    <n v="3"/>
    <n v="3"/>
    <s v="Life Sciences"/>
    <n v="1"/>
    <n v="1658"/>
    <n v="4"/>
    <s v="Female"/>
    <n v="66"/>
    <n v="3"/>
    <n v="2"/>
    <s v="Research Scientist"/>
    <n v="2"/>
    <s v="Divorced"/>
    <n v="5433"/>
    <n v="19332"/>
    <n v="1"/>
    <s v="Y"/>
    <s v="No"/>
    <n v="12"/>
    <n v="3"/>
    <n v="3"/>
    <n v="80"/>
    <n v="1"/>
    <n v="11"/>
    <n v="2"/>
    <n v="3"/>
    <n v="11"/>
    <n v="8"/>
    <n v="7"/>
    <n v="9"/>
    <s v="LAB-1658"/>
    <x v="1"/>
    <x v="1"/>
    <x v="1"/>
    <n v="11"/>
    <x v="0"/>
  </r>
  <r>
    <n v="36"/>
    <s v="No"/>
    <s v="Travel_Rarely"/>
    <n v="311"/>
    <x v="1"/>
    <n v="7"/>
    <n v="3"/>
    <s v="Life Sciences"/>
    <n v="1"/>
    <n v="1659"/>
    <n v="1"/>
    <s v="Male"/>
    <n v="77"/>
    <n v="3"/>
    <n v="1"/>
    <s v="Laboratory Technician"/>
    <n v="2"/>
    <s v="Single"/>
    <n v="2013"/>
    <n v="10950"/>
    <n v="2"/>
    <s v="Y"/>
    <s v="No"/>
    <n v="11"/>
    <n v="3"/>
    <n v="3"/>
    <n v="80"/>
    <n v="0"/>
    <n v="15"/>
    <n v="4"/>
    <n v="3"/>
    <n v="4"/>
    <n v="3"/>
    <n v="1"/>
    <n v="3"/>
    <s v="LAB-1659"/>
    <x v="2"/>
    <x v="1"/>
    <x v="1"/>
    <n v="4"/>
    <x v="0"/>
  </r>
  <r>
    <n v="49"/>
    <s v="No"/>
    <s v="Travel_Rarely"/>
    <n v="465"/>
    <x v="1"/>
    <n v="6"/>
    <n v="1"/>
    <s v="Life Sciences"/>
    <n v="1"/>
    <n v="1661"/>
    <n v="3"/>
    <s v="Female"/>
    <n v="41"/>
    <n v="2"/>
    <n v="4"/>
    <s v="Healthcare Representative"/>
    <n v="3"/>
    <s v="Married"/>
    <n v="13966"/>
    <n v="11652"/>
    <n v="2"/>
    <s v="Y"/>
    <s v="Yes"/>
    <n v="19"/>
    <n v="3"/>
    <n v="2"/>
    <n v="80"/>
    <n v="1"/>
    <n v="30"/>
    <n v="3"/>
    <n v="3"/>
    <n v="15"/>
    <n v="11"/>
    <n v="2"/>
    <n v="12"/>
    <s v="LAB-1661"/>
    <x v="4"/>
    <x v="1"/>
    <x v="1"/>
    <n v="15"/>
    <x v="0"/>
  </r>
  <r>
    <n v="36"/>
    <s v="No"/>
    <s v="Non-Travel"/>
    <n v="894"/>
    <x v="1"/>
    <n v="1"/>
    <n v="4"/>
    <s v="Medical"/>
    <n v="1"/>
    <n v="1662"/>
    <n v="4"/>
    <s v="Female"/>
    <n v="33"/>
    <n v="2"/>
    <n v="2"/>
    <s v="Manufacturing Director"/>
    <n v="3"/>
    <s v="Married"/>
    <n v="4374"/>
    <n v="15411"/>
    <n v="0"/>
    <s v="Y"/>
    <s v="No"/>
    <n v="15"/>
    <n v="3"/>
    <n v="3"/>
    <n v="80"/>
    <n v="0"/>
    <n v="4"/>
    <n v="6"/>
    <n v="3"/>
    <n v="3"/>
    <n v="2"/>
    <n v="1"/>
    <n v="2"/>
    <s v="LAB-1662"/>
    <x v="3"/>
    <x v="1"/>
    <x v="1"/>
    <n v="3"/>
    <x v="0"/>
  </r>
  <r>
    <n v="36"/>
    <s v="No"/>
    <s v="Travel_Rarely"/>
    <n v="1040"/>
    <x v="1"/>
    <n v="3"/>
    <n v="2"/>
    <s v="Life Sciences"/>
    <n v="1"/>
    <n v="1664"/>
    <n v="4"/>
    <s v="Male"/>
    <n v="79"/>
    <n v="4"/>
    <n v="2"/>
    <s v="Healthcare Representative"/>
    <n v="1"/>
    <s v="Divorced"/>
    <n v="6842"/>
    <n v="26308"/>
    <n v="6"/>
    <s v="Y"/>
    <s v="No"/>
    <n v="20"/>
    <n v="4"/>
    <n v="1"/>
    <n v="80"/>
    <n v="1"/>
    <n v="13"/>
    <n v="3"/>
    <n v="3"/>
    <n v="5"/>
    <n v="4"/>
    <n v="0"/>
    <n v="4"/>
    <s v="LAB-1664"/>
    <x v="4"/>
    <x v="1"/>
    <x v="1"/>
    <n v="5"/>
    <x v="0"/>
  </r>
  <r>
    <n v="54"/>
    <s v="No"/>
    <s v="Travel_Rarely"/>
    <n v="584"/>
    <x v="1"/>
    <n v="22"/>
    <n v="5"/>
    <s v="Medical"/>
    <n v="1"/>
    <n v="1665"/>
    <n v="2"/>
    <s v="Female"/>
    <n v="91"/>
    <n v="3"/>
    <n v="4"/>
    <s v="Manager"/>
    <n v="3"/>
    <s v="Married"/>
    <n v="17426"/>
    <n v="18685"/>
    <n v="3"/>
    <s v="Y"/>
    <s v="No"/>
    <n v="25"/>
    <n v="4"/>
    <n v="3"/>
    <n v="80"/>
    <n v="1"/>
    <n v="36"/>
    <n v="6"/>
    <n v="3"/>
    <n v="10"/>
    <n v="8"/>
    <n v="4"/>
    <n v="7"/>
    <s v="LAB-1665"/>
    <x v="5"/>
    <x v="1"/>
    <x v="1"/>
    <n v="10"/>
    <x v="0"/>
  </r>
  <r>
    <n v="43"/>
    <s v="No"/>
    <s v="Travel_Rarely"/>
    <n v="1291"/>
    <x v="1"/>
    <n v="15"/>
    <n v="2"/>
    <s v="Life Sciences"/>
    <n v="1"/>
    <n v="1666"/>
    <n v="3"/>
    <s v="Male"/>
    <n v="65"/>
    <n v="2"/>
    <n v="4"/>
    <s v="Research Director"/>
    <n v="3"/>
    <s v="Married"/>
    <n v="17603"/>
    <n v="3525"/>
    <n v="1"/>
    <s v="Y"/>
    <s v="No"/>
    <n v="24"/>
    <n v="4"/>
    <n v="1"/>
    <n v="80"/>
    <n v="1"/>
    <n v="14"/>
    <n v="3"/>
    <n v="3"/>
    <n v="14"/>
    <n v="10"/>
    <n v="6"/>
    <n v="11"/>
    <s v="LAB-1666"/>
    <x v="7"/>
    <x v="1"/>
    <x v="1"/>
    <n v="14"/>
    <x v="0"/>
  </r>
  <r>
    <n v="35"/>
    <s v="Yes"/>
    <s v="Travel_Frequently"/>
    <n v="880"/>
    <x v="0"/>
    <n v="12"/>
    <n v="4"/>
    <s v="Other"/>
    <n v="1"/>
    <n v="1667"/>
    <n v="4"/>
    <s v="Male"/>
    <n v="36"/>
    <n v="3"/>
    <n v="2"/>
    <s v="Sales Executive"/>
    <n v="4"/>
    <s v="Single"/>
    <n v="4581"/>
    <n v="10414"/>
    <n v="3"/>
    <s v="Y"/>
    <s v="Yes"/>
    <n v="24"/>
    <n v="4"/>
    <n v="1"/>
    <n v="80"/>
    <n v="0"/>
    <n v="13"/>
    <n v="2"/>
    <n v="4"/>
    <n v="11"/>
    <n v="9"/>
    <n v="6"/>
    <n v="7"/>
    <s v="LAB-1667"/>
    <x v="0"/>
    <x v="0"/>
    <x v="0"/>
    <n v="11"/>
    <x v="0"/>
  </r>
  <r>
    <n v="38"/>
    <s v="No"/>
    <s v="Travel_Frequently"/>
    <n v="1189"/>
    <x v="1"/>
    <n v="1"/>
    <n v="3"/>
    <s v="Life Sciences"/>
    <n v="1"/>
    <n v="1668"/>
    <n v="4"/>
    <s v="Male"/>
    <n v="90"/>
    <n v="3"/>
    <n v="2"/>
    <s v="Research Scientist"/>
    <n v="4"/>
    <s v="Married"/>
    <n v="4735"/>
    <n v="9867"/>
    <n v="7"/>
    <s v="Y"/>
    <s v="No"/>
    <n v="15"/>
    <n v="3"/>
    <n v="4"/>
    <n v="80"/>
    <n v="2"/>
    <n v="19"/>
    <n v="4"/>
    <n v="4"/>
    <n v="13"/>
    <n v="11"/>
    <n v="2"/>
    <n v="9"/>
    <s v="LAB-1668"/>
    <x v="1"/>
    <x v="1"/>
    <x v="1"/>
    <n v="13"/>
    <x v="0"/>
  </r>
  <r>
    <n v="29"/>
    <s v="No"/>
    <s v="Travel_Rarely"/>
    <n v="991"/>
    <x v="0"/>
    <n v="5"/>
    <n v="3"/>
    <s v="Medical"/>
    <n v="1"/>
    <n v="1669"/>
    <n v="1"/>
    <s v="Male"/>
    <n v="43"/>
    <n v="2"/>
    <n v="2"/>
    <s v="Sales Executive"/>
    <n v="2"/>
    <s v="Divorced"/>
    <n v="4187"/>
    <n v="3356"/>
    <n v="1"/>
    <s v="Y"/>
    <s v="Yes"/>
    <n v="13"/>
    <n v="3"/>
    <n v="2"/>
    <n v="80"/>
    <n v="1"/>
    <n v="10"/>
    <n v="3"/>
    <n v="2"/>
    <n v="10"/>
    <n v="0"/>
    <n v="0"/>
    <n v="9"/>
    <s v="LAB-1669"/>
    <x v="0"/>
    <x v="0"/>
    <x v="1"/>
    <n v="10"/>
    <x v="0"/>
  </r>
  <r>
    <n v="33"/>
    <s v="No"/>
    <s v="Travel_Rarely"/>
    <n v="392"/>
    <x v="0"/>
    <n v="2"/>
    <n v="4"/>
    <s v="Medical"/>
    <n v="1"/>
    <n v="1670"/>
    <n v="4"/>
    <s v="Male"/>
    <n v="93"/>
    <n v="3"/>
    <n v="2"/>
    <s v="Sales Executive"/>
    <n v="4"/>
    <s v="Divorced"/>
    <n v="5505"/>
    <n v="3921"/>
    <n v="1"/>
    <s v="Y"/>
    <s v="No"/>
    <n v="14"/>
    <n v="3"/>
    <n v="3"/>
    <n v="80"/>
    <n v="2"/>
    <n v="6"/>
    <n v="5"/>
    <n v="3"/>
    <n v="6"/>
    <n v="2"/>
    <n v="0"/>
    <n v="4"/>
    <s v="LAB-1670"/>
    <x v="0"/>
    <x v="0"/>
    <x v="1"/>
    <n v="6"/>
    <x v="0"/>
  </r>
  <r>
    <n v="32"/>
    <s v="No"/>
    <s v="Travel_Rarely"/>
    <n v="977"/>
    <x v="1"/>
    <n v="2"/>
    <n v="3"/>
    <s v="Medical"/>
    <n v="1"/>
    <n v="1671"/>
    <n v="4"/>
    <s v="Male"/>
    <n v="45"/>
    <n v="3"/>
    <n v="2"/>
    <s v="Research Scientist"/>
    <n v="2"/>
    <s v="Divorced"/>
    <n v="5470"/>
    <n v="25518"/>
    <n v="0"/>
    <s v="Y"/>
    <s v="No"/>
    <n v="13"/>
    <n v="3"/>
    <n v="3"/>
    <n v="80"/>
    <n v="2"/>
    <n v="10"/>
    <n v="4"/>
    <n v="2"/>
    <n v="9"/>
    <n v="5"/>
    <n v="1"/>
    <n v="6"/>
    <s v="LAB-1671"/>
    <x v="1"/>
    <x v="1"/>
    <x v="1"/>
    <n v="9"/>
    <x v="0"/>
  </r>
  <r>
    <n v="31"/>
    <s v="No"/>
    <s v="Travel_Rarely"/>
    <n v="1112"/>
    <x v="0"/>
    <n v="5"/>
    <n v="4"/>
    <s v="Life Sciences"/>
    <n v="1"/>
    <n v="1673"/>
    <n v="1"/>
    <s v="Female"/>
    <n v="67"/>
    <n v="3"/>
    <n v="2"/>
    <s v="Sales Executive"/>
    <n v="4"/>
    <s v="Married"/>
    <n v="5476"/>
    <n v="22589"/>
    <n v="1"/>
    <s v="Y"/>
    <s v="No"/>
    <n v="11"/>
    <n v="3"/>
    <n v="1"/>
    <n v="80"/>
    <n v="2"/>
    <n v="10"/>
    <n v="2"/>
    <n v="3"/>
    <n v="10"/>
    <n v="0"/>
    <n v="0"/>
    <n v="2"/>
    <s v="LAB-1673"/>
    <x v="0"/>
    <x v="0"/>
    <x v="1"/>
    <n v="10"/>
    <x v="0"/>
  </r>
  <r>
    <n v="49"/>
    <s v="No"/>
    <s v="Travel_Rarely"/>
    <n v="464"/>
    <x v="1"/>
    <n v="16"/>
    <n v="3"/>
    <s v="Medical"/>
    <n v="1"/>
    <n v="1674"/>
    <n v="4"/>
    <s v="Female"/>
    <n v="74"/>
    <n v="3"/>
    <n v="1"/>
    <s v="Laboratory Technician"/>
    <n v="1"/>
    <s v="Divorced"/>
    <n v="2587"/>
    <n v="24941"/>
    <n v="4"/>
    <s v="Y"/>
    <s v="Yes"/>
    <n v="16"/>
    <n v="3"/>
    <n v="2"/>
    <n v="80"/>
    <n v="1"/>
    <n v="17"/>
    <n v="2"/>
    <n v="2"/>
    <n v="2"/>
    <n v="2"/>
    <n v="2"/>
    <n v="2"/>
    <s v="LAB-1674"/>
    <x v="2"/>
    <x v="1"/>
    <x v="1"/>
    <n v="2"/>
    <x v="0"/>
  </r>
  <r>
    <n v="38"/>
    <s v="No"/>
    <s v="Travel_Frequently"/>
    <n v="148"/>
    <x v="1"/>
    <n v="2"/>
    <n v="3"/>
    <s v="Medical"/>
    <n v="1"/>
    <n v="1675"/>
    <n v="4"/>
    <s v="Female"/>
    <n v="42"/>
    <n v="2"/>
    <n v="1"/>
    <s v="Laboratory Technician"/>
    <n v="2"/>
    <s v="Single"/>
    <n v="2440"/>
    <n v="23826"/>
    <n v="1"/>
    <s v="Y"/>
    <s v="No"/>
    <n v="22"/>
    <n v="4"/>
    <n v="2"/>
    <n v="80"/>
    <n v="0"/>
    <n v="4"/>
    <n v="3"/>
    <n v="3"/>
    <n v="4"/>
    <n v="3"/>
    <n v="3"/>
    <n v="3"/>
    <s v="LAB-1675"/>
    <x v="2"/>
    <x v="1"/>
    <x v="1"/>
    <n v="4"/>
    <x v="0"/>
  </r>
  <r>
    <n v="47"/>
    <s v="No"/>
    <s v="Travel_Rarely"/>
    <n v="1225"/>
    <x v="0"/>
    <n v="2"/>
    <n v="4"/>
    <s v="Life Sciences"/>
    <n v="1"/>
    <n v="1676"/>
    <n v="2"/>
    <s v="Female"/>
    <n v="47"/>
    <n v="4"/>
    <n v="4"/>
    <s v="Manager"/>
    <n v="2"/>
    <s v="Divorced"/>
    <n v="15972"/>
    <n v="21086"/>
    <n v="6"/>
    <s v="Y"/>
    <s v="No"/>
    <n v="14"/>
    <n v="3"/>
    <n v="3"/>
    <n v="80"/>
    <n v="3"/>
    <n v="29"/>
    <n v="2"/>
    <n v="3"/>
    <n v="3"/>
    <n v="2"/>
    <n v="1"/>
    <n v="2"/>
    <s v="LAB-1676"/>
    <x v="5"/>
    <x v="0"/>
    <x v="1"/>
    <n v="3"/>
    <x v="0"/>
  </r>
  <r>
    <n v="49"/>
    <s v="No"/>
    <s v="Travel_Rarely"/>
    <n v="809"/>
    <x v="1"/>
    <n v="1"/>
    <n v="3"/>
    <s v="Life Sciences"/>
    <n v="1"/>
    <n v="1677"/>
    <n v="3"/>
    <s v="Male"/>
    <n v="36"/>
    <n v="3"/>
    <n v="4"/>
    <s v="Manager"/>
    <n v="3"/>
    <s v="Single"/>
    <n v="15379"/>
    <n v="22384"/>
    <n v="4"/>
    <s v="Y"/>
    <s v="No"/>
    <n v="14"/>
    <n v="3"/>
    <n v="1"/>
    <n v="80"/>
    <n v="0"/>
    <n v="23"/>
    <n v="2"/>
    <n v="3"/>
    <n v="8"/>
    <n v="7"/>
    <n v="0"/>
    <n v="0"/>
    <s v="LAB-1677"/>
    <x v="5"/>
    <x v="1"/>
    <x v="1"/>
    <n v="8"/>
    <x v="0"/>
  </r>
  <r>
    <n v="41"/>
    <s v="No"/>
    <s v="Travel_Rarely"/>
    <n v="1206"/>
    <x v="0"/>
    <n v="23"/>
    <n v="2"/>
    <s v="Life Sciences"/>
    <n v="1"/>
    <n v="1678"/>
    <n v="4"/>
    <s v="Male"/>
    <n v="80"/>
    <n v="3"/>
    <n v="3"/>
    <s v="Sales Executive"/>
    <n v="3"/>
    <s v="Single"/>
    <n v="7082"/>
    <n v="11591"/>
    <n v="3"/>
    <s v="Y"/>
    <s v="Yes"/>
    <n v="16"/>
    <n v="3"/>
    <n v="4"/>
    <n v="80"/>
    <n v="0"/>
    <n v="21"/>
    <n v="2"/>
    <n v="3"/>
    <n v="2"/>
    <n v="0"/>
    <n v="0"/>
    <n v="2"/>
    <s v="LAB-1678"/>
    <x v="0"/>
    <x v="0"/>
    <x v="1"/>
    <n v="2"/>
    <x v="0"/>
  </r>
  <r>
    <n v="20"/>
    <s v="No"/>
    <s v="Travel_Rarely"/>
    <n v="727"/>
    <x v="0"/>
    <n v="9"/>
    <n v="1"/>
    <s v="Life Sciences"/>
    <n v="1"/>
    <n v="1680"/>
    <n v="4"/>
    <s v="Male"/>
    <n v="54"/>
    <n v="3"/>
    <n v="1"/>
    <s v="Sales Representative"/>
    <n v="1"/>
    <s v="Single"/>
    <n v="2728"/>
    <n v="21082"/>
    <n v="1"/>
    <s v="Y"/>
    <s v="No"/>
    <n v="11"/>
    <n v="3"/>
    <n v="1"/>
    <n v="80"/>
    <n v="0"/>
    <n v="2"/>
    <n v="3"/>
    <n v="3"/>
    <n v="2"/>
    <n v="2"/>
    <n v="0"/>
    <n v="2"/>
    <s v="LAB-1680"/>
    <x v="6"/>
    <x v="0"/>
    <x v="1"/>
    <n v="2"/>
    <x v="0"/>
  </r>
  <r>
    <n v="33"/>
    <s v="No"/>
    <s v="Non-Travel"/>
    <n v="530"/>
    <x v="0"/>
    <n v="16"/>
    <n v="3"/>
    <s v="Life Sciences"/>
    <n v="1"/>
    <n v="1681"/>
    <n v="3"/>
    <s v="Female"/>
    <n v="36"/>
    <n v="3"/>
    <n v="2"/>
    <s v="Sales Executive"/>
    <n v="4"/>
    <s v="Divorced"/>
    <n v="5368"/>
    <n v="16130"/>
    <n v="1"/>
    <s v="Y"/>
    <s v="Yes"/>
    <n v="25"/>
    <n v="4"/>
    <n v="3"/>
    <n v="80"/>
    <n v="1"/>
    <n v="7"/>
    <n v="2"/>
    <n v="3"/>
    <n v="6"/>
    <n v="5"/>
    <n v="1"/>
    <n v="2"/>
    <s v="LAB-1681"/>
    <x v="0"/>
    <x v="0"/>
    <x v="1"/>
    <n v="6"/>
    <x v="0"/>
  </r>
  <r>
    <n v="36"/>
    <s v="No"/>
    <s v="Travel_Rarely"/>
    <n v="1351"/>
    <x v="1"/>
    <n v="26"/>
    <n v="4"/>
    <s v="Life Sciences"/>
    <n v="1"/>
    <n v="1682"/>
    <n v="1"/>
    <s v="Male"/>
    <n v="80"/>
    <n v="3"/>
    <n v="2"/>
    <s v="Healthcare Representative"/>
    <n v="3"/>
    <s v="Married"/>
    <n v="5347"/>
    <n v="7419"/>
    <n v="6"/>
    <s v="Y"/>
    <s v="No"/>
    <n v="14"/>
    <n v="3"/>
    <n v="2"/>
    <n v="80"/>
    <n v="2"/>
    <n v="10"/>
    <n v="2"/>
    <n v="2"/>
    <n v="3"/>
    <n v="2"/>
    <n v="0"/>
    <n v="2"/>
    <s v="LAB-1682"/>
    <x v="4"/>
    <x v="1"/>
    <x v="1"/>
    <n v="3"/>
    <x v="0"/>
  </r>
  <r>
    <n v="44"/>
    <s v="No"/>
    <s v="Travel_Rarely"/>
    <n v="528"/>
    <x v="2"/>
    <n v="1"/>
    <n v="3"/>
    <s v="Life Sciences"/>
    <n v="1"/>
    <n v="1683"/>
    <n v="3"/>
    <s v="Female"/>
    <n v="44"/>
    <n v="3"/>
    <n v="1"/>
    <s v="Human Resources"/>
    <n v="4"/>
    <s v="Divorced"/>
    <n v="3195"/>
    <n v="4167"/>
    <n v="4"/>
    <s v="Y"/>
    <s v="Yes"/>
    <n v="18"/>
    <n v="3"/>
    <n v="1"/>
    <n v="80"/>
    <n v="3"/>
    <n v="8"/>
    <n v="2"/>
    <n v="3"/>
    <n v="2"/>
    <n v="2"/>
    <n v="2"/>
    <n v="2"/>
    <s v="LAB-1683"/>
    <x v="8"/>
    <x v="2"/>
    <x v="1"/>
    <n v="2"/>
    <x v="0"/>
  </r>
  <r>
    <n v="23"/>
    <s v="Yes"/>
    <s v="Travel_Rarely"/>
    <n v="1320"/>
    <x v="1"/>
    <n v="8"/>
    <n v="1"/>
    <s v="Medical"/>
    <n v="1"/>
    <n v="1684"/>
    <n v="4"/>
    <s v="Male"/>
    <n v="93"/>
    <n v="2"/>
    <n v="1"/>
    <s v="Laboratory Technician"/>
    <n v="3"/>
    <s v="Single"/>
    <n v="3989"/>
    <n v="20586"/>
    <n v="1"/>
    <s v="Y"/>
    <s v="Yes"/>
    <n v="11"/>
    <n v="3"/>
    <n v="1"/>
    <n v="80"/>
    <n v="0"/>
    <n v="5"/>
    <n v="2"/>
    <n v="3"/>
    <n v="5"/>
    <n v="4"/>
    <n v="1"/>
    <n v="2"/>
    <s v="LAB-1684"/>
    <x v="2"/>
    <x v="1"/>
    <x v="0"/>
    <n v="5"/>
    <x v="0"/>
  </r>
  <r>
    <n v="38"/>
    <s v="No"/>
    <s v="Travel_Rarely"/>
    <n v="1495"/>
    <x v="1"/>
    <n v="4"/>
    <n v="2"/>
    <s v="Medical"/>
    <n v="1"/>
    <n v="1687"/>
    <n v="4"/>
    <s v="Female"/>
    <n v="87"/>
    <n v="3"/>
    <n v="1"/>
    <s v="Laboratory Technician"/>
    <n v="3"/>
    <s v="Married"/>
    <n v="3306"/>
    <n v="26176"/>
    <n v="7"/>
    <s v="Y"/>
    <s v="No"/>
    <n v="19"/>
    <n v="3"/>
    <n v="4"/>
    <n v="80"/>
    <n v="1"/>
    <n v="7"/>
    <n v="5"/>
    <n v="2"/>
    <n v="0"/>
    <n v="0"/>
    <n v="0"/>
    <n v="0"/>
    <s v="LAB-1687"/>
    <x v="2"/>
    <x v="1"/>
    <x v="1"/>
    <n v="0"/>
    <x v="0"/>
  </r>
  <r>
    <n v="53"/>
    <s v="No"/>
    <s v="Travel_Rarely"/>
    <n v="1395"/>
    <x v="1"/>
    <n v="24"/>
    <n v="4"/>
    <s v="Medical"/>
    <n v="1"/>
    <n v="1689"/>
    <n v="2"/>
    <s v="Male"/>
    <n v="48"/>
    <n v="4"/>
    <n v="3"/>
    <s v="Healthcare Representative"/>
    <n v="4"/>
    <s v="Married"/>
    <n v="7005"/>
    <n v="3458"/>
    <n v="3"/>
    <s v="Y"/>
    <s v="No"/>
    <n v="15"/>
    <n v="3"/>
    <n v="3"/>
    <n v="80"/>
    <n v="0"/>
    <n v="11"/>
    <n v="2"/>
    <n v="3"/>
    <n v="4"/>
    <n v="3"/>
    <n v="1"/>
    <n v="2"/>
    <s v="LAB-1689"/>
    <x v="4"/>
    <x v="1"/>
    <x v="1"/>
    <n v="4"/>
    <x v="0"/>
  </r>
  <r>
    <n v="48"/>
    <s v="Yes"/>
    <s v="Travel_Frequently"/>
    <n v="708"/>
    <x v="0"/>
    <n v="7"/>
    <n v="2"/>
    <s v="Medical"/>
    <n v="1"/>
    <n v="1691"/>
    <n v="4"/>
    <s v="Female"/>
    <n v="95"/>
    <n v="3"/>
    <n v="1"/>
    <s v="Sales Representative"/>
    <n v="3"/>
    <s v="Married"/>
    <n v="2655"/>
    <n v="11740"/>
    <n v="2"/>
    <s v="Y"/>
    <s v="Yes"/>
    <n v="11"/>
    <n v="3"/>
    <n v="3"/>
    <n v="80"/>
    <n v="2"/>
    <n v="19"/>
    <n v="3"/>
    <n v="3"/>
    <n v="9"/>
    <n v="7"/>
    <n v="7"/>
    <n v="7"/>
    <s v="LAB-1691"/>
    <x v="6"/>
    <x v="0"/>
    <x v="0"/>
    <n v="9"/>
    <x v="0"/>
  </r>
  <r>
    <n v="32"/>
    <s v="Yes"/>
    <s v="Travel_Rarely"/>
    <n v="1259"/>
    <x v="1"/>
    <n v="2"/>
    <n v="4"/>
    <s v="Life Sciences"/>
    <n v="1"/>
    <n v="1692"/>
    <n v="4"/>
    <s v="Male"/>
    <n v="95"/>
    <n v="3"/>
    <n v="1"/>
    <s v="Laboratory Technician"/>
    <n v="2"/>
    <s v="Single"/>
    <n v="1393"/>
    <n v="24852"/>
    <n v="1"/>
    <s v="Y"/>
    <s v="No"/>
    <n v="12"/>
    <n v="3"/>
    <n v="1"/>
    <n v="80"/>
    <n v="0"/>
    <n v="1"/>
    <n v="2"/>
    <n v="3"/>
    <n v="1"/>
    <n v="0"/>
    <n v="0"/>
    <n v="0"/>
    <s v="LAB-1692"/>
    <x v="2"/>
    <x v="1"/>
    <x v="0"/>
    <n v="1"/>
    <x v="0"/>
  </r>
  <r>
    <n v="26"/>
    <s v="No"/>
    <s v="Non-Travel"/>
    <n v="786"/>
    <x v="1"/>
    <n v="7"/>
    <n v="3"/>
    <s v="Medical"/>
    <n v="1"/>
    <n v="1693"/>
    <n v="4"/>
    <s v="Male"/>
    <n v="76"/>
    <n v="3"/>
    <n v="1"/>
    <s v="Laboratory Technician"/>
    <n v="4"/>
    <s v="Single"/>
    <n v="2570"/>
    <n v="11925"/>
    <n v="1"/>
    <s v="Y"/>
    <s v="No"/>
    <n v="20"/>
    <n v="4"/>
    <n v="3"/>
    <n v="80"/>
    <n v="0"/>
    <n v="7"/>
    <n v="5"/>
    <n v="3"/>
    <n v="7"/>
    <n v="7"/>
    <n v="5"/>
    <n v="7"/>
    <s v="LAB-1693"/>
    <x v="2"/>
    <x v="1"/>
    <x v="1"/>
    <n v="7"/>
    <x v="0"/>
  </r>
  <r>
    <n v="55"/>
    <s v="No"/>
    <s v="Travel_Rarely"/>
    <n v="1441"/>
    <x v="1"/>
    <n v="22"/>
    <n v="3"/>
    <s v="Technical Degree"/>
    <n v="1"/>
    <n v="1694"/>
    <n v="1"/>
    <s v="Male"/>
    <n v="94"/>
    <n v="2"/>
    <n v="1"/>
    <s v="Research Scientist"/>
    <n v="2"/>
    <s v="Divorced"/>
    <n v="3537"/>
    <n v="23737"/>
    <n v="5"/>
    <s v="Y"/>
    <s v="No"/>
    <n v="12"/>
    <n v="3"/>
    <n v="4"/>
    <n v="80"/>
    <n v="1"/>
    <n v="8"/>
    <n v="1"/>
    <n v="3"/>
    <n v="4"/>
    <n v="2"/>
    <n v="1"/>
    <n v="2"/>
    <s v="LAB-1694"/>
    <x v="1"/>
    <x v="1"/>
    <x v="1"/>
    <n v="4"/>
    <x v="0"/>
  </r>
  <r>
    <n v="34"/>
    <s v="No"/>
    <s v="Travel_Rarely"/>
    <n v="1157"/>
    <x v="1"/>
    <n v="5"/>
    <n v="2"/>
    <s v="Medical"/>
    <n v="1"/>
    <n v="1696"/>
    <n v="2"/>
    <s v="Male"/>
    <n v="57"/>
    <n v="2"/>
    <n v="2"/>
    <s v="Laboratory Technician"/>
    <n v="4"/>
    <s v="Married"/>
    <n v="3986"/>
    <n v="11912"/>
    <n v="1"/>
    <s v="Y"/>
    <s v="No"/>
    <n v="14"/>
    <n v="3"/>
    <n v="3"/>
    <n v="80"/>
    <n v="1"/>
    <n v="15"/>
    <n v="3"/>
    <n v="4"/>
    <n v="15"/>
    <n v="10"/>
    <n v="4"/>
    <n v="13"/>
    <s v="LAB-1696"/>
    <x v="2"/>
    <x v="1"/>
    <x v="1"/>
    <n v="15"/>
    <x v="0"/>
  </r>
  <r>
    <n v="60"/>
    <s v="No"/>
    <s v="Travel_Rarely"/>
    <n v="370"/>
    <x v="1"/>
    <n v="1"/>
    <n v="4"/>
    <s v="Medical"/>
    <n v="1"/>
    <n v="1697"/>
    <n v="3"/>
    <s v="Male"/>
    <n v="92"/>
    <n v="1"/>
    <n v="3"/>
    <s v="Healthcare Representative"/>
    <n v="4"/>
    <s v="Divorced"/>
    <n v="10883"/>
    <n v="20467"/>
    <n v="3"/>
    <s v="Y"/>
    <s v="No"/>
    <n v="20"/>
    <n v="4"/>
    <n v="3"/>
    <n v="80"/>
    <n v="1"/>
    <n v="19"/>
    <n v="2"/>
    <n v="4"/>
    <n v="1"/>
    <n v="0"/>
    <n v="0"/>
    <n v="0"/>
    <s v="LAB-1697"/>
    <x v="4"/>
    <x v="1"/>
    <x v="1"/>
    <n v="1"/>
    <x v="0"/>
  </r>
  <r>
    <n v="33"/>
    <s v="No"/>
    <s v="Travel_Rarely"/>
    <n v="267"/>
    <x v="1"/>
    <n v="21"/>
    <n v="3"/>
    <s v="Medical"/>
    <n v="1"/>
    <n v="1698"/>
    <n v="2"/>
    <s v="Male"/>
    <n v="79"/>
    <n v="4"/>
    <n v="1"/>
    <s v="Laboratory Technician"/>
    <n v="2"/>
    <s v="Married"/>
    <n v="2028"/>
    <n v="13637"/>
    <n v="1"/>
    <s v="Y"/>
    <s v="No"/>
    <n v="18"/>
    <n v="3"/>
    <n v="4"/>
    <n v="80"/>
    <n v="3"/>
    <n v="14"/>
    <n v="6"/>
    <n v="3"/>
    <n v="14"/>
    <n v="11"/>
    <n v="2"/>
    <n v="13"/>
    <s v="LAB-1698"/>
    <x v="2"/>
    <x v="1"/>
    <x v="1"/>
    <n v="14"/>
    <x v="0"/>
  </r>
  <r>
    <n v="37"/>
    <s v="No"/>
    <s v="Travel_Frequently"/>
    <n v="1278"/>
    <x v="0"/>
    <n v="1"/>
    <n v="4"/>
    <s v="Medical"/>
    <n v="1"/>
    <n v="1700"/>
    <n v="3"/>
    <s v="Male"/>
    <n v="31"/>
    <n v="1"/>
    <n v="2"/>
    <s v="Sales Executive"/>
    <n v="4"/>
    <s v="Divorced"/>
    <n v="9525"/>
    <n v="7677"/>
    <n v="1"/>
    <s v="Y"/>
    <s v="No"/>
    <n v="14"/>
    <n v="3"/>
    <n v="3"/>
    <n v="80"/>
    <n v="2"/>
    <n v="6"/>
    <n v="2"/>
    <n v="2"/>
    <n v="6"/>
    <n v="3"/>
    <n v="1"/>
    <n v="3"/>
    <s v="LAB-1700"/>
    <x v="0"/>
    <x v="0"/>
    <x v="1"/>
    <n v="6"/>
    <x v="0"/>
  </r>
  <r>
    <n v="34"/>
    <s v="No"/>
    <s v="Travel_Rarely"/>
    <n v="678"/>
    <x v="1"/>
    <n v="19"/>
    <n v="3"/>
    <s v="Life Sciences"/>
    <n v="1"/>
    <n v="1701"/>
    <n v="2"/>
    <s v="Female"/>
    <n v="35"/>
    <n v="2"/>
    <n v="1"/>
    <s v="Research Scientist"/>
    <n v="4"/>
    <s v="Married"/>
    <n v="2929"/>
    <n v="20338"/>
    <n v="1"/>
    <s v="Y"/>
    <s v="No"/>
    <n v="12"/>
    <n v="3"/>
    <n v="2"/>
    <n v="80"/>
    <n v="0"/>
    <n v="10"/>
    <n v="3"/>
    <n v="3"/>
    <n v="10"/>
    <n v="9"/>
    <n v="8"/>
    <n v="7"/>
    <s v="LAB-1701"/>
    <x v="1"/>
    <x v="1"/>
    <x v="1"/>
    <n v="10"/>
    <x v="0"/>
  </r>
  <r>
    <n v="23"/>
    <s v="Yes"/>
    <s v="Travel_Rarely"/>
    <n v="427"/>
    <x v="0"/>
    <n v="7"/>
    <n v="3"/>
    <s v="Life Sciences"/>
    <n v="1"/>
    <n v="1702"/>
    <n v="3"/>
    <s v="Male"/>
    <n v="99"/>
    <n v="3"/>
    <n v="1"/>
    <s v="Sales Representative"/>
    <n v="4"/>
    <s v="Divorced"/>
    <n v="2275"/>
    <n v="25103"/>
    <n v="1"/>
    <s v="Y"/>
    <s v="Yes"/>
    <n v="21"/>
    <n v="4"/>
    <n v="2"/>
    <n v="80"/>
    <n v="1"/>
    <n v="3"/>
    <n v="2"/>
    <n v="3"/>
    <n v="3"/>
    <n v="2"/>
    <n v="0"/>
    <n v="2"/>
    <s v="LAB-1702"/>
    <x v="6"/>
    <x v="0"/>
    <x v="0"/>
    <n v="3"/>
    <x v="0"/>
  </r>
  <r>
    <n v="44"/>
    <s v="No"/>
    <s v="Travel_Rarely"/>
    <n v="921"/>
    <x v="1"/>
    <n v="2"/>
    <n v="3"/>
    <s v="Life Sciences"/>
    <n v="1"/>
    <n v="1703"/>
    <n v="3"/>
    <s v="Female"/>
    <n v="96"/>
    <n v="4"/>
    <n v="3"/>
    <s v="Healthcare Representative"/>
    <n v="4"/>
    <s v="Married"/>
    <n v="7879"/>
    <n v="14810"/>
    <n v="1"/>
    <s v="Y"/>
    <s v="Yes"/>
    <n v="19"/>
    <n v="3"/>
    <n v="2"/>
    <n v="80"/>
    <n v="1"/>
    <n v="9"/>
    <n v="2"/>
    <n v="3"/>
    <n v="8"/>
    <n v="7"/>
    <n v="6"/>
    <n v="7"/>
    <s v="LAB-1703"/>
    <x v="4"/>
    <x v="1"/>
    <x v="1"/>
    <n v="8"/>
    <x v="0"/>
  </r>
  <r>
    <n v="35"/>
    <s v="No"/>
    <s v="Travel_Frequently"/>
    <n v="146"/>
    <x v="1"/>
    <n v="2"/>
    <n v="4"/>
    <s v="Medical"/>
    <n v="1"/>
    <n v="1704"/>
    <n v="1"/>
    <s v="Male"/>
    <n v="79"/>
    <n v="2"/>
    <n v="1"/>
    <s v="Research Scientist"/>
    <n v="4"/>
    <s v="Single"/>
    <n v="4930"/>
    <n v="13970"/>
    <n v="0"/>
    <s v="Y"/>
    <s v="Yes"/>
    <n v="14"/>
    <n v="3"/>
    <n v="3"/>
    <n v="80"/>
    <n v="0"/>
    <n v="6"/>
    <n v="2"/>
    <n v="4"/>
    <n v="5"/>
    <n v="4"/>
    <n v="1"/>
    <n v="4"/>
    <s v="LAB-1704"/>
    <x v="1"/>
    <x v="1"/>
    <x v="1"/>
    <n v="5"/>
    <x v="0"/>
  </r>
  <r>
    <n v="43"/>
    <s v="No"/>
    <s v="Travel_Rarely"/>
    <n v="1179"/>
    <x v="0"/>
    <n v="2"/>
    <n v="3"/>
    <s v="Medical"/>
    <n v="1"/>
    <n v="1706"/>
    <n v="4"/>
    <s v="Male"/>
    <n v="73"/>
    <n v="3"/>
    <n v="2"/>
    <s v="Sales Executive"/>
    <n v="4"/>
    <s v="Married"/>
    <n v="7847"/>
    <n v="6069"/>
    <n v="1"/>
    <s v="Y"/>
    <s v="Yes"/>
    <n v="17"/>
    <n v="3"/>
    <n v="1"/>
    <n v="80"/>
    <n v="1"/>
    <n v="10"/>
    <n v="3"/>
    <n v="3"/>
    <n v="10"/>
    <n v="9"/>
    <n v="8"/>
    <n v="8"/>
    <s v="LAB-1706"/>
    <x v="0"/>
    <x v="0"/>
    <x v="1"/>
    <n v="10"/>
    <x v="0"/>
  </r>
  <r>
    <n v="24"/>
    <s v="No"/>
    <s v="Travel_Rarely"/>
    <n v="581"/>
    <x v="1"/>
    <n v="9"/>
    <n v="3"/>
    <s v="Medical"/>
    <n v="1"/>
    <n v="1707"/>
    <n v="3"/>
    <s v="Male"/>
    <n v="62"/>
    <n v="4"/>
    <n v="1"/>
    <s v="Research Scientist"/>
    <n v="3"/>
    <s v="Married"/>
    <n v="4401"/>
    <n v="17616"/>
    <n v="1"/>
    <s v="Y"/>
    <s v="No"/>
    <n v="16"/>
    <n v="3"/>
    <n v="4"/>
    <n v="80"/>
    <n v="1"/>
    <n v="5"/>
    <n v="1"/>
    <n v="3"/>
    <n v="5"/>
    <n v="3"/>
    <n v="0"/>
    <n v="4"/>
    <s v="LAB-1707"/>
    <x v="1"/>
    <x v="1"/>
    <x v="1"/>
    <n v="5"/>
    <x v="0"/>
  </r>
  <r>
    <n v="41"/>
    <s v="No"/>
    <s v="Travel_Rarely"/>
    <n v="918"/>
    <x v="0"/>
    <n v="6"/>
    <n v="3"/>
    <s v="Marketing"/>
    <n v="1"/>
    <n v="1708"/>
    <n v="4"/>
    <s v="Male"/>
    <n v="35"/>
    <n v="3"/>
    <n v="3"/>
    <s v="Sales Executive"/>
    <n v="3"/>
    <s v="Single"/>
    <n v="9241"/>
    <n v="15869"/>
    <n v="1"/>
    <s v="Y"/>
    <s v="No"/>
    <n v="12"/>
    <n v="3"/>
    <n v="2"/>
    <n v="80"/>
    <n v="0"/>
    <n v="10"/>
    <n v="3"/>
    <n v="3"/>
    <n v="10"/>
    <n v="8"/>
    <n v="8"/>
    <n v="7"/>
    <s v="LAB-1708"/>
    <x v="0"/>
    <x v="0"/>
    <x v="1"/>
    <n v="10"/>
    <x v="0"/>
  </r>
  <r>
    <n v="29"/>
    <s v="No"/>
    <s v="Travel_Rarely"/>
    <n v="1082"/>
    <x v="1"/>
    <n v="9"/>
    <n v="4"/>
    <s v="Medical"/>
    <n v="1"/>
    <n v="1709"/>
    <n v="4"/>
    <s v="Female"/>
    <n v="43"/>
    <n v="3"/>
    <n v="1"/>
    <s v="Laboratory Technician"/>
    <n v="3"/>
    <s v="Married"/>
    <n v="2974"/>
    <n v="25412"/>
    <n v="9"/>
    <s v="Y"/>
    <s v="No"/>
    <n v="17"/>
    <n v="3"/>
    <n v="3"/>
    <n v="80"/>
    <n v="1"/>
    <n v="9"/>
    <n v="2"/>
    <n v="3"/>
    <n v="5"/>
    <n v="3"/>
    <n v="1"/>
    <n v="2"/>
    <s v="LAB-1709"/>
    <x v="2"/>
    <x v="1"/>
    <x v="1"/>
    <n v="5"/>
    <x v="0"/>
  </r>
  <r>
    <n v="36"/>
    <s v="No"/>
    <s v="Travel_Rarely"/>
    <n v="530"/>
    <x v="0"/>
    <n v="2"/>
    <n v="4"/>
    <s v="Life Sciences"/>
    <n v="1"/>
    <n v="1710"/>
    <n v="3"/>
    <s v="Female"/>
    <n v="51"/>
    <n v="3"/>
    <n v="2"/>
    <s v="Sales Representative"/>
    <n v="4"/>
    <s v="Single"/>
    <n v="4502"/>
    <n v="7439"/>
    <n v="3"/>
    <s v="Y"/>
    <s v="No"/>
    <n v="15"/>
    <n v="3"/>
    <n v="3"/>
    <n v="80"/>
    <n v="0"/>
    <n v="17"/>
    <n v="2"/>
    <n v="2"/>
    <n v="13"/>
    <n v="7"/>
    <n v="6"/>
    <n v="7"/>
    <s v="LAB-1710"/>
    <x v="6"/>
    <x v="0"/>
    <x v="1"/>
    <n v="13"/>
    <x v="0"/>
  </r>
  <r>
    <n v="45"/>
    <s v="No"/>
    <s v="Non-Travel"/>
    <n v="1238"/>
    <x v="1"/>
    <n v="1"/>
    <n v="1"/>
    <s v="Life Sciences"/>
    <n v="1"/>
    <n v="1712"/>
    <n v="3"/>
    <s v="Male"/>
    <n v="74"/>
    <n v="2"/>
    <n v="3"/>
    <s v="Healthcare Representative"/>
    <n v="3"/>
    <s v="Married"/>
    <n v="10748"/>
    <n v="3395"/>
    <n v="3"/>
    <s v="Y"/>
    <s v="No"/>
    <n v="23"/>
    <n v="4"/>
    <n v="4"/>
    <n v="80"/>
    <n v="1"/>
    <n v="25"/>
    <n v="3"/>
    <n v="2"/>
    <n v="23"/>
    <n v="15"/>
    <n v="14"/>
    <n v="4"/>
    <s v="LAB-1712"/>
    <x v="4"/>
    <x v="1"/>
    <x v="1"/>
    <n v="23"/>
    <x v="0"/>
  </r>
  <r>
    <n v="24"/>
    <s v="Yes"/>
    <s v="Travel_Rarely"/>
    <n v="240"/>
    <x v="2"/>
    <n v="22"/>
    <n v="1"/>
    <s v="Human Resources"/>
    <n v="1"/>
    <n v="1714"/>
    <n v="4"/>
    <s v="Male"/>
    <n v="58"/>
    <n v="1"/>
    <n v="1"/>
    <s v="Human Resources"/>
    <n v="3"/>
    <s v="Married"/>
    <n v="1555"/>
    <n v="11585"/>
    <n v="1"/>
    <s v="Y"/>
    <s v="No"/>
    <n v="11"/>
    <n v="3"/>
    <n v="3"/>
    <n v="80"/>
    <n v="1"/>
    <n v="1"/>
    <n v="2"/>
    <n v="3"/>
    <n v="1"/>
    <n v="0"/>
    <n v="0"/>
    <n v="0"/>
    <s v="LAB-1714"/>
    <x v="8"/>
    <x v="2"/>
    <x v="0"/>
    <n v="1"/>
    <x v="0"/>
  </r>
  <r>
    <n v="47"/>
    <s v="Yes"/>
    <s v="Travel_Frequently"/>
    <n v="1093"/>
    <x v="0"/>
    <n v="9"/>
    <n v="3"/>
    <s v="Life Sciences"/>
    <n v="1"/>
    <n v="1716"/>
    <n v="3"/>
    <s v="Male"/>
    <n v="82"/>
    <n v="1"/>
    <n v="4"/>
    <s v="Sales Executive"/>
    <n v="3"/>
    <s v="Married"/>
    <n v="12936"/>
    <n v="24164"/>
    <n v="7"/>
    <s v="Y"/>
    <s v="No"/>
    <n v="11"/>
    <n v="3"/>
    <n v="3"/>
    <n v="80"/>
    <n v="0"/>
    <n v="25"/>
    <n v="3"/>
    <n v="1"/>
    <n v="23"/>
    <n v="5"/>
    <n v="14"/>
    <n v="10"/>
    <s v="LAB-1716"/>
    <x v="0"/>
    <x v="0"/>
    <x v="0"/>
    <n v="23"/>
    <x v="0"/>
  </r>
  <r>
    <n v="26"/>
    <s v="No"/>
    <s v="Travel_Rarely"/>
    <n v="390"/>
    <x v="1"/>
    <n v="17"/>
    <n v="4"/>
    <s v="Medical"/>
    <n v="1"/>
    <n v="1718"/>
    <n v="4"/>
    <s v="Male"/>
    <n v="62"/>
    <n v="1"/>
    <n v="1"/>
    <s v="Laboratory Technician"/>
    <n v="3"/>
    <s v="Married"/>
    <n v="2305"/>
    <n v="6217"/>
    <n v="1"/>
    <s v="Y"/>
    <s v="No"/>
    <n v="15"/>
    <n v="3"/>
    <n v="3"/>
    <n v="80"/>
    <n v="3"/>
    <n v="3"/>
    <n v="3"/>
    <n v="4"/>
    <n v="3"/>
    <n v="2"/>
    <n v="0"/>
    <n v="2"/>
    <s v="LAB-1718"/>
    <x v="2"/>
    <x v="1"/>
    <x v="1"/>
    <n v="3"/>
    <x v="0"/>
  </r>
  <r>
    <n v="45"/>
    <s v="No"/>
    <s v="Travel_Rarely"/>
    <n v="1005"/>
    <x v="1"/>
    <n v="28"/>
    <n v="2"/>
    <s v="Technical Degree"/>
    <n v="1"/>
    <n v="1719"/>
    <n v="4"/>
    <s v="Female"/>
    <n v="48"/>
    <n v="2"/>
    <n v="4"/>
    <s v="Research Director"/>
    <n v="2"/>
    <s v="Single"/>
    <n v="16704"/>
    <n v="17119"/>
    <n v="1"/>
    <s v="Y"/>
    <s v="No"/>
    <n v="11"/>
    <n v="3"/>
    <n v="3"/>
    <n v="80"/>
    <n v="0"/>
    <n v="21"/>
    <n v="2"/>
    <n v="3"/>
    <n v="21"/>
    <n v="6"/>
    <n v="8"/>
    <n v="6"/>
    <s v="LAB-1719"/>
    <x v="7"/>
    <x v="1"/>
    <x v="1"/>
    <n v="21"/>
    <x v="0"/>
  </r>
  <r>
    <n v="32"/>
    <s v="No"/>
    <s v="Travel_Frequently"/>
    <n v="585"/>
    <x v="1"/>
    <n v="10"/>
    <n v="3"/>
    <s v="Life Sciences"/>
    <n v="1"/>
    <n v="1720"/>
    <n v="1"/>
    <s v="Male"/>
    <n v="56"/>
    <n v="3"/>
    <n v="1"/>
    <s v="Research Scientist"/>
    <n v="3"/>
    <s v="Married"/>
    <n v="3433"/>
    <n v="17360"/>
    <n v="6"/>
    <s v="Y"/>
    <s v="No"/>
    <n v="13"/>
    <n v="3"/>
    <n v="1"/>
    <n v="80"/>
    <n v="1"/>
    <n v="10"/>
    <n v="3"/>
    <n v="2"/>
    <n v="5"/>
    <n v="2"/>
    <n v="1"/>
    <n v="3"/>
    <s v="LAB-1720"/>
    <x v="1"/>
    <x v="1"/>
    <x v="1"/>
    <n v="5"/>
    <x v="0"/>
  </r>
  <r>
    <n v="31"/>
    <s v="No"/>
    <s v="Travel_Rarely"/>
    <n v="741"/>
    <x v="1"/>
    <n v="2"/>
    <n v="4"/>
    <s v="Life Sciences"/>
    <n v="1"/>
    <n v="1721"/>
    <n v="2"/>
    <s v="Male"/>
    <n v="69"/>
    <n v="3"/>
    <n v="1"/>
    <s v="Laboratory Technician"/>
    <n v="3"/>
    <s v="Married"/>
    <n v="3477"/>
    <n v="18103"/>
    <n v="1"/>
    <s v="Y"/>
    <s v="No"/>
    <n v="14"/>
    <n v="3"/>
    <n v="4"/>
    <n v="80"/>
    <n v="1"/>
    <n v="6"/>
    <n v="2"/>
    <n v="4"/>
    <n v="5"/>
    <n v="2"/>
    <n v="0"/>
    <n v="3"/>
    <s v="LAB-1721"/>
    <x v="2"/>
    <x v="1"/>
    <x v="1"/>
    <n v="5"/>
    <x v="0"/>
  </r>
  <r>
    <n v="41"/>
    <s v="No"/>
    <s v="Non-Travel"/>
    <n v="552"/>
    <x v="2"/>
    <n v="4"/>
    <n v="3"/>
    <s v="Human Resources"/>
    <n v="1"/>
    <n v="1722"/>
    <n v="3"/>
    <s v="Male"/>
    <n v="60"/>
    <n v="1"/>
    <n v="2"/>
    <s v="Human Resources"/>
    <n v="2"/>
    <s v="Married"/>
    <n v="6430"/>
    <n v="20794"/>
    <n v="6"/>
    <s v="Y"/>
    <s v="No"/>
    <n v="19"/>
    <n v="3"/>
    <n v="2"/>
    <n v="80"/>
    <n v="1"/>
    <n v="10"/>
    <n v="4"/>
    <n v="3"/>
    <n v="3"/>
    <n v="2"/>
    <n v="1"/>
    <n v="2"/>
    <s v="LAB-1722"/>
    <x v="8"/>
    <x v="2"/>
    <x v="1"/>
    <n v="3"/>
    <x v="0"/>
  </r>
  <r>
    <n v="40"/>
    <s v="No"/>
    <s v="Travel_Rarely"/>
    <n v="369"/>
    <x v="1"/>
    <n v="8"/>
    <n v="2"/>
    <s v="Life Sciences"/>
    <n v="1"/>
    <n v="1724"/>
    <n v="2"/>
    <s v="Female"/>
    <n v="92"/>
    <n v="3"/>
    <n v="2"/>
    <s v="Manufacturing Director"/>
    <n v="1"/>
    <s v="Married"/>
    <n v="6516"/>
    <n v="5041"/>
    <n v="2"/>
    <s v="Y"/>
    <s v="Yes"/>
    <n v="16"/>
    <n v="3"/>
    <n v="2"/>
    <n v="80"/>
    <n v="1"/>
    <n v="18"/>
    <n v="3"/>
    <n v="3"/>
    <n v="1"/>
    <n v="0"/>
    <n v="0"/>
    <n v="0"/>
    <s v="LAB-1724"/>
    <x v="3"/>
    <x v="1"/>
    <x v="1"/>
    <n v="1"/>
    <x v="0"/>
  </r>
  <r>
    <n v="24"/>
    <s v="No"/>
    <s v="Travel_Rarely"/>
    <n v="506"/>
    <x v="1"/>
    <n v="29"/>
    <n v="1"/>
    <s v="Medical"/>
    <n v="1"/>
    <n v="1725"/>
    <n v="2"/>
    <s v="Male"/>
    <n v="91"/>
    <n v="3"/>
    <n v="1"/>
    <s v="Laboratory Technician"/>
    <n v="1"/>
    <s v="Divorced"/>
    <n v="3907"/>
    <n v="3622"/>
    <n v="1"/>
    <s v="Y"/>
    <s v="No"/>
    <n v="13"/>
    <n v="3"/>
    <n v="2"/>
    <n v="80"/>
    <n v="3"/>
    <n v="6"/>
    <n v="2"/>
    <n v="4"/>
    <n v="6"/>
    <n v="2"/>
    <n v="1"/>
    <n v="2"/>
    <s v="LAB-1725"/>
    <x v="2"/>
    <x v="1"/>
    <x v="1"/>
    <n v="6"/>
    <x v="0"/>
  </r>
  <r>
    <n v="46"/>
    <s v="No"/>
    <s v="Travel_Rarely"/>
    <n v="717"/>
    <x v="1"/>
    <n v="13"/>
    <n v="4"/>
    <s v="Life Sciences"/>
    <n v="1"/>
    <n v="1727"/>
    <n v="3"/>
    <s v="Male"/>
    <n v="34"/>
    <n v="3"/>
    <n v="2"/>
    <s v="Healthcare Representative"/>
    <n v="2"/>
    <s v="Single"/>
    <n v="5562"/>
    <n v="9697"/>
    <n v="6"/>
    <s v="Y"/>
    <s v="No"/>
    <n v="14"/>
    <n v="3"/>
    <n v="4"/>
    <n v="80"/>
    <n v="0"/>
    <n v="19"/>
    <n v="3"/>
    <n v="3"/>
    <n v="10"/>
    <n v="7"/>
    <n v="0"/>
    <n v="9"/>
    <s v="LAB-1727"/>
    <x v="4"/>
    <x v="1"/>
    <x v="1"/>
    <n v="10"/>
    <x v="0"/>
  </r>
  <r>
    <n v="35"/>
    <s v="No"/>
    <s v="Travel_Rarely"/>
    <n v="1370"/>
    <x v="1"/>
    <n v="27"/>
    <n v="4"/>
    <s v="Life Sciences"/>
    <n v="1"/>
    <n v="1728"/>
    <n v="4"/>
    <s v="Male"/>
    <n v="49"/>
    <n v="3"/>
    <n v="2"/>
    <s v="Manufacturing Director"/>
    <n v="3"/>
    <s v="Married"/>
    <n v="6883"/>
    <n v="5151"/>
    <n v="2"/>
    <s v="Y"/>
    <s v="No"/>
    <n v="16"/>
    <n v="3"/>
    <n v="2"/>
    <n v="80"/>
    <n v="1"/>
    <n v="17"/>
    <n v="3"/>
    <n v="3"/>
    <n v="7"/>
    <n v="7"/>
    <n v="0"/>
    <n v="7"/>
    <s v="LAB-1728"/>
    <x v="3"/>
    <x v="1"/>
    <x v="1"/>
    <n v="7"/>
    <x v="0"/>
  </r>
  <r>
    <n v="30"/>
    <s v="No"/>
    <s v="Travel_Rarely"/>
    <n v="793"/>
    <x v="1"/>
    <n v="16"/>
    <n v="1"/>
    <s v="Life Sciences"/>
    <n v="1"/>
    <n v="1729"/>
    <n v="2"/>
    <s v="Male"/>
    <n v="33"/>
    <n v="3"/>
    <n v="1"/>
    <s v="Research Scientist"/>
    <n v="4"/>
    <s v="Married"/>
    <n v="2862"/>
    <n v="3811"/>
    <n v="1"/>
    <s v="Y"/>
    <s v="No"/>
    <n v="12"/>
    <n v="3"/>
    <n v="2"/>
    <n v="80"/>
    <n v="1"/>
    <n v="10"/>
    <n v="2"/>
    <n v="2"/>
    <n v="10"/>
    <n v="0"/>
    <n v="0"/>
    <n v="8"/>
    <s v="LAB-1729"/>
    <x v="1"/>
    <x v="1"/>
    <x v="1"/>
    <n v="10"/>
    <x v="0"/>
  </r>
  <r>
    <n v="47"/>
    <s v="No"/>
    <s v="Non-Travel"/>
    <n v="543"/>
    <x v="0"/>
    <n v="2"/>
    <n v="4"/>
    <s v="Marketing"/>
    <n v="1"/>
    <n v="1731"/>
    <n v="3"/>
    <s v="Male"/>
    <n v="87"/>
    <n v="3"/>
    <n v="2"/>
    <s v="Sales Executive"/>
    <n v="2"/>
    <s v="Married"/>
    <n v="4978"/>
    <n v="3536"/>
    <n v="7"/>
    <s v="Y"/>
    <s v="No"/>
    <n v="11"/>
    <n v="3"/>
    <n v="4"/>
    <n v="80"/>
    <n v="1"/>
    <n v="4"/>
    <n v="3"/>
    <n v="1"/>
    <n v="1"/>
    <n v="0"/>
    <n v="0"/>
    <n v="0"/>
    <s v="LAB-1731"/>
    <x v="0"/>
    <x v="0"/>
    <x v="1"/>
    <n v="1"/>
    <x v="0"/>
  </r>
  <r>
    <n v="46"/>
    <s v="No"/>
    <s v="Travel_Rarely"/>
    <n v="1277"/>
    <x v="0"/>
    <n v="2"/>
    <n v="3"/>
    <s v="Life Sciences"/>
    <n v="1"/>
    <n v="1732"/>
    <n v="3"/>
    <s v="Male"/>
    <n v="74"/>
    <n v="3"/>
    <n v="3"/>
    <s v="Sales Executive"/>
    <n v="4"/>
    <s v="Divorced"/>
    <n v="10368"/>
    <n v="5596"/>
    <n v="4"/>
    <s v="Y"/>
    <s v="Yes"/>
    <n v="12"/>
    <n v="3"/>
    <n v="2"/>
    <n v="80"/>
    <n v="1"/>
    <n v="13"/>
    <n v="5"/>
    <n v="2"/>
    <n v="10"/>
    <n v="6"/>
    <n v="0"/>
    <n v="3"/>
    <s v="LAB-1732"/>
    <x v="0"/>
    <x v="0"/>
    <x v="1"/>
    <n v="10"/>
    <x v="0"/>
  </r>
  <r>
    <n v="36"/>
    <s v="Yes"/>
    <s v="Travel_Rarely"/>
    <n v="1456"/>
    <x v="0"/>
    <n v="13"/>
    <n v="5"/>
    <s v="Marketing"/>
    <n v="1"/>
    <n v="1733"/>
    <n v="2"/>
    <s v="Male"/>
    <n v="96"/>
    <n v="2"/>
    <n v="2"/>
    <s v="Sales Executive"/>
    <n v="1"/>
    <s v="Divorced"/>
    <n v="6134"/>
    <n v="8658"/>
    <n v="5"/>
    <s v="Y"/>
    <s v="Yes"/>
    <n v="13"/>
    <n v="3"/>
    <n v="2"/>
    <n v="80"/>
    <n v="3"/>
    <n v="16"/>
    <n v="3"/>
    <n v="3"/>
    <n v="2"/>
    <n v="2"/>
    <n v="2"/>
    <n v="2"/>
    <s v="LAB-1733"/>
    <x v="0"/>
    <x v="0"/>
    <x v="0"/>
    <n v="2"/>
    <x v="0"/>
  </r>
  <r>
    <n v="32"/>
    <s v="Yes"/>
    <s v="Travel_Rarely"/>
    <n v="964"/>
    <x v="0"/>
    <n v="1"/>
    <n v="2"/>
    <s v="Life Sciences"/>
    <n v="1"/>
    <n v="1734"/>
    <n v="1"/>
    <s v="Male"/>
    <n v="34"/>
    <n v="1"/>
    <n v="2"/>
    <s v="Sales Executive"/>
    <n v="2"/>
    <s v="Single"/>
    <n v="6735"/>
    <n v="12147"/>
    <n v="6"/>
    <s v="Y"/>
    <s v="No"/>
    <n v="15"/>
    <n v="3"/>
    <n v="2"/>
    <n v="80"/>
    <n v="0"/>
    <n v="10"/>
    <n v="2"/>
    <n v="3"/>
    <n v="0"/>
    <n v="0"/>
    <n v="0"/>
    <n v="0"/>
    <s v="LAB-1734"/>
    <x v="0"/>
    <x v="0"/>
    <x v="0"/>
    <n v="0"/>
    <x v="0"/>
  </r>
  <r>
    <n v="23"/>
    <s v="No"/>
    <s v="Travel_Rarely"/>
    <n v="160"/>
    <x v="1"/>
    <n v="4"/>
    <n v="1"/>
    <s v="Medical"/>
    <n v="1"/>
    <n v="1735"/>
    <n v="3"/>
    <s v="Female"/>
    <n v="51"/>
    <n v="3"/>
    <n v="1"/>
    <s v="Laboratory Technician"/>
    <n v="2"/>
    <s v="Single"/>
    <n v="3295"/>
    <n v="12862"/>
    <n v="1"/>
    <s v="Y"/>
    <s v="No"/>
    <n v="13"/>
    <n v="3"/>
    <n v="3"/>
    <n v="80"/>
    <n v="0"/>
    <n v="3"/>
    <n v="3"/>
    <n v="1"/>
    <n v="3"/>
    <n v="2"/>
    <n v="1"/>
    <n v="2"/>
    <s v="LAB-1735"/>
    <x v="2"/>
    <x v="1"/>
    <x v="1"/>
    <n v="3"/>
    <x v="0"/>
  </r>
  <r>
    <n v="31"/>
    <s v="No"/>
    <s v="Travel_Frequently"/>
    <n v="163"/>
    <x v="1"/>
    <n v="24"/>
    <n v="1"/>
    <s v="Technical Degree"/>
    <n v="1"/>
    <n v="1736"/>
    <n v="4"/>
    <s v="Female"/>
    <n v="30"/>
    <n v="3"/>
    <n v="2"/>
    <s v="Manufacturing Director"/>
    <n v="4"/>
    <s v="Single"/>
    <n v="5238"/>
    <n v="6670"/>
    <n v="2"/>
    <s v="Y"/>
    <s v="No"/>
    <n v="20"/>
    <n v="4"/>
    <n v="4"/>
    <n v="80"/>
    <n v="0"/>
    <n v="9"/>
    <n v="3"/>
    <n v="2"/>
    <n v="5"/>
    <n v="4"/>
    <n v="1"/>
    <n v="4"/>
    <s v="LAB-1736"/>
    <x v="3"/>
    <x v="1"/>
    <x v="1"/>
    <n v="5"/>
    <x v="0"/>
  </r>
  <r>
    <n v="39"/>
    <s v="No"/>
    <s v="Non-Travel"/>
    <n v="792"/>
    <x v="1"/>
    <n v="1"/>
    <n v="3"/>
    <s v="Life Sciences"/>
    <n v="1"/>
    <n v="1737"/>
    <n v="4"/>
    <s v="Male"/>
    <n v="77"/>
    <n v="3"/>
    <n v="2"/>
    <s v="Laboratory Technician"/>
    <n v="4"/>
    <s v="Married"/>
    <n v="6472"/>
    <n v="8989"/>
    <n v="1"/>
    <s v="Y"/>
    <s v="Yes"/>
    <n v="15"/>
    <n v="3"/>
    <n v="4"/>
    <n v="80"/>
    <n v="1"/>
    <n v="9"/>
    <n v="2"/>
    <n v="3"/>
    <n v="9"/>
    <n v="8"/>
    <n v="5"/>
    <n v="8"/>
    <s v="LAB-1737"/>
    <x v="2"/>
    <x v="1"/>
    <x v="1"/>
    <n v="9"/>
    <x v="0"/>
  </r>
  <r>
    <n v="32"/>
    <s v="No"/>
    <s v="Travel_Rarely"/>
    <n v="371"/>
    <x v="0"/>
    <n v="19"/>
    <n v="3"/>
    <s v="Life Sciences"/>
    <n v="1"/>
    <n v="1739"/>
    <n v="4"/>
    <s v="Male"/>
    <n v="80"/>
    <n v="1"/>
    <n v="3"/>
    <s v="Sales Executive"/>
    <n v="3"/>
    <s v="Married"/>
    <n v="9610"/>
    <n v="3840"/>
    <n v="3"/>
    <s v="Y"/>
    <s v="No"/>
    <n v="13"/>
    <n v="3"/>
    <n v="3"/>
    <n v="80"/>
    <n v="1"/>
    <n v="10"/>
    <n v="2"/>
    <n v="1"/>
    <n v="4"/>
    <n v="3"/>
    <n v="0"/>
    <n v="2"/>
    <s v="LAB-1739"/>
    <x v="0"/>
    <x v="0"/>
    <x v="1"/>
    <n v="4"/>
    <x v="0"/>
  </r>
  <r>
    <n v="40"/>
    <s v="No"/>
    <s v="Travel_Rarely"/>
    <n v="611"/>
    <x v="0"/>
    <n v="7"/>
    <n v="4"/>
    <s v="Medical"/>
    <n v="1"/>
    <n v="1740"/>
    <n v="2"/>
    <s v="Male"/>
    <n v="88"/>
    <n v="3"/>
    <n v="5"/>
    <s v="Manager"/>
    <n v="2"/>
    <s v="Single"/>
    <n v="19833"/>
    <n v="4349"/>
    <n v="1"/>
    <s v="Y"/>
    <s v="No"/>
    <n v="14"/>
    <n v="3"/>
    <n v="2"/>
    <n v="80"/>
    <n v="0"/>
    <n v="21"/>
    <n v="3"/>
    <n v="2"/>
    <n v="21"/>
    <n v="8"/>
    <n v="12"/>
    <n v="8"/>
    <s v="LAB-1740"/>
    <x v="5"/>
    <x v="0"/>
    <x v="1"/>
    <n v="21"/>
    <x v="0"/>
  </r>
  <r>
    <n v="45"/>
    <s v="No"/>
    <s v="Travel_Rarely"/>
    <n v="176"/>
    <x v="2"/>
    <n v="4"/>
    <n v="3"/>
    <s v="Life Sciences"/>
    <n v="1"/>
    <n v="1744"/>
    <n v="3"/>
    <s v="Female"/>
    <n v="56"/>
    <n v="1"/>
    <n v="3"/>
    <s v="Human Resources"/>
    <n v="3"/>
    <s v="Married"/>
    <n v="9756"/>
    <n v="6595"/>
    <n v="4"/>
    <s v="Y"/>
    <s v="No"/>
    <n v="21"/>
    <n v="4"/>
    <n v="3"/>
    <n v="80"/>
    <n v="2"/>
    <n v="9"/>
    <n v="2"/>
    <n v="4"/>
    <n v="5"/>
    <n v="0"/>
    <n v="0"/>
    <n v="3"/>
    <s v="LAB-1744"/>
    <x v="8"/>
    <x v="2"/>
    <x v="1"/>
    <n v="5"/>
    <x v="0"/>
  </r>
  <r>
    <n v="30"/>
    <s v="No"/>
    <s v="Travel_Frequently"/>
    <n v="1312"/>
    <x v="1"/>
    <n v="2"/>
    <n v="4"/>
    <s v="Technical Degree"/>
    <n v="1"/>
    <n v="1745"/>
    <n v="4"/>
    <s v="Female"/>
    <n v="78"/>
    <n v="2"/>
    <n v="1"/>
    <s v="Research Scientist"/>
    <n v="1"/>
    <s v="Single"/>
    <n v="4968"/>
    <n v="26427"/>
    <n v="0"/>
    <s v="Y"/>
    <s v="No"/>
    <n v="16"/>
    <n v="3"/>
    <n v="4"/>
    <n v="80"/>
    <n v="0"/>
    <n v="10"/>
    <n v="2"/>
    <n v="3"/>
    <n v="9"/>
    <n v="7"/>
    <n v="0"/>
    <n v="7"/>
    <s v="LAB-1745"/>
    <x v="1"/>
    <x v="1"/>
    <x v="1"/>
    <n v="9"/>
    <x v="0"/>
  </r>
  <r>
    <n v="24"/>
    <s v="No"/>
    <s v="Travel_Frequently"/>
    <n v="897"/>
    <x v="2"/>
    <n v="10"/>
    <n v="3"/>
    <s v="Medical"/>
    <n v="1"/>
    <n v="1746"/>
    <n v="1"/>
    <s v="Male"/>
    <n v="59"/>
    <n v="3"/>
    <n v="1"/>
    <s v="Human Resources"/>
    <n v="4"/>
    <s v="Married"/>
    <n v="2145"/>
    <n v="2097"/>
    <n v="0"/>
    <s v="Y"/>
    <s v="No"/>
    <n v="14"/>
    <n v="3"/>
    <n v="4"/>
    <n v="80"/>
    <n v="1"/>
    <n v="3"/>
    <n v="2"/>
    <n v="3"/>
    <n v="2"/>
    <n v="2"/>
    <n v="2"/>
    <n v="1"/>
    <s v="LAB-1746"/>
    <x v="8"/>
    <x v="2"/>
    <x v="1"/>
    <n v="2"/>
    <x v="0"/>
  </r>
  <r>
    <n v="30"/>
    <s v="Yes"/>
    <s v="Travel_Frequently"/>
    <n v="600"/>
    <x v="2"/>
    <n v="8"/>
    <n v="3"/>
    <s v="Human Resources"/>
    <n v="1"/>
    <n v="1747"/>
    <n v="3"/>
    <s v="Female"/>
    <n v="66"/>
    <n v="2"/>
    <n v="1"/>
    <s v="Human Resources"/>
    <n v="4"/>
    <s v="Divorced"/>
    <n v="2180"/>
    <n v="9732"/>
    <n v="6"/>
    <s v="Y"/>
    <s v="No"/>
    <n v="11"/>
    <n v="3"/>
    <n v="3"/>
    <n v="80"/>
    <n v="1"/>
    <n v="6"/>
    <n v="0"/>
    <n v="2"/>
    <n v="4"/>
    <n v="2"/>
    <n v="1"/>
    <n v="2"/>
    <s v="LAB-1747"/>
    <x v="8"/>
    <x v="2"/>
    <x v="0"/>
    <n v="4"/>
    <x v="0"/>
  </r>
  <r>
    <n v="31"/>
    <s v="No"/>
    <s v="Travel_Rarely"/>
    <n v="1003"/>
    <x v="0"/>
    <n v="5"/>
    <n v="3"/>
    <s v="Technical Degree"/>
    <n v="1"/>
    <n v="1749"/>
    <n v="1"/>
    <s v="Male"/>
    <n v="51"/>
    <n v="3"/>
    <n v="2"/>
    <s v="Sales Executive"/>
    <n v="3"/>
    <s v="Married"/>
    <n v="8346"/>
    <n v="20943"/>
    <n v="1"/>
    <s v="Y"/>
    <s v="No"/>
    <n v="19"/>
    <n v="3"/>
    <n v="3"/>
    <n v="80"/>
    <n v="1"/>
    <n v="6"/>
    <n v="3"/>
    <n v="3"/>
    <n v="5"/>
    <n v="2"/>
    <n v="0"/>
    <n v="2"/>
    <s v="LAB-1749"/>
    <x v="0"/>
    <x v="0"/>
    <x v="1"/>
    <n v="5"/>
    <x v="0"/>
  </r>
  <r>
    <n v="27"/>
    <s v="No"/>
    <s v="Travel_Rarely"/>
    <n v="1054"/>
    <x v="1"/>
    <n v="8"/>
    <n v="3"/>
    <s v="Medical"/>
    <n v="1"/>
    <n v="1751"/>
    <n v="3"/>
    <s v="Female"/>
    <n v="67"/>
    <n v="3"/>
    <n v="1"/>
    <s v="Research Scientist"/>
    <n v="4"/>
    <s v="Single"/>
    <n v="3445"/>
    <n v="6152"/>
    <n v="1"/>
    <s v="Y"/>
    <s v="No"/>
    <n v="11"/>
    <n v="3"/>
    <n v="3"/>
    <n v="80"/>
    <n v="0"/>
    <n v="6"/>
    <n v="5"/>
    <n v="2"/>
    <n v="6"/>
    <n v="2"/>
    <n v="1"/>
    <n v="4"/>
    <s v="LAB-1751"/>
    <x v="1"/>
    <x v="1"/>
    <x v="1"/>
    <n v="6"/>
    <x v="0"/>
  </r>
  <r>
    <n v="29"/>
    <s v="Yes"/>
    <s v="Travel_Rarely"/>
    <n v="428"/>
    <x v="0"/>
    <n v="9"/>
    <n v="3"/>
    <s v="Marketing"/>
    <n v="1"/>
    <n v="1752"/>
    <n v="2"/>
    <s v="Female"/>
    <n v="52"/>
    <n v="1"/>
    <n v="1"/>
    <s v="Sales Representative"/>
    <n v="2"/>
    <s v="Single"/>
    <n v="2760"/>
    <n v="14630"/>
    <n v="1"/>
    <s v="Y"/>
    <s v="No"/>
    <n v="13"/>
    <n v="3"/>
    <n v="3"/>
    <n v="80"/>
    <n v="0"/>
    <n v="2"/>
    <n v="3"/>
    <n v="3"/>
    <n v="2"/>
    <n v="2"/>
    <n v="2"/>
    <n v="2"/>
    <s v="LAB-1752"/>
    <x v="6"/>
    <x v="0"/>
    <x v="0"/>
    <n v="2"/>
    <x v="0"/>
  </r>
  <r>
    <n v="29"/>
    <s v="No"/>
    <s v="Travel_Frequently"/>
    <n v="461"/>
    <x v="1"/>
    <n v="1"/>
    <n v="3"/>
    <s v="Life Sciences"/>
    <n v="1"/>
    <n v="1753"/>
    <n v="4"/>
    <s v="Male"/>
    <n v="70"/>
    <n v="4"/>
    <n v="2"/>
    <s v="Healthcare Representative"/>
    <n v="3"/>
    <s v="Single"/>
    <n v="6294"/>
    <n v="23060"/>
    <n v="8"/>
    <s v="Y"/>
    <s v="Yes"/>
    <n v="12"/>
    <n v="3"/>
    <n v="4"/>
    <n v="80"/>
    <n v="0"/>
    <n v="10"/>
    <n v="5"/>
    <n v="4"/>
    <n v="3"/>
    <n v="2"/>
    <n v="0"/>
    <n v="2"/>
    <s v="LAB-1753"/>
    <x v="4"/>
    <x v="1"/>
    <x v="1"/>
    <n v="3"/>
    <x v="0"/>
  </r>
  <r>
    <n v="30"/>
    <s v="No"/>
    <s v="Travel_Rarely"/>
    <n v="979"/>
    <x v="0"/>
    <n v="15"/>
    <n v="2"/>
    <s v="Marketing"/>
    <n v="1"/>
    <n v="1754"/>
    <n v="3"/>
    <s v="Male"/>
    <n v="94"/>
    <n v="2"/>
    <n v="3"/>
    <s v="Sales Executive"/>
    <n v="1"/>
    <s v="Divorced"/>
    <n v="7140"/>
    <n v="3088"/>
    <n v="2"/>
    <s v="Y"/>
    <s v="No"/>
    <n v="11"/>
    <n v="3"/>
    <n v="1"/>
    <n v="80"/>
    <n v="1"/>
    <n v="12"/>
    <n v="2"/>
    <n v="3"/>
    <n v="7"/>
    <n v="7"/>
    <n v="1"/>
    <n v="7"/>
    <s v="LAB-1754"/>
    <x v="0"/>
    <x v="0"/>
    <x v="1"/>
    <n v="7"/>
    <x v="0"/>
  </r>
  <r>
    <n v="34"/>
    <s v="No"/>
    <s v="Travel_Rarely"/>
    <n v="181"/>
    <x v="1"/>
    <n v="2"/>
    <n v="4"/>
    <s v="Medical"/>
    <n v="1"/>
    <n v="1755"/>
    <n v="4"/>
    <s v="Male"/>
    <n v="97"/>
    <n v="4"/>
    <n v="1"/>
    <s v="Research Scientist"/>
    <n v="4"/>
    <s v="Married"/>
    <n v="2932"/>
    <n v="5586"/>
    <n v="0"/>
    <s v="Y"/>
    <s v="Yes"/>
    <n v="14"/>
    <n v="3"/>
    <n v="1"/>
    <n v="80"/>
    <n v="3"/>
    <n v="6"/>
    <n v="3"/>
    <n v="3"/>
    <n v="5"/>
    <n v="0"/>
    <n v="1"/>
    <n v="2"/>
    <s v="LAB-1755"/>
    <x v="1"/>
    <x v="1"/>
    <x v="1"/>
    <n v="5"/>
    <x v="0"/>
  </r>
  <r>
    <n v="33"/>
    <s v="No"/>
    <s v="Non-Travel"/>
    <n v="1283"/>
    <x v="0"/>
    <n v="2"/>
    <n v="3"/>
    <s v="Marketing"/>
    <n v="1"/>
    <n v="1756"/>
    <n v="4"/>
    <s v="Female"/>
    <n v="62"/>
    <n v="3"/>
    <n v="2"/>
    <s v="Sales Executive"/>
    <n v="2"/>
    <s v="Single"/>
    <n v="5147"/>
    <n v="10697"/>
    <n v="8"/>
    <s v="Y"/>
    <s v="No"/>
    <n v="15"/>
    <n v="3"/>
    <n v="4"/>
    <n v="80"/>
    <n v="0"/>
    <n v="13"/>
    <n v="2"/>
    <n v="2"/>
    <n v="11"/>
    <n v="7"/>
    <n v="1"/>
    <n v="7"/>
    <s v="LAB-1756"/>
    <x v="0"/>
    <x v="0"/>
    <x v="1"/>
    <n v="11"/>
    <x v="0"/>
  </r>
  <r>
    <n v="49"/>
    <s v="No"/>
    <s v="Travel_Rarely"/>
    <n v="1313"/>
    <x v="0"/>
    <n v="11"/>
    <n v="4"/>
    <s v="Marketing"/>
    <n v="1"/>
    <n v="1757"/>
    <n v="4"/>
    <s v="Female"/>
    <n v="80"/>
    <n v="3"/>
    <n v="2"/>
    <s v="Sales Executive"/>
    <n v="4"/>
    <s v="Single"/>
    <n v="4507"/>
    <n v="8191"/>
    <n v="3"/>
    <s v="Y"/>
    <s v="No"/>
    <n v="12"/>
    <n v="3"/>
    <n v="3"/>
    <n v="80"/>
    <n v="0"/>
    <n v="8"/>
    <n v="1"/>
    <n v="4"/>
    <n v="5"/>
    <n v="1"/>
    <n v="0"/>
    <n v="4"/>
    <s v="LAB-1757"/>
    <x v="0"/>
    <x v="0"/>
    <x v="1"/>
    <n v="5"/>
    <x v="0"/>
  </r>
  <r>
    <n v="33"/>
    <s v="Yes"/>
    <s v="Travel_Rarely"/>
    <n v="211"/>
    <x v="0"/>
    <n v="16"/>
    <n v="3"/>
    <s v="Life Sciences"/>
    <n v="1"/>
    <n v="1758"/>
    <n v="1"/>
    <s v="Female"/>
    <n v="74"/>
    <n v="3"/>
    <n v="3"/>
    <s v="Sales Executive"/>
    <n v="1"/>
    <s v="Single"/>
    <n v="8564"/>
    <n v="10092"/>
    <n v="2"/>
    <s v="Y"/>
    <s v="Yes"/>
    <n v="20"/>
    <n v="4"/>
    <n v="3"/>
    <n v="80"/>
    <n v="0"/>
    <n v="11"/>
    <n v="2"/>
    <n v="2"/>
    <n v="0"/>
    <n v="0"/>
    <n v="0"/>
    <n v="0"/>
    <s v="LAB-1758"/>
    <x v="0"/>
    <x v="0"/>
    <x v="0"/>
    <n v="0"/>
    <x v="0"/>
  </r>
  <r>
    <n v="38"/>
    <s v="No"/>
    <s v="Travel_Frequently"/>
    <n v="594"/>
    <x v="1"/>
    <n v="2"/>
    <n v="2"/>
    <s v="Medical"/>
    <n v="1"/>
    <n v="1760"/>
    <n v="3"/>
    <s v="Female"/>
    <n v="75"/>
    <n v="2"/>
    <n v="1"/>
    <s v="Laboratory Technician"/>
    <n v="2"/>
    <s v="Married"/>
    <n v="2468"/>
    <n v="15963"/>
    <n v="4"/>
    <s v="Y"/>
    <s v="No"/>
    <n v="14"/>
    <n v="3"/>
    <n v="2"/>
    <n v="80"/>
    <n v="1"/>
    <n v="9"/>
    <n v="4"/>
    <n v="2"/>
    <n v="6"/>
    <n v="1"/>
    <n v="0"/>
    <n v="5"/>
    <s v="LAB-1760"/>
    <x v="2"/>
    <x v="1"/>
    <x v="1"/>
    <n v="6"/>
    <x v="0"/>
  </r>
  <r>
    <n v="31"/>
    <s v="Yes"/>
    <s v="Travel_Rarely"/>
    <n v="1079"/>
    <x v="0"/>
    <n v="16"/>
    <n v="4"/>
    <s v="Marketing"/>
    <n v="1"/>
    <n v="1761"/>
    <n v="1"/>
    <s v="Male"/>
    <n v="70"/>
    <n v="3"/>
    <n v="3"/>
    <s v="Sales Executive"/>
    <n v="3"/>
    <s v="Married"/>
    <n v="8161"/>
    <n v="19002"/>
    <n v="2"/>
    <s v="Y"/>
    <s v="No"/>
    <n v="13"/>
    <n v="3"/>
    <n v="1"/>
    <n v="80"/>
    <n v="3"/>
    <n v="10"/>
    <n v="2"/>
    <n v="3"/>
    <n v="1"/>
    <n v="0"/>
    <n v="0"/>
    <n v="0"/>
    <s v="LAB-1761"/>
    <x v="0"/>
    <x v="0"/>
    <x v="0"/>
    <n v="1"/>
    <x v="0"/>
  </r>
  <r>
    <n v="29"/>
    <s v="No"/>
    <s v="Travel_Rarely"/>
    <n v="590"/>
    <x v="1"/>
    <n v="4"/>
    <n v="3"/>
    <s v="Technical Degree"/>
    <n v="1"/>
    <n v="1762"/>
    <n v="4"/>
    <s v="Female"/>
    <n v="91"/>
    <n v="2"/>
    <n v="1"/>
    <s v="Research Scientist"/>
    <n v="1"/>
    <s v="Divorced"/>
    <n v="2109"/>
    <n v="10007"/>
    <n v="1"/>
    <s v="Y"/>
    <s v="No"/>
    <n v="13"/>
    <n v="3"/>
    <n v="3"/>
    <n v="80"/>
    <n v="1"/>
    <n v="1"/>
    <n v="2"/>
    <n v="3"/>
    <n v="1"/>
    <n v="0"/>
    <n v="0"/>
    <n v="0"/>
    <s v="LAB-1762"/>
    <x v="1"/>
    <x v="1"/>
    <x v="1"/>
    <n v="1"/>
    <x v="0"/>
  </r>
  <r>
    <n v="30"/>
    <s v="No"/>
    <s v="Travel_Rarely"/>
    <n v="305"/>
    <x v="1"/>
    <n v="16"/>
    <n v="3"/>
    <s v="Life Sciences"/>
    <n v="1"/>
    <n v="1763"/>
    <n v="3"/>
    <s v="Male"/>
    <n v="58"/>
    <n v="4"/>
    <n v="2"/>
    <s v="Healthcare Representative"/>
    <n v="3"/>
    <s v="Married"/>
    <n v="5294"/>
    <n v="9128"/>
    <n v="3"/>
    <s v="Y"/>
    <s v="No"/>
    <n v="16"/>
    <n v="3"/>
    <n v="3"/>
    <n v="80"/>
    <n v="1"/>
    <n v="10"/>
    <n v="3"/>
    <n v="3"/>
    <n v="7"/>
    <n v="0"/>
    <n v="1"/>
    <n v="7"/>
    <s v="LAB-1763"/>
    <x v="4"/>
    <x v="1"/>
    <x v="1"/>
    <n v="7"/>
    <x v="0"/>
  </r>
  <r>
    <n v="32"/>
    <s v="No"/>
    <s v="Non-Travel"/>
    <n v="953"/>
    <x v="1"/>
    <n v="5"/>
    <n v="4"/>
    <s v="Technical Degree"/>
    <n v="1"/>
    <n v="1764"/>
    <n v="2"/>
    <s v="Male"/>
    <n v="65"/>
    <n v="3"/>
    <n v="1"/>
    <s v="Research Scientist"/>
    <n v="2"/>
    <s v="Single"/>
    <n v="2718"/>
    <n v="17674"/>
    <n v="2"/>
    <s v="Y"/>
    <s v="No"/>
    <n v="14"/>
    <n v="3"/>
    <n v="2"/>
    <n v="80"/>
    <n v="0"/>
    <n v="12"/>
    <n v="3"/>
    <n v="3"/>
    <n v="7"/>
    <n v="7"/>
    <n v="0"/>
    <n v="7"/>
    <s v="LAB-1764"/>
    <x v="1"/>
    <x v="1"/>
    <x v="1"/>
    <n v="7"/>
    <x v="0"/>
  </r>
  <r>
    <n v="38"/>
    <s v="No"/>
    <s v="Travel_Rarely"/>
    <n v="833"/>
    <x v="1"/>
    <n v="18"/>
    <n v="3"/>
    <s v="Medical"/>
    <n v="1"/>
    <n v="1766"/>
    <n v="2"/>
    <s v="Male"/>
    <n v="60"/>
    <n v="1"/>
    <n v="2"/>
    <s v="Healthcare Representative"/>
    <n v="4"/>
    <s v="Married"/>
    <n v="5811"/>
    <n v="24539"/>
    <n v="3"/>
    <s v="Y"/>
    <s v="Yes"/>
    <n v="16"/>
    <n v="3"/>
    <n v="3"/>
    <n v="80"/>
    <n v="1"/>
    <n v="15"/>
    <n v="2"/>
    <n v="3"/>
    <n v="1"/>
    <n v="0"/>
    <n v="1"/>
    <n v="0"/>
    <s v="LAB-1766"/>
    <x v="4"/>
    <x v="1"/>
    <x v="1"/>
    <n v="1"/>
    <x v="0"/>
  </r>
  <r>
    <n v="43"/>
    <s v="Yes"/>
    <s v="Travel_Frequently"/>
    <n v="807"/>
    <x v="1"/>
    <n v="17"/>
    <n v="3"/>
    <s v="Technical Degree"/>
    <n v="1"/>
    <n v="1767"/>
    <n v="3"/>
    <s v="Male"/>
    <n v="38"/>
    <n v="2"/>
    <n v="1"/>
    <s v="Research Scientist"/>
    <n v="3"/>
    <s v="Married"/>
    <n v="2437"/>
    <n v="15587"/>
    <n v="9"/>
    <s v="Y"/>
    <s v="Yes"/>
    <n v="16"/>
    <n v="3"/>
    <n v="4"/>
    <n v="80"/>
    <n v="1"/>
    <n v="6"/>
    <n v="4"/>
    <n v="3"/>
    <n v="1"/>
    <n v="0"/>
    <n v="0"/>
    <n v="0"/>
    <s v="LAB-1767"/>
    <x v="1"/>
    <x v="1"/>
    <x v="0"/>
    <n v="1"/>
    <x v="0"/>
  </r>
  <r>
    <n v="42"/>
    <s v="No"/>
    <s v="Travel_Rarely"/>
    <n v="855"/>
    <x v="1"/>
    <n v="12"/>
    <n v="3"/>
    <s v="Medical"/>
    <n v="1"/>
    <n v="1768"/>
    <n v="2"/>
    <s v="Male"/>
    <n v="57"/>
    <n v="3"/>
    <n v="1"/>
    <s v="Laboratory Technician"/>
    <n v="2"/>
    <s v="Divorced"/>
    <n v="2766"/>
    <n v="8952"/>
    <n v="8"/>
    <s v="Y"/>
    <s v="No"/>
    <n v="22"/>
    <n v="4"/>
    <n v="2"/>
    <n v="80"/>
    <n v="3"/>
    <n v="7"/>
    <n v="6"/>
    <n v="2"/>
    <n v="5"/>
    <n v="3"/>
    <n v="0"/>
    <n v="4"/>
    <s v="LAB-1768"/>
    <x v="2"/>
    <x v="1"/>
    <x v="1"/>
    <n v="5"/>
    <x v="0"/>
  </r>
  <r>
    <n v="55"/>
    <s v="No"/>
    <s v="Travel_Rarely"/>
    <n v="478"/>
    <x v="1"/>
    <n v="2"/>
    <n v="3"/>
    <s v="Medical"/>
    <n v="1"/>
    <n v="1770"/>
    <n v="3"/>
    <s v="Male"/>
    <n v="60"/>
    <n v="2"/>
    <n v="5"/>
    <s v="Research Director"/>
    <n v="1"/>
    <s v="Married"/>
    <n v="19038"/>
    <n v="19805"/>
    <n v="8"/>
    <s v="Y"/>
    <s v="No"/>
    <n v="12"/>
    <n v="3"/>
    <n v="2"/>
    <n v="80"/>
    <n v="3"/>
    <n v="34"/>
    <n v="2"/>
    <n v="3"/>
    <n v="1"/>
    <n v="0"/>
    <n v="0"/>
    <n v="0"/>
    <s v="LAB-1770"/>
    <x v="7"/>
    <x v="1"/>
    <x v="1"/>
    <n v="1"/>
    <x v="0"/>
  </r>
  <r>
    <n v="33"/>
    <s v="No"/>
    <s v="Non-Travel"/>
    <n v="775"/>
    <x v="1"/>
    <n v="4"/>
    <n v="3"/>
    <s v="Technical Degree"/>
    <n v="1"/>
    <n v="1771"/>
    <n v="4"/>
    <s v="Male"/>
    <n v="90"/>
    <n v="3"/>
    <n v="2"/>
    <s v="Research Scientist"/>
    <n v="2"/>
    <s v="Divorced"/>
    <n v="3055"/>
    <n v="6194"/>
    <n v="5"/>
    <s v="Y"/>
    <s v="No"/>
    <n v="15"/>
    <n v="3"/>
    <n v="4"/>
    <n v="80"/>
    <n v="2"/>
    <n v="11"/>
    <n v="2"/>
    <n v="2"/>
    <n v="9"/>
    <n v="8"/>
    <n v="1"/>
    <n v="7"/>
    <s v="LAB-1771"/>
    <x v="1"/>
    <x v="1"/>
    <x v="1"/>
    <n v="9"/>
    <x v="0"/>
  </r>
  <r>
    <n v="41"/>
    <s v="No"/>
    <s v="Travel_Rarely"/>
    <n v="548"/>
    <x v="1"/>
    <n v="9"/>
    <n v="4"/>
    <s v="Life Sciences"/>
    <n v="1"/>
    <n v="1772"/>
    <n v="3"/>
    <s v="Male"/>
    <n v="94"/>
    <n v="3"/>
    <n v="1"/>
    <s v="Laboratory Technician"/>
    <n v="1"/>
    <s v="Divorced"/>
    <n v="2289"/>
    <n v="20520"/>
    <n v="1"/>
    <s v="Y"/>
    <s v="No"/>
    <n v="20"/>
    <n v="4"/>
    <n v="2"/>
    <n v="80"/>
    <n v="2"/>
    <n v="5"/>
    <n v="2"/>
    <n v="3"/>
    <n v="5"/>
    <n v="3"/>
    <n v="0"/>
    <n v="4"/>
    <s v="LAB-1772"/>
    <x v="2"/>
    <x v="1"/>
    <x v="1"/>
    <n v="5"/>
    <x v="0"/>
  </r>
  <r>
    <n v="34"/>
    <s v="No"/>
    <s v="Non-Travel"/>
    <n v="1375"/>
    <x v="0"/>
    <n v="10"/>
    <n v="3"/>
    <s v="Life Sciences"/>
    <n v="1"/>
    <n v="1774"/>
    <n v="4"/>
    <s v="Male"/>
    <n v="87"/>
    <n v="3"/>
    <n v="2"/>
    <s v="Sales Executive"/>
    <n v="3"/>
    <s v="Divorced"/>
    <n v="4001"/>
    <n v="12313"/>
    <n v="1"/>
    <s v="Y"/>
    <s v="Yes"/>
    <n v="14"/>
    <n v="3"/>
    <n v="3"/>
    <n v="80"/>
    <n v="1"/>
    <n v="15"/>
    <n v="3"/>
    <n v="3"/>
    <n v="15"/>
    <n v="14"/>
    <n v="0"/>
    <n v="7"/>
    <s v="LAB-1774"/>
    <x v="0"/>
    <x v="0"/>
    <x v="1"/>
    <n v="15"/>
    <x v="0"/>
  </r>
  <r>
    <n v="53"/>
    <s v="No"/>
    <s v="Non-Travel"/>
    <n v="661"/>
    <x v="1"/>
    <n v="1"/>
    <n v="4"/>
    <s v="Medical"/>
    <n v="1"/>
    <n v="1775"/>
    <n v="1"/>
    <s v="Female"/>
    <n v="60"/>
    <n v="2"/>
    <n v="4"/>
    <s v="Manufacturing Director"/>
    <n v="3"/>
    <s v="Married"/>
    <n v="12965"/>
    <n v="22308"/>
    <n v="4"/>
    <s v="Y"/>
    <s v="Yes"/>
    <n v="20"/>
    <n v="4"/>
    <n v="4"/>
    <n v="80"/>
    <n v="3"/>
    <n v="27"/>
    <n v="2"/>
    <n v="2"/>
    <n v="3"/>
    <n v="2"/>
    <n v="0"/>
    <n v="2"/>
    <s v="LAB-1775"/>
    <x v="3"/>
    <x v="1"/>
    <x v="1"/>
    <n v="3"/>
    <x v="0"/>
  </r>
  <r>
    <n v="43"/>
    <s v="No"/>
    <s v="Travel_Rarely"/>
    <n v="244"/>
    <x v="2"/>
    <n v="2"/>
    <n v="3"/>
    <s v="Life Sciences"/>
    <n v="1"/>
    <n v="1778"/>
    <n v="2"/>
    <s v="Male"/>
    <n v="97"/>
    <n v="3"/>
    <n v="1"/>
    <s v="Human Resources"/>
    <n v="4"/>
    <s v="Single"/>
    <n v="3539"/>
    <n v="5033"/>
    <n v="0"/>
    <s v="Y"/>
    <s v="No"/>
    <n v="13"/>
    <n v="3"/>
    <n v="2"/>
    <n v="80"/>
    <n v="0"/>
    <n v="10"/>
    <n v="5"/>
    <n v="3"/>
    <n v="9"/>
    <n v="7"/>
    <n v="1"/>
    <n v="8"/>
    <s v="LAB-1778"/>
    <x v="8"/>
    <x v="2"/>
    <x v="1"/>
    <n v="9"/>
    <x v="0"/>
  </r>
  <r>
    <n v="34"/>
    <s v="No"/>
    <s v="Travel_Rarely"/>
    <n v="511"/>
    <x v="0"/>
    <n v="3"/>
    <n v="2"/>
    <s v="Life Sciences"/>
    <n v="1"/>
    <n v="1779"/>
    <n v="4"/>
    <s v="Female"/>
    <n v="32"/>
    <n v="1"/>
    <n v="2"/>
    <s v="Sales Executive"/>
    <n v="4"/>
    <s v="Single"/>
    <n v="6029"/>
    <n v="25353"/>
    <n v="5"/>
    <s v="Y"/>
    <s v="No"/>
    <n v="12"/>
    <n v="3"/>
    <n v="1"/>
    <n v="80"/>
    <n v="0"/>
    <n v="6"/>
    <n v="3"/>
    <n v="3"/>
    <n v="2"/>
    <n v="2"/>
    <n v="2"/>
    <n v="2"/>
    <s v="LAB-1779"/>
    <x v="0"/>
    <x v="0"/>
    <x v="1"/>
    <n v="2"/>
    <x v="0"/>
  </r>
  <r>
    <n v="21"/>
    <s v="Yes"/>
    <s v="Travel_Rarely"/>
    <n v="337"/>
    <x v="0"/>
    <n v="7"/>
    <n v="1"/>
    <s v="Marketing"/>
    <n v="1"/>
    <n v="1780"/>
    <n v="2"/>
    <s v="Male"/>
    <n v="31"/>
    <n v="3"/>
    <n v="1"/>
    <s v="Sales Representative"/>
    <n v="2"/>
    <s v="Single"/>
    <n v="2679"/>
    <n v="4567"/>
    <n v="1"/>
    <s v="Y"/>
    <s v="No"/>
    <n v="13"/>
    <n v="3"/>
    <n v="2"/>
    <n v="80"/>
    <n v="0"/>
    <n v="1"/>
    <n v="3"/>
    <n v="3"/>
    <n v="1"/>
    <n v="0"/>
    <n v="1"/>
    <n v="0"/>
    <s v="LAB-1780"/>
    <x v="6"/>
    <x v="0"/>
    <x v="0"/>
    <n v="1"/>
    <x v="0"/>
  </r>
  <r>
    <n v="38"/>
    <s v="No"/>
    <s v="Travel_Rarely"/>
    <n v="1153"/>
    <x v="1"/>
    <n v="6"/>
    <n v="2"/>
    <s v="Other"/>
    <n v="1"/>
    <n v="1782"/>
    <n v="4"/>
    <s v="Female"/>
    <n v="40"/>
    <n v="2"/>
    <n v="1"/>
    <s v="Laboratory Technician"/>
    <n v="3"/>
    <s v="Married"/>
    <n v="3702"/>
    <n v="16376"/>
    <n v="1"/>
    <s v="Y"/>
    <s v="No"/>
    <n v="11"/>
    <n v="3"/>
    <n v="2"/>
    <n v="80"/>
    <n v="1"/>
    <n v="5"/>
    <n v="3"/>
    <n v="3"/>
    <n v="5"/>
    <n v="4"/>
    <n v="0"/>
    <n v="4"/>
    <s v="LAB-1782"/>
    <x v="2"/>
    <x v="1"/>
    <x v="1"/>
    <n v="5"/>
    <x v="0"/>
  </r>
  <r>
    <n v="22"/>
    <s v="Yes"/>
    <s v="Travel_Rarely"/>
    <n v="1294"/>
    <x v="1"/>
    <n v="8"/>
    <n v="1"/>
    <s v="Medical"/>
    <n v="1"/>
    <n v="1783"/>
    <n v="3"/>
    <s v="Female"/>
    <n v="79"/>
    <n v="3"/>
    <n v="1"/>
    <s v="Laboratory Technician"/>
    <n v="1"/>
    <s v="Married"/>
    <n v="2398"/>
    <n v="15999"/>
    <n v="1"/>
    <s v="Y"/>
    <s v="Yes"/>
    <n v="17"/>
    <n v="3"/>
    <n v="3"/>
    <n v="80"/>
    <n v="0"/>
    <n v="1"/>
    <n v="6"/>
    <n v="3"/>
    <n v="1"/>
    <n v="0"/>
    <n v="0"/>
    <n v="0"/>
    <s v="LAB-1783"/>
    <x v="2"/>
    <x v="1"/>
    <x v="0"/>
    <n v="1"/>
    <x v="0"/>
  </r>
  <r>
    <n v="31"/>
    <s v="No"/>
    <s v="Travel_Rarely"/>
    <n v="196"/>
    <x v="0"/>
    <n v="29"/>
    <n v="4"/>
    <s v="Marketing"/>
    <n v="1"/>
    <n v="1784"/>
    <n v="1"/>
    <s v="Female"/>
    <n v="91"/>
    <n v="2"/>
    <n v="2"/>
    <s v="Sales Executive"/>
    <n v="4"/>
    <s v="Married"/>
    <n v="5468"/>
    <n v="13402"/>
    <n v="1"/>
    <s v="Y"/>
    <s v="No"/>
    <n v="14"/>
    <n v="3"/>
    <n v="1"/>
    <n v="80"/>
    <n v="2"/>
    <n v="13"/>
    <n v="3"/>
    <n v="3"/>
    <n v="12"/>
    <n v="7"/>
    <n v="5"/>
    <n v="7"/>
    <s v="LAB-1784"/>
    <x v="0"/>
    <x v="0"/>
    <x v="1"/>
    <n v="12"/>
    <x v="0"/>
  </r>
  <r>
    <n v="51"/>
    <s v="No"/>
    <s v="Travel_Rarely"/>
    <n v="942"/>
    <x v="1"/>
    <n v="3"/>
    <n v="3"/>
    <s v="Technical Degree"/>
    <n v="1"/>
    <n v="1786"/>
    <n v="1"/>
    <s v="Female"/>
    <n v="53"/>
    <n v="3"/>
    <n v="3"/>
    <s v="Manager"/>
    <n v="3"/>
    <s v="Married"/>
    <n v="13116"/>
    <n v="22984"/>
    <n v="2"/>
    <s v="Y"/>
    <s v="No"/>
    <n v="11"/>
    <n v="3"/>
    <n v="4"/>
    <n v="80"/>
    <n v="0"/>
    <n v="15"/>
    <n v="2"/>
    <n v="3"/>
    <n v="2"/>
    <n v="2"/>
    <n v="2"/>
    <n v="2"/>
    <s v="LAB-1786"/>
    <x v="5"/>
    <x v="1"/>
    <x v="1"/>
    <n v="2"/>
    <x v="0"/>
  </r>
  <r>
    <n v="37"/>
    <s v="No"/>
    <s v="Travel_Rarely"/>
    <n v="589"/>
    <x v="0"/>
    <n v="9"/>
    <n v="2"/>
    <s v="Marketing"/>
    <n v="1"/>
    <n v="1787"/>
    <n v="2"/>
    <s v="Male"/>
    <n v="46"/>
    <n v="2"/>
    <n v="2"/>
    <s v="Sales Executive"/>
    <n v="2"/>
    <s v="Married"/>
    <n v="4189"/>
    <n v="8800"/>
    <n v="1"/>
    <s v="Y"/>
    <s v="No"/>
    <n v="14"/>
    <n v="3"/>
    <n v="1"/>
    <n v="80"/>
    <n v="2"/>
    <n v="5"/>
    <n v="2"/>
    <n v="3"/>
    <n v="5"/>
    <n v="2"/>
    <n v="0"/>
    <n v="3"/>
    <s v="LAB-1787"/>
    <x v="0"/>
    <x v="0"/>
    <x v="1"/>
    <n v="5"/>
    <x v="0"/>
  </r>
  <r>
    <n v="46"/>
    <s v="No"/>
    <s v="Travel_Rarely"/>
    <n v="734"/>
    <x v="1"/>
    <n v="2"/>
    <n v="4"/>
    <s v="Medical"/>
    <n v="1"/>
    <n v="1789"/>
    <n v="3"/>
    <s v="Male"/>
    <n v="46"/>
    <n v="3"/>
    <n v="5"/>
    <s v="Research Director"/>
    <n v="4"/>
    <s v="Divorced"/>
    <n v="19328"/>
    <n v="14218"/>
    <n v="7"/>
    <s v="Y"/>
    <s v="Yes"/>
    <n v="17"/>
    <n v="3"/>
    <n v="3"/>
    <n v="80"/>
    <n v="1"/>
    <n v="24"/>
    <n v="3"/>
    <n v="3"/>
    <n v="2"/>
    <n v="1"/>
    <n v="2"/>
    <n v="2"/>
    <s v="LAB-1789"/>
    <x v="7"/>
    <x v="1"/>
    <x v="1"/>
    <n v="2"/>
    <x v="0"/>
  </r>
  <r>
    <n v="36"/>
    <s v="No"/>
    <s v="Travel_Rarely"/>
    <n v="1383"/>
    <x v="1"/>
    <n v="10"/>
    <n v="3"/>
    <s v="Life Sciences"/>
    <n v="1"/>
    <n v="1790"/>
    <n v="4"/>
    <s v="Male"/>
    <n v="90"/>
    <n v="3"/>
    <n v="3"/>
    <s v="Healthcare Representative"/>
    <n v="1"/>
    <s v="Married"/>
    <n v="8321"/>
    <n v="25949"/>
    <n v="7"/>
    <s v="Y"/>
    <s v="Yes"/>
    <n v="13"/>
    <n v="3"/>
    <n v="4"/>
    <n v="80"/>
    <n v="1"/>
    <n v="15"/>
    <n v="1"/>
    <n v="3"/>
    <n v="12"/>
    <n v="8"/>
    <n v="5"/>
    <n v="7"/>
    <s v="LAB-1790"/>
    <x v="4"/>
    <x v="1"/>
    <x v="1"/>
    <n v="12"/>
    <x v="0"/>
  </r>
  <r>
    <n v="44"/>
    <s v="Yes"/>
    <s v="Travel_Frequently"/>
    <n v="429"/>
    <x v="1"/>
    <n v="1"/>
    <n v="2"/>
    <s v="Medical"/>
    <n v="1"/>
    <n v="1792"/>
    <n v="3"/>
    <s v="Male"/>
    <n v="99"/>
    <n v="3"/>
    <n v="1"/>
    <s v="Research Scientist"/>
    <n v="2"/>
    <s v="Divorced"/>
    <n v="2342"/>
    <n v="11092"/>
    <n v="1"/>
    <s v="Y"/>
    <s v="Yes"/>
    <n v="12"/>
    <n v="3"/>
    <n v="3"/>
    <n v="80"/>
    <n v="3"/>
    <n v="6"/>
    <n v="2"/>
    <n v="2"/>
    <n v="5"/>
    <n v="3"/>
    <n v="2"/>
    <n v="3"/>
    <s v="LAB-1792"/>
    <x v="1"/>
    <x v="1"/>
    <x v="0"/>
    <n v="5"/>
    <x v="0"/>
  </r>
  <r>
    <n v="37"/>
    <s v="No"/>
    <s v="Travel_Rarely"/>
    <n v="1239"/>
    <x v="2"/>
    <n v="8"/>
    <n v="2"/>
    <s v="Other"/>
    <n v="1"/>
    <n v="1794"/>
    <n v="3"/>
    <s v="Male"/>
    <n v="89"/>
    <n v="3"/>
    <n v="2"/>
    <s v="Human Resources"/>
    <n v="2"/>
    <s v="Divorced"/>
    <n v="4071"/>
    <n v="12832"/>
    <n v="2"/>
    <s v="Y"/>
    <s v="No"/>
    <n v="13"/>
    <n v="3"/>
    <n v="3"/>
    <n v="80"/>
    <n v="0"/>
    <n v="19"/>
    <n v="4"/>
    <n v="2"/>
    <n v="10"/>
    <n v="0"/>
    <n v="4"/>
    <n v="7"/>
    <s v="LAB-1794"/>
    <x v="8"/>
    <x v="2"/>
    <x v="1"/>
    <n v="10"/>
    <x v="0"/>
  </r>
  <r>
    <n v="35"/>
    <s v="Yes"/>
    <s v="Travel_Rarely"/>
    <n v="303"/>
    <x v="0"/>
    <n v="27"/>
    <n v="3"/>
    <s v="Life Sciences"/>
    <n v="1"/>
    <n v="1797"/>
    <n v="3"/>
    <s v="Male"/>
    <n v="84"/>
    <n v="3"/>
    <n v="2"/>
    <s v="Sales Executive"/>
    <n v="4"/>
    <s v="Single"/>
    <n v="5813"/>
    <n v="13492"/>
    <n v="1"/>
    <s v="Y"/>
    <s v="Yes"/>
    <n v="18"/>
    <n v="3"/>
    <n v="4"/>
    <n v="80"/>
    <n v="0"/>
    <n v="10"/>
    <n v="2"/>
    <n v="3"/>
    <n v="10"/>
    <n v="7"/>
    <n v="7"/>
    <n v="7"/>
    <s v="LAB-1797"/>
    <x v="0"/>
    <x v="0"/>
    <x v="0"/>
    <n v="10"/>
    <x v="0"/>
  </r>
  <r>
    <n v="33"/>
    <s v="No"/>
    <s v="Travel_Rarely"/>
    <n v="867"/>
    <x v="1"/>
    <n v="8"/>
    <n v="4"/>
    <s v="Life Sciences"/>
    <n v="1"/>
    <n v="1798"/>
    <n v="4"/>
    <s v="Male"/>
    <n v="90"/>
    <n v="4"/>
    <n v="1"/>
    <s v="Research Scientist"/>
    <n v="1"/>
    <s v="Married"/>
    <n v="3143"/>
    <n v="6076"/>
    <n v="6"/>
    <s v="Y"/>
    <s v="No"/>
    <n v="19"/>
    <n v="3"/>
    <n v="2"/>
    <n v="80"/>
    <n v="1"/>
    <n v="14"/>
    <n v="1"/>
    <n v="3"/>
    <n v="10"/>
    <n v="8"/>
    <n v="7"/>
    <n v="6"/>
    <s v="LAB-1798"/>
    <x v="1"/>
    <x v="1"/>
    <x v="1"/>
    <n v="10"/>
    <x v="0"/>
  </r>
  <r>
    <n v="28"/>
    <s v="No"/>
    <s v="Travel_Rarely"/>
    <n v="1181"/>
    <x v="1"/>
    <n v="1"/>
    <n v="3"/>
    <s v="Life Sciences"/>
    <n v="1"/>
    <n v="1799"/>
    <n v="3"/>
    <s v="Male"/>
    <n v="82"/>
    <n v="3"/>
    <n v="1"/>
    <s v="Research Scientist"/>
    <n v="4"/>
    <s v="Married"/>
    <n v="2044"/>
    <n v="5531"/>
    <n v="1"/>
    <s v="Y"/>
    <s v="No"/>
    <n v="11"/>
    <n v="3"/>
    <n v="3"/>
    <n v="80"/>
    <n v="1"/>
    <n v="5"/>
    <n v="6"/>
    <n v="4"/>
    <n v="5"/>
    <n v="3"/>
    <n v="0"/>
    <n v="3"/>
    <s v="LAB-1799"/>
    <x v="1"/>
    <x v="1"/>
    <x v="1"/>
    <n v="5"/>
    <x v="0"/>
  </r>
  <r>
    <n v="39"/>
    <s v="No"/>
    <s v="Travel_Rarely"/>
    <n v="1253"/>
    <x v="1"/>
    <n v="10"/>
    <n v="1"/>
    <s v="Medical"/>
    <n v="1"/>
    <n v="1800"/>
    <n v="3"/>
    <s v="Male"/>
    <n v="65"/>
    <n v="3"/>
    <n v="3"/>
    <s v="Research Director"/>
    <n v="3"/>
    <s v="Single"/>
    <n v="13464"/>
    <n v="7914"/>
    <n v="7"/>
    <s v="Y"/>
    <s v="No"/>
    <n v="21"/>
    <n v="4"/>
    <n v="3"/>
    <n v="80"/>
    <n v="0"/>
    <n v="9"/>
    <n v="3"/>
    <n v="3"/>
    <n v="4"/>
    <n v="3"/>
    <n v="2"/>
    <n v="2"/>
    <s v="LAB-1800"/>
    <x v="7"/>
    <x v="1"/>
    <x v="1"/>
    <n v="4"/>
    <x v="0"/>
  </r>
  <r>
    <n v="46"/>
    <s v="No"/>
    <s v="Non-Travel"/>
    <n v="849"/>
    <x v="0"/>
    <n v="26"/>
    <n v="2"/>
    <s v="Life Sciences"/>
    <n v="1"/>
    <n v="1801"/>
    <n v="2"/>
    <s v="Male"/>
    <n v="98"/>
    <n v="2"/>
    <n v="2"/>
    <s v="Sales Executive"/>
    <n v="2"/>
    <s v="Single"/>
    <n v="7991"/>
    <n v="25166"/>
    <n v="8"/>
    <s v="Y"/>
    <s v="No"/>
    <n v="15"/>
    <n v="3"/>
    <n v="3"/>
    <n v="80"/>
    <n v="0"/>
    <n v="6"/>
    <n v="3"/>
    <n v="3"/>
    <n v="2"/>
    <n v="2"/>
    <n v="2"/>
    <n v="2"/>
    <s v="LAB-1801"/>
    <x v="0"/>
    <x v="0"/>
    <x v="1"/>
    <n v="2"/>
    <x v="0"/>
  </r>
  <r>
    <n v="40"/>
    <s v="No"/>
    <s v="Travel_Rarely"/>
    <n v="616"/>
    <x v="1"/>
    <n v="2"/>
    <n v="2"/>
    <s v="Life Sciences"/>
    <n v="1"/>
    <n v="1802"/>
    <n v="3"/>
    <s v="Female"/>
    <n v="99"/>
    <n v="3"/>
    <n v="1"/>
    <s v="Laboratory Technician"/>
    <n v="1"/>
    <s v="Married"/>
    <n v="3377"/>
    <n v="25605"/>
    <n v="4"/>
    <s v="Y"/>
    <s v="No"/>
    <n v="17"/>
    <n v="3"/>
    <n v="4"/>
    <n v="80"/>
    <n v="1"/>
    <n v="7"/>
    <n v="5"/>
    <n v="2"/>
    <n v="4"/>
    <n v="3"/>
    <n v="0"/>
    <n v="2"/>
    <s v="LAB-1802"/>
    <x v="2"/>
    <x v="1"/>
    <x v="1"/>
    <n v="4"/>
    <x v="0"/>
  </r>
  <r>
    <n v="42"/>
    <s v="No"/>
    <s v="Travel_Rarely"/>
    <n v="1128"/>
    <x v="1"/>
    <n v="13"/>
    <n v="3"/>
    <s v="Medical"/>
    <n v="1"/>
    <n v="1803"/>
    <n v="2"/>
    <s v="Male"/>
    <n v="95"/>
    <n v="4"/>
    <n v="2"/>
    <s v="Healthcare Representative"/>
    <n v="1"/>
    <s v="Married"/>
    <n v="5538"/>
    <n v="5696"/>
    <n v="5"/>
    <s v="Y"/>
    <s v="No"/>
    <n v="18"/>
    <n v="3"/>
    <n v="3"/>
    <n v="80"/>
    <n v="2"/>
    <n v="10"/>
    <n v="2"/>
    <n v="2"/>
    <n v="0"/>
    <n v="0"/>
    <n v="0"/>
    <n v="0"/>
    <s v="LAB-1803"/>
    <x v="4"/>
    <x v="1"/>
    <x v="1"/>
    <n v="0"/>
    <x v="0"/>
  </r>
  <r>
    <n v="35"/>
    <s v="No"/>
    <s v="Non-Travel"/>
    <n v="1180"/>
    <x v="1"/>
    <n v="2"/>
    <n v="2"/>
    <s v="Medical"/>
    <n v="1"/>
    <n v="1804"/>
    <n v="2"/>
    <s v="Male"/>
    <n v="90"/>
    <n v="3"/>
    <n v="2"/>
    <s v="Manufacturing Director"/>
    <n v="4"/>
    <s v="Divorced"/>
    <n v="5762"/>
    <n v="24442"/>
    <n v="2"/>
    <s v="Y"/>
    <s v="No"/>
    <n v="14"/>
    <n v="3"/>
    <n v="3"/>
    <n v="80"/>
    <n v="1"/>
    <n v="15"/>
    <n v="6"/>
    <n v="3"/>
    <n v="7"/>
    <n v="7"/>
    <n v="1"/>
    <n v="7"/>
    <s v="LAB-1804"/>
    <x v="3"/>
    <x v="1"/>
    <x v="1"/>
    <n v="7"/>
    <x v="0"/>
  </r>
  <r>
    <n v="38"/>
    <s v="No"/>
    <s v="Non-Travel"/>
    <n v="1336"/>
    <x v="2"/>
    <n v="2"/>
    <n v="3"/>
    <s v="Human Resources"/>
    <n v="1"/>
    <n v="1805"/>
    <n v="1"/>
    <s v="Male"/>
    <n v="100"/>
    <n v="3"/>
    <n v="1"/>
    <s v="Human Resources"/>
    <n v="2"/>
    <s v="Divorced"/>
    <n v="2592"/>
    <n v="7129"/>
    <n v="5"/>
    <s v="Y"/>
    <s v="No"/>
    <n v="13"/>
    <n v="3"/>
    <n v="4"/>
    <n v="80"/>
    <n v="3"/>
    <n v="13"/>
    <n v="3"/>
    <n v="3"/>
    <n v="11"/>
    <n v="10"/>
    <n v="3"/>
    <n v="8"/>
    <s v="LAB-1805"/>
    <x v="8"/>
    <x v="2"/>
    <x v="1"/>
    <n v="11"/>
    <x v="0"/>
  </r>
  <r>
    <n v="34"/>
    <s v="Yes"/>
    <s v="Travel_Frequently"/>
    <n v="234"/>
    <x v="1"/>
    <n v="9"/>
    <n v="4"/>
    <s v="Life Sciences"/>
    <n v="1"/>
    <n v="1807"/>
    <n v="4"/>
    <s v="Male"/>
    <n v="93"/>
    <n v="3"/>
    <n v="2"/>
    <s v="Laboratory Technician"/>
    <n v="1"/>
    <s v="Married"/>
    <n v="5346"/>
    <n v="6208"/>
    <n v="4"/>
    <s v="Y"/>
    <s v="No"/>
    <n v="17"/>
    <n v="3"/>
    <n v="3"/>
    <n v="80"/>
    <n v="1"/>
    <n v="11"/>
    <n v="3"/>
    <n v="2"/>
    <n v="7"/>
    <n v="1"/>
    <n v="0"/>
    <n v="7"/>
    <s v="LAB-1807"/>
    <x v="2"/>
    <x v="1"/>
    <x v="0"/>
    <n v="7"/>
    <x v="0"/>
  </r>
  <r>
    <n v="37"/>
    <s v="Yes"/>
    <s v="Travel_Rarely"/>
    <n v="370"/>
    <x v="1"/>
    <n v="10"/>
    <n v="4"/>
    <s v="Medical"/>
    <n v="1"/>
    <n v="1809"/>
    <n v="4"/>
    <s v="Male"/>
    <n v="58"/>
    <n v="3"/>
    <n v="2"/>
    <s v="Manufacturing Director"/>
    <n v="1"/>
    <s v="Single"/>
    <n v="4213"/>
    <n v="4992"/>
    <n v="1"/>
    <s v="Y"/>
    <s v="No"/>
    <n v="15"/>
    <n v="3"/>
    <n v="2"/>
    <n v="80"/>
    <n v="0"/>
    <n v="10"/>
    <n v="4"/>
    <n v="1"/>
    <n v="10"/>
    <n v="3"/>
    <n v="0"/>
    <n v="8"/>
    <s v="LAB-1809"/>
    <x v="3"/>
    <x v="1"/>
    <x v="0"/>
    <n v="10"/>
    <x v="0"/>
  </r>
  <r>
    <n v="39"/>
    <s v="No"/>
    <s v="Travel_Frequently"/>
    <n v="766"/>
    <x v="0"/>
    <n v="20"/>
    <n v="3"/>
    <s v="Life Sciences"/>
    <n v="1"/>
    <n v="1812"/>
    <n v="3"/>
    <s v="Male"/>
    <n v="83"/>
    <n v="3"/>
    <n v="2"/>
    <s v="Sales Executive"/>
    <n v="4"/>
    <s v="Divorced"/>
    <n v="4127"/>
    <n v="19188"/>
    <n v="2"/>
    <s v="Y"/>
    <s v="No"/>
    <n v="18"/>
    <n v="3"/>
    <n v="4"/>
    <n v="80"/>
    <n v="1"/>
    <n v="7"/>
    <n v="6"/>
    <n v="3"/>
    <n v="2"/>
    <n v="1"/>
    <n v="2"/>
    <n v="2"/>
    <s v="LAB-1812"/>
    <x v="0"/>
    <x v="0"/>
    <x v="1"/>
    <n v="2"/>
    <x v="0"/>
  </r>
  <r>
    <n v="43"/>
    <s v="No"/>
    <s v="Non-Travel"/>
    <n v="343"/>
    <x v="1"/>
    <n v="9"/>
    <n v="3"/>
    <s v="Life Sciences"/>
    <n v="1"/>
    <n v="1813"/>
    <n v="1"/>
    <s v="Male"/>
    <n v="52"/>
    <n v="3"/>
    <n v="1"/>
    <s v="Research Scientist"/>
    <n v="3"/>
    <s v="Single"/>
    <n v="2438"/>
    <n v="24978"/>
    <n v="4"/>
    <s v="Y"/>
    <s v="No"/>
    <n v="13"/>
    <n v="3"/>
    <n v="3"/>
    <n v="80"/>
    <n v="0"/>
    <n v="7"/>
    <n v="2"/>
    <n v="2"/>
    <n v="3"/>
    <n v="2"/>
    <n v="1"/>
    <n v="2"/>
    <s v="LAB-1813"/>
    <x v="1"/>
    <x v="1"/>
    <x v="1"/>
    <n v="3"/>
    <x v="0"/>
  </r>
  <r>
    <n v="41"/>
    <s v="No"/>
    <s v="Travel_Rarely"/>
    <n v="447"/>
    <x v="1"/>
    <n v="5"/>
    <n v="3"/>
    <s v="Life Sciences"/>
    <n v="1"/>
    <n v="1814"/>
    <n v="2"/>
    <s v="Male"/>
    <n v="85"/>
    <n v="4"/>
    <n v="2"/>
    <s v="Healthcare Representative"/>
    <n v="2"/>
    <s v="Single"/>
    <n v="6870"/>
    <n v="15530"/>
    <n v="3"/>
    <s v="Y"/>
    <s v="No"/>
    <n v="12"/>
    <n v="3"/>
    <n v="1"/>
    <n v="80"/>
    <n v="0"/>
    <n v="11"/>
    <n v="3"/>
    <n v="1"/>
    <n v="3"/>
    <n v="2"/>
    <n v="1"/>
    <n v="2"/>
    <s v="LAB-1814"/>
    <x v="4"/>
    <x v="1"/>
    <x v="1"/>
    <n v="3"/>
    <x v="0"/>
  </r>
  <r>
    <n v="41"/>
    <s v="No"/>
    <s v="Travel_Rarely"/>
    <n v="796"/>
    <x v="0"/>
    <n v="4"/>
    <n v="1"/>
    <s v="Marketing"/>
    <n v="1"/>
    <n v="1815"/>
    <n v="3"/>
    <s v="Female"/>
    <n v="81"/>
    <n v="3"/>
    <n v="3"/>
    <s v="Sales Executive"/>
    <n v="3"/>
    <s v="Divorced"/>
    <n v="10447"/>
    <n v="26458"/>
    <n v="0"/>
    <s v="Y"/>
    <s v="Yes"/>
    <n v="13"/>
    <n v="3"/>
    <n v="4"/>
    <n v="80"/>
    <n v="1"/>
    <n v="23"/>
    <n v="3"/>
    <n v="4"/>
    <n v="22"/>
    <n v="14"/>
    <n v="13"/>
    <n v="5"/>
    <s v="LAB-1815"/>
    <x v="0"/>
    <x v="0"/>
    <x v="1"/>
    <n v="22"/>
    <x v="0"/>
  </r>
  <r>
    <n v="30"/>
    <s v="No"/>
    <s v="Travel_Rarely"/>
    <n v="1092"/>
    <x v="1"/>
    <n v="10"/>
    <n v="3"/>
    <s v="Medical"/>
    <n v="1"/>
    <n v="1816"/>
    <n v="1"/>
    <s v="Female"/>
    <n v="64"/>
    <n v="3"/>
    <n v="3"/>
    <s v="Manufacturing Director"/>
    <n v="3"/>
    <s v="Single"/>
    <n v="9667"/>
    <n v="2739"/>
    <n v="9"/>
    <s v="Y"/>
    <s v="No"/>
    <n v="14"/>
    <n v="3"/>
    <n v="2"/>
    <n v="80"/>
    <n v="0"/>
    <n v="9"/>
    <n v="3"/>
    <n v="3"/>
    <n v="7"/>
    <n v="7"/>
    <n v="0"/>
    <n v="2"/>
    <s v="LAB-1816"/>
    <x v="3"/>
    <x v="1"/>
    <x v="1"/>
    <n v="7"/>
    <x v="0"/>
  </r>
  <r>
    <n v="26"/>
    <s v="Yes"/>
    <s v="Travel_Rarely"/>
    <n v="920"/>
    <x v="2"/>
    <n v="20"/>
    <n v="2"/>
    <s v="Medical"/>
    <n v="1"/>
    <n v="1818"/>
    <n v="4"/>
    <s v="Female"/>
    <n v="69"/>
    <n v="3"/>
    <n v="1"/>
    <s v="Human Resources"/>
    <n v="2"/>
    <s v="Married"/>
    <n v="2148"/>
    <n v="6889"/>
    <n v="0"/>
    <s v="Y"/>
    <s v="Yes"/>
    <n v="11"/>
    <n v="3"/>
    <n v="3"/>
    <n v="80"/>
    <n v="0"/>
    <n v="6"/>
    <n v="3"/>
    <n v="3"/>
    <n v="5"/>
    <n v="1"/>
    <n v="1"/>
    <n v="4"/>
    <s v="LAB-1818"/>
    <x v="8"/>
    <x v="2"/>
    <x v="0"/>
    <n v="5"/>
    <x v="0"/>
  </r>
  <r>
    <n v="46"/>
    <s v="Yes"/>
    <s v="Travel_Rarely"/>
    <n v="261"/>
    <x v="1"/>
    <n v="21"/>
    <n v="2"/>
    <s v="Medical"/>
    <n v="1"/>
    <n v="1821"/>
    <n v="4"/>
    <s v="Female"/>
    <n v="66"/>
    <n v="3"/>
    <n v="2"/>
    <s v="Healthcare Representative"/>
    <n v="2"/>
    <s v="Married"/>
    <n v="8926"/>
    <n v="10842"/>
    <n v="4"/>
    <s v="Y"/>
    <s v="No"/>
    <n v="22"/>
    <n v="4"/>
    <n v="4"/>
    <n v="80"/>
    <n v="1"/>
    <n v="13"/>
    <n v="2"/>
    <n v="4"/>
    <n v="9"/>
    <n v="7"/>
    <n v="3"/>
    <n v="7"/>
    <s v="LAB-1821"/>
    <x v="4"/>
    <x v="1"/>
    <x v="0"/>
    <n v="9"/>
    <x v="0"/>
  </r>
  <r>
    <n v="40"/>
    <s v="No"/>
    <s v="Travel_Rarely"/>
    <n v="1194"/>
    <x v="1"/>
    <n v="1"/>
    <n v="3"/>
    <s v="Life Sciences"/>
    <n v="1"/>
    <n v="1822"/>
    <n v="3"/>
    <s v="Female"/>
    <n v="52"/>
    <n v="3"/>
    <n v="2"/>
    <s v="Healthcare Representative"/>
    <n v="4"/>
    <s v="Divorced"/>
    <n v="6513"/>
    <n v="9060"/>
    <n v="4"/>
    <s v="Y"/>
    <s v="No"/>
    <n v="17"/>
    <n v="3"/>
    <n v="4"/>
    <n v="80"/>
    <n v="1"/>
    <n v="12"/>
    <n v="3"/>
    <n v="3"/>
    <n v="5"/>
    <n v="3"/>
    <n v="0"/>
    <n v="3"/>
    <s v="LAB-1822"/>
    <x v="4"/>
    <x v="1"/>
    <x v="1"/>
    <n v="5"/>
    <x v="0"/>
  </r>
  <r>
    <n v="34"/>
    <s v="No"/>
    <s v="Travel_Rarely"/>
    <n v="810"/>
    <x v="0"/>
    <n v="8"/>
    <n v="2"/>
    <s v="Technical Degree"/>
    <n v="1"/>
    <n v="1823"/>
    <n v="2"/>
    <s v="Male"/>
    <n v="92"/>
    <n v="4"/>
    <n v="2"/>
    <s v="Sales Executive"/>
    <n v="3"/>
    <s v="Married"/>
    <n v="6799"/>
    <n v="22128"/>
    <n v="1"/>
    <s v="Y"/>
    <s v="No"/>
    <n v="21"/>
    <n v="4"/>
    <n v="3"/>
    <n v="80"/>
    <n v="2"/>
    <n v="10"/>
    <n v="5"/>
    <n v="3"/>
    <n v="10"/>
    <n v="8"/>
    <n v="4"/>
    <n v="8"/>
    <s v="LAB-1823"/>
    <x v="0"/>
    <x v="0"/>
    <x v="1"/>
    <n v="10"/>
    <x v="0"/>
  </r>
  <r>
    <n v="58"/>
    <s v="No"/>
    <s v="Non-Travel"/>
    <n v="350"/>
    <x v="0"/>
    <n v="2"/>
    <n v="3"/>
    <s v="Medical"/>
    <n v="1"/>
    <n v="1824"/>
    <n v="2"/>
    <s v="Male"/>
    <n v="52"/>
    <n v="3"/>
    <n v="4"/>
    <s v="Manager"/>
    <n v="2"/>
    <s v="Divorced"/>
    <n v="16291"/>
    <n v="22577"/>
    <n v="4"/>
    <s v="Y"/>
    <s v="No"/>
    <n v="22"/>
    <n v="4"/>
    <n v="4"/>
    <n v="80"/>
    <n v="1"/>
    <n v="37"/>
    <n v="0"/>
    <n v="2"/>
    <n v="16"/>
    <n v="9"/>
    <n v="14"/>
    <n v="14"/>
    <s v="LAB-1824"/>
    <x v="5"/>
    <x v="0"/>
    <x v="1"/>
    <n v="16"/>
    <x v="0"/>
  </r>
  <r>
    <n v="35"/>
    <s v="No"/>
    <s v="Travel_Rarely"/>
    <n v="185"/>
    <x v="1"/>
    <n v="23"/>
    <n v="4"/>
    <s v="Medical"/>
    <n v="1"/>
    <n v="1826"/>
    <n v="2"/>
    <s v="Male"/>
    <n v="91"/>
    <n v="1"/>
    <n v="1"/>
    <s v="Laboratory Technician"/>
    <n v="3"/>
    <s v="Married"/>
    <n v="2705"/>
    <n v="9696"/>
    <n v="0"/>
    <s v="Y"/>
    <s v="No"/>
    <n v="16"/>
    <n v="3"/>
    <n v="2"/>
    <n v="80"/>
    <n v="1"/>
    <n v="6"/>
    <n v="2"/>
    <n v="4"/>
    <n v="5"/>
    <n v="4"/>
    <n v="0"/>
    <n v="3"/>
    <s v="LAB-1826"/>
    <x v="2"/>
    <x v="1"/>
    <x v="1"/>
    <n v="5"/>
    <x v="0"/>
  </r>
  <r>
    <n v="47"/>
    <s v="No"/>
    <s v="Travel_Rarely"/>
    <n v="1001"/>
    <x v="1"/>
    <n v="4"/>
    <n v="3"/>
    <s v="Life Sciences"/>
    <n v="1"/>
    <n v="1827"/>
    <n v="3"/>
    <s v="Female"/>
    <n v="92"/>
    <n v="2"/>
    <n v="3"/>
    <s v="Manufacturing Director"/>
    <n v="2"/>
    <s v="Divorced"/>
    <n v="10333"/>
    <n v="19271"/>
    <n v="8"/>
    <s v="Y"/>
    <s v="Yes"/>
    <n v="12"/>
    <n v="3"/>
    <n v="3"/>
    <n v="80"/>
    <n v="1"/>
    <n v="28"/>
    <n v="4"/>
    <n v="3"/>
    <n v="22"/>
    <n v="11"/>
    <n v="14"/>
    <n v="10"/>
    <s v="LAB-1827"/>
    <x v="3"/>
    <x v="1"/>
    <x v="1"/>
    <n v="22"/>
    <x v="0"/>
  </r>
  <r>
    <n v="40"/>
    <s v="No"/>
    <s v="Travel_Rarely"/>
    <n v="750"/>
    <x v="1"/>
    <n v="12"/>
    <n v="3"/>
    <s v="Life Sciences"/>
    <n v="1"/>
    <n v="1829"/>
    <n v="2"/>
    <s v="Female"/>
    <n v="47"/>
    <n v="3"/>
    <n v="2"/>
    <s v="Healthcare Representative"/>
    <n v="1"/>
    <s v="Divorced"/>
    <n v="4448"/>
    <n v="10748"/>
    <n v="2"/>
    <s v="Y"/>
    <s v="No"/>
    <n v="12"/>
    <n v="3"/>
    <n v="2"/>
    <n v="80"/>
    <n v="1"/>
    <n v="15"/>
    <n v="3"/>
    <n v="3"/>
    <n v="7"/>
    <n v="4"/>
    <n v="7"/>
    <n v="7"/>
    <s v="LAB-1829"/>
    <x v="4"/>
    <x v="1"/>
    <x v="1"/>
    <n v="7"/>
    <x v="0"/>
  </r>
  <r>
    <n v="54"/>
    <s v="No"/>
    <s v="Travel_Rarely"/>
    <n v="431"/>
    <x v="1"/>
    <n v="7"/>
    <n v="4"/>
    <s v="Medical"/>
    <n v="1"/>
    <n v="1830"/>
    <n v="4"/>
    <s v="Female"/>
    <n v="68"/>
    <n v="3"/>
    <n v="2"/>
    <s v="Research Scientist"/>
    <n v="4"/>
    <s v="Married"/>
    <n v="6854"/>
    <n v="15696"/>
    <n v="4"/>
    <s v="Y"/>
    <s v="No"/>
    <n v="15"/>
    <n v="3"/>
    <n v="2"/>
    <n v="80"/>
    <n v="1"/>
    <n v="14"/>
    <n v="2"/>
    <n v="2"/>
    <n v="7"/>
    <n v="1"/>
    <n v="1"/>
    <n v="7"/>
    <s v="LAB-1830"/>
    <x v="1"/>
    <x v="1"/>
    <x v="1"/>
    <n v="7"/>
    <x v="0"/>
  </r>
  <r>
    <n v="31"/>
    <s v="No"/>
    <s v="Travel_Frequently"/>
    <n v="1125"/>
    <x v="0"/>
    <n v="7"/>
    <n v="4"/>
    <s v="Marketing"/>
    <n v="1"/>
    <n v="1833"/>
    <n v="1"/>
    <s v="Female"/>
    <n v="68"/>
    <n v="3"/>
    <n v="3"/>
    <s v="Sales Executive"/>
    <n v="1"/>
    <s v="Married"/>
    <n v="9637"/>
    <n v="8277"/>
    <n v="2"/>
    <s v="Y"/>
    <s v="No"/>
    <n v="14"/>
    <n v="3"/>
    <n v="4"/>
    <n v="80"/>
    <n v="2"/>
    <n v="9"/>
    <n v="3"/>
    <n v="3"/>
    <n v="3"/>
    <n v="2"/>
    <n v="2"/>
    <n v="2"/>
    <s v="LAB-1833"/>
    <x v="0"/>
    <x v="0"/>
    <x v="1"/>
    <n v="3"/>
    <x v="0"/>
  </r>
  <r>
    <n v="28"/>
    <s v="No"/>
    <s v="Travel_Rarely"/>
    <n v="1217"/>
    <x v="1"/>
    <n v="1"/>
    <n v="3"/>
    <s v="Medical"/>
    <n v="1"/>
    <n v="1834"/>
    <n v="3"/>
    <s v="Female"/>
    <n v="67"/>
    <n v="3"/>
    <n v="1"/>
    <s v="Research Scientist"/>
    <n v="1"/>
    <s v="Married"/>
    <n v="3591"/>
    <n v="12719"/>
    <n v="1"/>
    <s v="Y"/>
    <s v="No"/>
    <n v="25"/>
    <n v="4"/>
    <n v="3"/>
    <n v="80"/>
    <n v="1"/>
    <n v="3"/>
    <n v="3"/>
    <n v="3"/>
    <n v="3"/>
    <n v="2"/>
    <n v="1"/>
    <n v="2"/>
    <s v="LAB-1834"/>
    <x v="1"/>
    <x v="1"/>
    <x v="1"/>
    <n v="3"/>
    <x v="0"/>
  </r>
  <r>
    <n v="38"/>
    <s v="No"/>
    <s v="Travel_Rarely"/>
    <n v="723"/>
    <x v="0"/>
    <n v="2"/>
    <n v="4"/>
    <s v="Marketing"/>
    <n v="1"/>
    <n v="1835"/>
    <n v="2"/>
    <s v="Female"/>
    <n v="77"/>
    <n v="1"/>
    <n v="2"/>
    <s v="Sales Representative"/>
    <n v="4"/>
    <s v="Married"/>
    <n v="5405"/>
    <n v="4244"/>
    <n v="2"/>
    <s v="Y"/>
    <s v="Yes"/>
    <n v="20"/>
    <n v="4"/>
    <n v="1"/>
    <n v="80"/>
    <n v="2"/>
    <n v="20"/>
    <n v="4"/>
    <n v="2"/>
    <n v="4"/>
    <n v="2"/>
    <n v="0"/>
    <n v="3"/>
    <s v="LAB-1835"/>
    <x v="6"/>
    <x v="0"/>
    <x v="1"/>
    <n v="4"/>
    <x v="0"/>
  </r>
  <r>
    <n v="26"/>
    <s v="No"/>
    <s v="Travel_Rarely"/>
    <n v="572"/>
    <x v="0"/>
    <n v="10"/>
    <n v="3"/>
    <s v="Medical"/>
    <n v="1"/>
    <n v="1836"/>
    <n v="3"/>
    <s v="Male"/>
    <n v="46"/>
    <n v="3"/>
    <n v="2"/>
    <s v="Sales Executive"/>
    <n v="4"/>
    <s v="Single"/>
    <n v="4684"/>
    <n v="9125"/>
    <n v="1"/>
    <s v="Y"/>
    <s v="No"/>
    <n v="13"/>
    <n v="3"/>
    <n v="1"/>
    <n v="80"/>
    <n v="0"/>
    <n v="5"/>
    <n v="4"/>
    <n v="3"/>
    <n v="5"/>
    <n v="3"/>
    <n v="1"/>
    <n v="2"/>
    <s v="LAB-1836"/>
    <x v="0"/>
    <x v="0"/>
    <x v="1"/>
    <n v="5"/>
    <x v="0"/>
  </r>
  <r>
    <n v="58"/>
    <s v="No"/>
    <s v="Travel_Frequently"/>
    <n v="1216"/>
    <x v="1"/>
    <n v="15"/>
    <n v="4"/>
    <s v="Life Sciences"/>
    <n v="1"/>
    <n v="1837"/>
    <n v="1"/>
    <s v="Male"/>
    <n v="87"/>
    <n v="3"/>
    <n v="4"/>
    <s v="Research Director"/>
    <n v="3"/>
    <s v="Married"/>
    <n v="15787"/>
    <n v="21624"/>
    <n v="2"/>
    <s v="Y"/>
    <s v="Yes"/>
    <n v="14"/>
    <n v="3"/>
    <n v="2"/>
    <n v="80"/>
    <n v="0"/>
    <n v="23"/>
    <n v="3"/>
    <n v="3"/>
    <n v="2"/>
    <n v="2"/>
    <n v="2"/>
    <n v="2"/>
    <s v="LAB-1837"/>
    <x v="7"/>
    <x v="1"/>
    <x v="1"/>
    <n v="2"/>
    <x v="0"/>
  </r>
  <r>
    <n v="18"/>
    <s v="No"/>
    <s v="Non-Travel"/>
    <n v="1431"/>
    <x v="1"/>
    <n v="14"/>
    <n v="3"/>
    <s v="Medical"/>
    <n v="1"/>
    <n v="1839"/>
    <n v="2"/>
    <s v="Female"/>
    <n v="33"/>
    <n v="3"/>
    <n v="1"/>
    <s v="Research Scientist"/>
    <n v="3"/>
    <s v="Single"/>
    <n v="1514"/>
    <n v="8018"/>
    <n v="1"/>
    <s v="Y"/>
    <s v="No"/>
    <n v="16"/>
    <n v="3"/>
    <n v="3"/>
    <n v="80"/>
    <n v="0"/>
    <n v="0"/>
    <n v="4"/>
    <n v="1"/>
    <n v="0"/>
    <n v="0"/>
    <n v="0"/>
    <n v="0"/>
    <s v="LAB-1839"/>
    <x v="1"/>
    <x v="1"/>
    <x v="1"/>
    <n v="0"/>
    <x v="0"/>
  </r>
  <r>
    <n v="31"/>
    <s v="Yes"/>
    <s v="Travel_Rarely"/>
    <n v="359"/>
    <x v="2"/>
    <n v="18"/>
    <n v="5"/>
    <s v="Human Resources"/>
    <n v="1"/>
    <n v="1842"/>
    <n v="4"/>
    <s v="Male"/>
    <n v="89"/>
    <n v="4"/>
    <n v="1"/>
    <s v="Human Resources"/>
    <n v="1"/>
    <s v="Married"/>
    <n v="2956"/>
    <n v="21495"/>
    <n v="0"/>
    <s v="Y"/>
    <s v="No"/>
    <n v="17"/>
    <n v="3"/>
    <n v="3"/>
    <n v="80"/>
    <n v="0"/>
    <n v="2"/>
    <n v="4"/>
    <n v="3"/>
    <n v="1"/>
    <n v="0"/>
    <n v="0"/>
    <n v="0"/>
    <s v="LAB-1842"/>
    <x v="8"/>
    <x v="2"/>
    <x v="0"/>
    <n v="1"/>
    <x v="0"/>
  </r>
  <r>
    <n v="29"/>
    <s v="Yes"/>
    <s v="Travel_Rarely"/>
    <n v="350"/>
    <x v="2"/>
    <n v="13"/>
    <n v="3"/>
    <s v="Human Resources"/>
    <n v="1"/>
    <n v="1844"/>
    <n v="1"/>
    <s v="Male"/>
    <n v="56"/>
    <n v="2"/>
    <n v="1"/>
    <s v="Human Resources"/>
    <n v="1"/>
    <s v="Divorced"/>
    <n v="2335"/>
    <n v="3157"/>
    <n v="4"/>
    <s v="Y"/>
    <s v="Yes"/>
    <n v="15"/>
    <n v="3"/>
    <n v="4"/>
    <n v="80"/>
    <n v="3"/>
    <n v="4"/>
    <n v="3"/>
    <n v="3"/>
    <n v="2"/>
    <n v="2"/>
    <n v="2"/>
    <n v="0"/>
    <s v="LAB-1844"/>
    <x v="8"/>
    <x v="2"/>
    <x v="0"/>
    <n v="2"/>
    <x v="0"/>
  </r>
  <r>
    <n v="45"/>
    <s v="No"/>
    <s v="Non-Travel"/>
    <n v="589"/>
    <x v="0"/>
    <n v="2"/>
    <n v="4"/>
    <s v="Life Sciences"/>
    <n v="1"/>
    <n v="1845"/>
    <n v="3"/>
    <s v="Female"/>
    <n v="67"/>
    <n v="3"/>
    <n v="2"/>
    <s v="Sales Executive"/>
    <n v="3"/>
    <s v="Married"/>
    <n v="5154"/>
    <n v="19665"/>
    <n v="4"/>
    <s v="Y"/>
    <s v="No"/>
    <n v="22"/>
    <n v="4"/>
    <n v="2"/>
    <n v="80"/>
    <n v="2"/>
    <n v="10"/>
    <n v="3"/>
    <n v="4"/>
    <n v="8"/>
    <n v="7"/>
    <n v="5"/>
    <n v="7"/>
    <s v="LAB-1845"/>
    <x v="0"/>
    <x v="0"/>
    <x v="1"/>
    <n v="8"/>
    <x v="0"/>
  </r>
  <r>
    <n v="36"/>
    <s v="No"/>
    <s v="Travel_Rarely"/>
    <n v="430"/>
    <x v="1"/>
    <n v="2"/>
    <n v="4"/>
    <s v="Other"/>
    <n v="1"/>
    <n v="1847"/>
    <n v="4"/>
    <s v="Female"/>
    <n v="73"/>
    <n v="3"/>
    <n v="2"/>
    <s v="Research Scientist"/>
    <n v="2"/>
    <s v="Married"/>
    <n v="6962"/>
    <n v="19573"/>
    <n v="4"/>
    <s v="Y"/>
    <s v="Yes"/>
    <n v="22"/>
    <n v="4"/>
    <n v="4"/>
    <n v="80"/>
    <n v="1"/>
    <n v="15"/>
    <n v="2"/>
    <n v="3"/>
    <n v="1"/>
    <n v="0"/>
    <n v="0"/>
    <n v="0"/>
    <s v="LAB-1847"/>
    <x v="1"/>
    <x v="1"/>
    <x v="1"/>
    <n v="1"/>
    <x v="0"/>
  </r>
  <r>
    <n v="43"/>
    <s v="No"/>
    <s v="Travel_Frequently"/>
    <n v="1422"/>
    <x v="0"/>
    <n v="2"/>
    <n v="4"/>
    <s v="Life Sciences"/>
    <n v="1"/>
    <n v="1849"/>
    <n v="1"/>
    <s v="Male"/>
    <n v="92"/>
    <n v="3"/>
    <n v="2"/>
    <s v="Sales Executive"/>
    <n v="4"/>
    <s v="Married"/>
    <n v="5675"/>
    <n v="19246"/>
    <n v="1"/>
    <s v="Y"/>
    <s v="No"/>
    <n v="20"/>
    <n v="4"/>
    <n v="3"/>
    <n v="80"/>
    <n v="1"/>
    <n v="7"/>
    <n v="5"/>
    <n v="3"/>
    <n v="7"/>
    <n v="7"/>
    <n v="7"/>
    <n v="7"/>
    <s v="LAB-1849"/>
    <x v="0"/>
    <x v="0"/>
    <x v="1"/>
    <n v="7"/>
    <x v="0"/>
  </r>
  <r>
    <n v="27"/>
    <s v="No"/>
    <s v="Travel_Frequently"/>
    <n v="1297"/>
    <x v="1"/>
    <n v="5"/>
    <n v="2"/>
    <s v="Life Sciences"/>
    <n v="1"/>
    <n v="1850"/>
    <n v="4"/>
    <s v="Female"/>
    <n v="53"/>
    <n v="3"/>
    <n v="1"/>
    <s v="Laboratory Technician"/>
    <n v="4"/>
    <s v="Single"/>
    <n v="2379"/>
    <n v="19826"/>
    <n v="0"/>
    <s v="Y"/>
    <s v="Yes"/>
    <n v="14"/>
    <n v="3"/>
    <n v="3"/>
    <n v="80"/>
    <n v="0"/>
    <n v="6"/>
    <n v="3"/>
    <n v="2"/>
    <n v="5"/>
    <n v="4"/>
    <n v="0"/>
    <n v="2"/>
    <s v="LAB-1850"/>
    <x v="2"/>
    <x v="1"/>
    <x v="1"/>
    <n v="5"/>
    <x v="0"/>
  </r>
  <r>
    <n v="29"/>
    <s v="No"/>
    <s v="Travel_Frequently"/>
    <n v="574"/>
    <x v="1"/>
    <n v="20"/>
    <n v="1"/>
    <s v="Medical"/>
    <n v="1"/>
    <n v="1852"/>
    <n v="4"/>
    <s v="Male"/>
    <n v="40"/>
    <n v="3"/>
    <n v="1"/>
    <s v="Laboratory Technician"/>
    <n v="4"/>
    <s v="Married"/>
    <n v="3812"/>
    <n v="7003"/>
    <n v="1"/>
    <s v="Y"/>
    <s v="No"/>
    <n v="13"/>
    <n v="3"/>
    <n v="2"/>
    <n v="80"/>
    <n v="0"/>
    <n v="11"/>
    <n v="3"/>
    <n v="4"/>
    <n v="11"/>
    <n v="8"/>
    <n v="3"/>
    <n v="10"/>
    <s v="LAB-1852"/>
    <x v="2"/>
    <x v="1"/>
    <x v="1"/>
    <n v="11"/>
    <x v="0"/>
  </r>
  <r>
    <n v="32"/>
    <s v="No"/>
    <s v="Travel_Frequently"/>
    <n v="1318"/>
    <x v="0"/>
    <n v="10"/>
    <n v="4"/>
    <s v="Marketing"/>
    <n v="1"/>
    <n v="1853"/>
    <n v="4"/>
    <s v="Male"/>
    <n v="79"/>
    <n v="3"/>
    <n v="2"/>
    <s v="Sales Executive"/>
    <n v="4"/>
    <s v="Single"/>
    <n v="4648"/>
    <n v="26075"/>
    <n v="8"/>
    <s v="Y"/>
    <s v="No"/>
    <n v="13"/>
    <n v="3"/>
    <n v="3"/>
    <n v="80"/>
    <n v="0"/>
    <n v="4"/>
    <n v="2"/>
    <n v="4"/>
    <n v="0"/>
    <n v="0"/>
    <n v="0"/>
    <n v="0"/>
    <s v="LAB-1853"/>
    <x v="0"/>
    <x v="0"/>
    <x v="1"/>
    <n v="0"/>
    <x v="0"/>
  </r>
  <r>
    <n v="42"/>
    <s v="No"/>
    <s v="Non-Travel"/>
    <n v="355"/>
    <x v="1"/>
    <n v="10"/>
    <n v="4"/>
    <s v="Technical Degree"/>
    <n v="1"/>
    <n v="1854"/>
    <n v="3"/>
    <s v="Male"/>
    <n v="38"/>
    <n v="3"/>
    <n v="1"/>
    <s v="Research Scientist"/>
    <n v="3"/>
    <s v="Married"/>
    <n v="2936"/>
    <n v="6161"/>
    <n v="3"/>
    <s v="Y"/>
    <s v="No"/>
    <n v="22"/>
    <n v="4"/>
    <n v="2"/>
    <n v="80"/>
    <n v="2"/>
    <n v="10"/>
    <n v="1"/>
    <n v="2"/>
    <n v="6"/>
    <n v="3"/>
    <n v="3"/>
    <n v="3"/>
    <s v="LAB-1854"/>
    <x v="1"/>
    <x v="1"/>
    <x v="1"/>
    <n v="6"/>
    <x v="0"/>
  </r>
  <r>
    <n v="47"/>
    <s v="No"/>
    <s v="Travel_Rarely"/>
    <n v="207"/>
    <x v="1"/>
    <n v="9"/>
    <n v="4"/>
    <s v="Life Sciences"/>
    <n v="1"/>
    <n v="1856"/>
    <n v="2"/>
    <s v="Female"/>
    <n v="64"/>
    <n v="3"/>
    <n v="1"/>
    <s v="Laboratory Technician"/>
    <n v="3"/>
    <s v="Single"/>
    <n v="2105"/>
    <n v="5411"/>
    <n v="4"/>
    <s v="Y"/>
    <s v="No"/>
    <n v="12"/>
    <n v="3"/>
    <n v="3"/>
    <n v="80"/>
    <n v="0"/>
    <n v="7"/>
    <n v="2"/>
    <n v="3"/>
    <n v="2"/>
    <n v="2"/>
    <n v="2"/>
    <n v="0"/>
    <s v="LAB-1856"/>
    <x v="2"/>
    <x v="1"/>
    <x v="1"/>
    <n v="2"/>
    <x v="0"/>
  </r>
  <r>
    <n v="46"/>
    <s v="No"/>
    <s v="Travel_Rarely"/>
    <n v="706"/>
    <x v="1"/>
    <n v="2"/>
    <n v="2"/>
    <s v="Life Sciences"/>
    <n v="1"/>
    <n v="1857"/>
    <n v="4"/>
    <s v="Male"/>
    <n v="82"/>
    <n v="3"/>
    <n v="3"/>
    <s v="Manufacturing Director"/>
    <n v="4"/>
    <s v="Divorced"/>
    <n v="8578"/>
    <n v="19989"/>
    <n v="3"/>
    <s v="Y"/>
    <s v="No"/>
    <n v="14"/>
    <n v="3"/>
    <n v="3"/>
    <n v="80"/>
    <n v="1"/>
    <n v="12"/>
    <n v="4"/>
    <n v="2"/>
    <n v="9"/>
    <n v="8"/>
    <n v="4"/>
    <n v="7"/>
    <s v="LAB-1857"/>
    <x v="3"/>
    <x v="1"/>
    <x v="1"/>
    <n v="9"/>
    <x v="0"/>
  </r>
  <r>
    <n v="28"/>
    <s v="No"/>
    <s v="Non-Travel"/>
    <n v="280"/>
    <x v="2"/>
    <n v="1"/>
    <n v="2"/>
    <s v="Life Sciences"/>
    <n v="1"/>
    <n v="1858"/>
    <n v="3"/>
    <s v="Male"/>
    <n v="43"/>
    <n v="3"/>
    <n v="1"/>
    <s v="Human Resources"/>
    <n v="4"/>
    <s v="Divorced"/>
    <n v="2706"/>
    <n v="10494"/>
    <n v="1"/>
    <s v="Y"/>
    <s v="No"/>
    <n v="15"/>
    <n v="3"/>
    <n v="2"/>
    <n v="80"/>
    <n v="1"/>
    <n v="3"/>
    <n v="2"/>
    <n v="3"/>
    <n v="3"/>
    <n v="2"/>
    <n v="2"/>
    <n v="2"/>
    <s v="LAB-1858"/>
    <x v="8"/>
    <x v="2"/>
    <x v="1"/>
    <n v="3"/>
    <x v="0"/>
  </r>
  <r>
    <n v="29"/>
    <s v="No"/>
    <s v="Travel_Rarely"/>
    <n v="726"/>
    <x v="1"/>
    <n v="29"/>
    <n v="1"/>
    <s v="Life Sciences"/>
    <n v="1"/>
    <n v="1859"/>
    <n v="4"/>
    <s v="Male"/>
    <n v="93"/>
    <n v="1"/>
    <n v="2"/>
    <s v="Healthcare Representative"/>
    <n v="3"/>
    <s v="Divorced"/>
    <n v="6384"/>
    <n v="21143"/>
    <n v="8"/>
    <s v="Y"/>
    <s v="No"/>
    <n v="17"/>
    <n v="3"/>
    <n v="4"/>
    <n v="80"/>
    <n v="2"/>
    <n v="11"/>
    <n v="3"/>
    <n v="3"/>
    <n v="7"/>
    <n v="0"/>
    <n v="1"/>
    <n v="6"/>
    <s v="LAB-1859"/>
    <x v="4"/>
    <x v="1"/>
    <x v="1"/>
    <n v="7"/>
    <x v="0"/>
  </r>
  <r>
    <n v="42"/>
    <s v="No"/>
    <s v="Travel_Rarely"/>
    <n v="1142"/>
    <x v="1"/>
    <n v="8"/>
    <n v="3"/>
    <s v="Life Sciences"/>
    <n v="1"/>
    <n v="1860"/>
    <n v="4"/>
    <s v="Male"/>
    <n v="81"/>
    <n v="3"/>
    <n v="1"/>
    <s v="Laboratory Technician"/>
    <n v="3"/>
    <s v="Single"/>
    <n v="3968"/>
    <n v="13624"/>
    <n v="4"/>
    <s v="Y"/>
    <s v="No"/>
    <n v="13"/>
    <n v="3"/>
    <n v="4"/>
    <n v="80"/>
    <n v="0"/>
    <n v="8"/>
    <n v="3"/>
    <n v="3"/>
    <n v="0"/>
    <n v="0"/>
    <n v="0"/>
    <n v="0"/>
    <s v="LAB-1860"/>
    <x v="2"/>
    <x v="1"/>
    <x v="1"/>
    <n v="0"/>
    <x v="0"/>
  </r>
  <r>
    <n v="32"/>
    <s v="Yes"/>
    <s v="Travel_Rarely"/>
    <n v="414"/>
    <x v="0"/>
    <n v="2"/>
    <n v="4"/>
    <s v="Marketing"/>
    <n v="1"/>
    <n v="1862"/>
    <n v="3"/>
    <s v="Male"/>
    <n v="82"/>
    <n v="2"/>
    <n v="2"/>
    <s v="Sales Executive"/>
    <n v="2"/>
    <s v="Single"/>
    <n v="9907"/>
    <n v="26186"/>
    <n v="7"/>
    <s v="Y"/>
    <s v="Yes"/>
    <n v="12"/>
    <n v="3"/>
    <n v="3"/>
    <n v="80"/>
    <n v="0"/>
    <n v="7"/>
    <n v="3"/>
    <n v="2"/>
    <n v="2"/>
    <n v="2"/>
    <n v="2"/>
    <n v="2"/>
    <s v="LAB-1862"/>
    <x v="0"/>
    <x v="0"/>
    <x v="0"/>
    <n v="2"/>
    <x v="0"/>
  </r>
  <r>
    <n v="46"/>
    <s v="No"/>
    <s v="Travel_Rarely"/>
    <n v="1319"/>
    <x v="0"/>
    <n v="3"/>
    <n v="3"/>
    <s v="Technical Degree"/>
    <n v="1"/>
    <n v="1863"/>
    <n v="1"/>
    <s v="Female"/>
    <n v="45"/>
    <n v="4"/>
    <n v="4"/>
    <s v="Sales Executive"/>
    <n v="1"/>
    <s v="Divorced"/>
    <n v="13225"/>
    <n v="7739"/>
    <n v="2"/>
    <s v="Y"/>
    <s v="No"/>
    <n v="12"/>
    <n v="3"/>
    <n v="4"/>
    <n v="80"/>
    <n v="1"/>
    <n v="25"/>
    <n v="5"/>
    <n v="3"/>
    <n v="19"/>
    <n v="17"/>
    <n v="2"/>
    <n v="8"/>
    <s v="LAB-1863"/>
    <x v="0"/>
    <x v="0"/>
    <x v="1"/>
    <n v="19"/>
    <x v="0"/>
  </r>
  <r>
    <n v="27"/>
    <s v="No"/>
    <s v="Travel_Rarely"/>
    <n v="728"/>
    <x v="0"/>
    <n v="23"/>
    <n v="1"/>
    <s v="Medical"/>
    <n v="1"/>
    <n v="1864"/>
    <n v="2"/>
    <s v="Female"/>
    <n v="36"/>
    <n v="2"/>
    <n v="2"/>
    <s v="Sales Representative"/>
    <n v="3"/>
    <s v="Married"/>
    <n v="3540"/>
    <n v="7018"/>
    <n v="1"/>
    <s v="Y"/>
    <s v="No"/>
    <n v="21"/>
    <n v="4"/>
    <n v="4"/>
    <n v="80"/>
    <n v="1"/>
    <n v="9"/>
    <n v="5"/>
    <n v="3"/>
    <n v="9"/>
    <n v="8"/>
    <n v="5"/>
    <n v="8"/>
    <s v="LAB-1864"/>
    <x v="6"/>
    <x v="0"/>
    <x v="1"/>
    <n v="9"/>
    <x v="0"/>
  </r>
  <r>
    <n v="29"/>
    <s v="No"/>
    <s v="Travel_Rarely"/>
    <n v="352"/>
    <x v="2"/>
    <n v="6"/>
    <n v="1"/>
    <s v="Medical"/>
    <n v="1"/>
    <n v="1865"/>
    <n v="4"/>
    <s v="Male"/>
    <n v="87"/>
    <n v="2"/>
    <n v="1"/>
    <s v="Human Resources"/>
    <n v="2"/>
    <s v="Married"/>
    <n v="2804"/>
    <n v="15434"/>
    <n v="1"/>
    <s v="Y"/>
    <s v="No"/>
    <n v="11"/>
    <n v="3"/>
    <n v="4"/>
    <n v="80"/>
    <n v="0"/>
    <n v="1"/>
    <n v="3"/>
    <n v="3"/>
    <n v="1"/>
    <n v="0"/>
    <n v="0"/>
    <n v="0"/>
    <s v="LAB-1865"/>
    <x v="8"/>
    <x v="2"/>
    <x v="1"/>
    <n v="1"/>
    <x v="0"/>
  </r>
  <r>
    <n v="43"/>
    <s v="No"/>
    <s v="Travel_Rarely"/>
    <n v="823"/>
    <x v="1"/>
    <n v="6"/>
    <n v="3"/>
    <s v="Medical"/>
    <n v="1"/>
    <n v="1866"/>
    <n v="1"/>
    <s v="Female"/>
    <n v="81"/>
    <n v="2"/>
    <n v="5"/>
    <s v="Manager"/>
    <n v="3"/>
    <s v="Married"/>
    <n v="19392"/>
    <n v="22539"/>
    <n v="7"/>
    <s v="Y"/>
    <s v="No"/>
    <n v="13"/>
    <n v="3"/>
    <n v="4"/>
    <n v="80"/>
    <n v="0"/>
    <n v="21"/>
    <n v="2"/>
    <n v="3"/>
    <n v="16"/>
    <n v="12"/>
    <n v="6"/>
    <n v="14"/>
    <s v="LAB-1866"/>
    <x v="5"/>
    <x v="1"/>
    <x v="1"/>
    <n v="16"/>
    <x v="0"/>
  </r>
  <r>
    <n v="48"/>
    <s v="No"/>
    <s v="Travel_Rarely"/>
    <n v="1224"/>
    <x v="1"/>
    <n v="10"/>
    <n v="3"/>
    <s v="Life Sciences"/>
    <n v="1"/>
    <n v="1867"/>
    <n v="4"/>
    <s v="Male"/>
    <n v="91"/>
    <n v="2"/>
    <n v="5"/>
    <s v="Research Director"/>
    <n v="2"/>
    <s v="Married"/>
    <n v="19665"/>
    <n v="13583"/>
    <n v="4"/>
    <s v="Y"/>
    <s v="No"/>
    <n v="12"/>
    <n v="3"/>
    <n v="4"/>
    <n v="80"/>
    <n v="0"/>
    <n v="29"/>
    <n v="3"/>
    <n v="3"/>
    <n v="22"/>
    <n v="10"/>
    <n v="12"/>
    <n v="9"/>
    <s v="LAB-1867"/>
    <x v="7"/>
    <x v="1"/>
    <x v="1"/>
    <n v="22"/>
    <x v="0"/>
  </r>
  <r>
    <n v="29"/>
    <s v="Yes"/>
    <s v="Travel_Frequently"/>
    <n v="459"/>
    <x v="1"/>
    <n v="24"/>
    <n v="2"/>
    <s v="Life Sciences"/>
    <n v="1"/>
    <n v="1868"/>
    <n v="4"/>
    <s v="Male"/>
    <n v="73"/>
    <n v="2"/>
    <n v="1"/>
    <s v="Research Scientist"/>
    <n v="4"/>
    <s v="Single"/>
    <n v="2439"/>
    <n v="14753"/>
    <n v="1"/>
    <s v="Y"/>
    <s v="Yes"/>
    <n v="24"/>
    <n v="4"/>
    <n v="2"/>
    <n v="80"/>
    <n v="0"/>
    <n v="1"/>
    <n v="3"/>
    <n v="2"/>
    <n v="1"/>
    <n v="0"/>
    <n v="1"/>
    <n v="0"/>
    <s v="LAB-1868"/>
    <x v="1"/>
    <x v="1"/>
    <x v="0"/>
    <n v="1"/>
    <x v="0"/>
  </r>
  <r>
    <n v="46"/>
    <s v="Yes"/>
    <s v="Travel_Rarely"/>
    <n v="1254"/>
    <x v="0"/>
    <n v="10"/>
    <n v="3"/>
    <s v="Life Sciences"/>
    <n v="1"/>
    <n v="1869"/>
    <n v="3"/>
    <s v="Female"/>
    <n v="64"/>
    <n v="3"/>
    <n v="3"/>
    <s v="Sales Executive"/>
    <n v="2"/>
    <s v="Married"/>
    <n v="7314"/>
    <n v="14011"/>
    <n v="5"/>
    <s v="Y"/>
    <s v="No"/>
    <n v="21"/>
    <n v="4"/>
    <n v="3"/>
    <n v="80"/>
    <n v="3"/>
    <n v="14"/>
    <n v="2"/>
    <n v="3"/>
    <n v="8"/>
    <n v="7"/>
    <n v="0"/>
    <n v="7"/>
    <s v="LAB-1869"/>
    <x v="0"/>
    <x v="0"/>
    <x v="0"/>
    <n v="8"/>
    <x v="0"/>
  </r>
  <r>
    <n v="27"/>
    <s v="No"/>
    <s v="Travel_Frequently"/>
    <n v="1131"/>
    <x v="1"/>
    <n v="15"/>
    <n v="3"/>
    <s v="Life Sciences"/>
    <n v="1"/>
    <n v="1870"/>
    <n v="4"/>
    <s v="Female"/>
    <n v="77"/>
    <n v="2"/>
    <n v="1"/>
    <s v="Research Scientist"/>
    <n v="1"/>
    <s v="Married"/>
    <n v="4774"/>
    <n v="23844"/>
    <n v="0"/>
    <s v="Y"/>
    <s v="No"/>
    <n v="19"/>
    <n v="3"/>
    <n v="4"/>
    <n v="80"/>
    <n v="1"/>
    <n v="8"/>
    <n v="2"/>
    <n v="2"/>
    <n v="7"/>
    <n v="6"/>
    <n v="7"/>
    <n v="3"/>
    <s v="LAB-1870"/>
    <x v="1"/>
    <x v="1"/>
    <x v="1"/>
    <n v="7"/>
    <x v="0"/>
  </r>
  <r>
    <n v="39"/>
    <s v="No"/>
    <s v="Travel_Rarely"/>
    <n v="835"/>
    <x v="1"/>
    <n v="19"/>
    <n v="4"/>
    <s v="Other"/>
    <n v="1"/>
    <n v="1871"/>
    <n v="4"/>
    <s v="Male"/>
    <n v="41"/>
    <n v="3"/>
    <n v="2"/>
    <s v="Research Scientist"/>
    <n v="4"/>
    <s v="Divorced"/>
    <n v="3902"/>
    <n v="5141"/>
    <n v="8"/>
    <s v="Y"/>
    <s v="No"/>
    <n v="14"/>
    <n v="3"/>
    <n v="2"/>
    <n v="80"/>
    <n v="3"/>
    <n v="7"/>
    <n v="2"/>
    <n v="3"/>
    <n v="2"/>
    <n v="2"/>
    <n v="2"/>
    <n v="2"/>
    <s v="LAB-1871"/>
    <x v="1"/>
    <x v="1"/>
    <x v="1"/>
    <n v="2"/>
    <x v="0"/>
  </r>
  <r>
    <n v="55"/>
    <s v="No"/>
    <s v="Travel_Rarely"/>
    <n v="836"/>
    <x v="1"/>
    <n v="2"/>
    <n v="4"/>
    <s v="Technical Degree"/>
    <n v="1"/>
    <n v="1873"/>
    <n v="2"/>
    <s v="Male"/>
    <n v="98"/>
    <n v="2"/>
    <n v="1"/>
    <s v="Research Scientist"/>
    <n v="4"/>
    <s v="Married"/>
    <n v="2662"/>
    <n v="7975"/>
    <n v="8"/>
    <s v="Y"/>
    <s v="No"/>
    <n v="20"/>
    <n v="4"/>
    <n v="2"/>
    <n v="80"/>
    <n v="1"/>
    <n v="19"/>
    <n v="2"/>
    <n v="4"/>
    <n v="5"/>
    <n v="2"/>
    <n v="0"/>
    <n v="4"/>
    <s v="LAB-1873"/>
    <x v="1"/>
    <x v="1"/>
    <x v="1"/>
    <n v="5"/>
    <x v="0"/>
  </r>
  <r>
    <n v="28"/>
    <s v="No"/>
    <s v="Travel_Rarely"/>
    <n v="1172"/>
    <x v="0"/>
    <n v="3"/>
    <n v="3"/>
    <s v="Medical"/>
    <n v="1"/>
    <n v="1875"/>
    <n v="2"/>
    <s v="Female"/>
    <n v="78"/>
    <n v="3"/>
    <n v="1"/>
    <s v="Sales Representative"/>
    <n v="2"/>
    <s v="Married"/>
    <n v="2856"/>
    <n v="3692"/>
    <n v="1"/>
    <s v="Y"/>
    <s v="No"/>
    <n v="19"/>
    <n v="3"/>
    <n v="4"/>
    <n v="80"/>
    <n v="1"/>
    <n v="1"/>
    <n v="3"/>
    <n v="3"/>
    <n v="1"/>
    <n v="0"/>
    <n v="0"/>
    <n v="0"/>
    <s v="LAB-1875"/>
    <x v="6"/>
    <x v="0"/>
    <x v="1"/>
    <n v="1"/>
    <x v="0"/>
  </r>
  <r>
    <n v="30"/>
    <s v="Yes"/>
    <s v="Travel_Rarely"/>
    <n v="945"/>
    <x v="0"/>
    <n v="9"/>
    <n v="3"/>
    <s v="Medical"/>
    <n v="1"/>
    <n v="1876"/>
    <n v="2"/>
    <s v="Male"/>
    <n v="89"/>
    <n v="3"/>
    <n v="1"/>
    <s v="Sales Representative"/>
    <n v="4"/>
    <s v="Single"/>
    <n v="1081"/>
    <n v="16019"/>
    <n v="1"/>
    <s v="Y"/>
    <s v="No"/>
    <n v="13"/>
    <n v="3"/>
    <n v="3"/>
    <n v="80"/>
    <n v="0"/>
    <n v="1"/>
    <n v="3"/>
    <n v="2"/>
    <n v="1"/>
    <n v="0"/>
    <n v="0"/>
    <n v="0"/>
    <s v="LAB-1876"/>
    <x v="6"/>
    <x v="0"/>
    <x v="0"/>
    <n v="1"/>
    <x v="0"/>
  </r>
  <r>
    <n v="22"/>
    <s v="Yes"/>
    <s v="Travel_Rarely"/>
    <n v="391"/>
    <x v="1"/>
    <n v="7"/>
    <n v="1"/>
    <s v="Life Sciences"/>
    <n v="1"/>
    <n v="1878"/>
    <n v="4"/>
    <s v="Male"/>
    <n v="75"/>
    <n v="3"/>
    <n v="1"/>
    <s v="Research Scientist"/>
    <n v="2"/>
    <s v="Single"/>
    <n v="2472"/>
    <n v="26092"/>
    <n v="1"/>
    <s v="Y"/>
    <s v="Yes"/>
    <n v="23"/>
    <n v="4"/>
    <n v="1"/>
    <n v="80"/>
    <n v="0"/>
    <n v="1"/>
    <n v="2"/>
    <n v="3"/>
    <n v="1"/>
    <n v="0"/>
    <n v="0"/>
    <n v="0"/>
    <s v="LAB-1878"/>
    <x v="1"/>
    <x v="1"/>
    <x v="0"/>
    <n v="1"/>
    <x v="0"/>
  </r>
  <r>
    <n v="36"/>
    <s v="No"/>
    <s v="Travel_Rarely"/>
    <n v="1266"/>
    <x v="0"/>
    <n v="10"/>
    <n v="4"/>
    <s v="Technical Degree"/>
    <n v="1"/>
    <n v="1880"/>
    <n v="2"/>
    <s v="Female"/>
    <n v="63"/>
    <n v="2"/>
    <n v="2"/>
    <s v="Sales Executive"/>
    <n v="3"/>
    <s v="Married"/>
    <n v="5673"/>
    <n v="6060"/>
    <n v="1"/>
    <s v="Y"/>
    <s v="Yes"/>
    <n v="13"/>
    <n v="3"/>
    <n v="1"/>
    <n v="80"/>
    <n v="1"/>
    <n v="10"/>
    <n v="4"/>
    <n v="3"/>
    <n v="10"/>
    <n v="9"/>
    <n v="1"/>
    <n v="7"/>
    <s v="LAB-1880"/>
    <x v="0"/>
    <x v="0"/>
    <x v="1"/>
    <n v="10"/>
    <x v="0"/>
  </r>
  <r>
    <n v="31"/>
    <s v="No"/>
    <s v="Travel_Rarely"/>
    <n v="311"/>
    <x v="1"/>
    <n v="20"/>
    <n v="3"/>
    <s v="Life Sciences"/>
    <n v="1"/>
    <n v="1881"/>
    <n v="2"/>
    <s v="Male"/>
    <n v="89"/>
    <n v="3"/>
    <n v="2"/>
    <s v="Laboratory Technician"/>
    <n v="3"/>
    <s v="Divorced"/>
    <n v="4197"/>
    <n v="18624"/>
    <n v="1"/>
    <s v="Y"/>
    <s v="No"/>
    <n v="11"/>
    <n v="3"/>
    <n v="1"/>
    <n v="80"/>
    <n v="1"/>
    <n v="10"/>
    <n v="2"/>
    <n v="3"/>
    <n v="10"/>
    <n v="8"/>
    <n v="0"/>
    <n v="2"/>
    <s v="LAB-1881"/>
    <x v="2"/>
    <x v="1"/>
    <x v="1"/>
    <n v="10"/>
    <x v="0"/>
  </r>
  <r>
    <n v="34"/>
    <s v="No"/>
    <s v="Travel_Rarely"/>
    <n v="1480"/>
    <x v="0"/>
    <n v="4"/>
    <n v="3"/>
    <s v="Life Sciences"/>
    <n v="1"/>
    <n v="1882"/>
    <n v="3"/>
    <s v="Male"/>
    <n v="64"/>
    <n v="3"/>
    <n v="3"/>
    <s v="Sales Executive"/>
    <n v="4"/>
    <s v="Married"/>
    <n v="9713"/>
    <n v="24444"/>
    <n v="2"/>
    <s v="Y"/>
    <s v="Yes"/>
    <n v="13"/>
    <n v="3"/>
    <n v="4"/>
    <n v="80"/>
    <n v="3"/>
    <n v="9"/>
    <n v="3"/>
    <n v="3"/>
    <n v="5"/>
    <n v="3"/>
    <n v="1"/>
    <n v="0"/>
    <s v="LAB-1882"/>
    <x v="0"/>
    <x v="0"/>
    <x v="1"/>
    <n v="5"/>
    <x v="0"/>
  </r>
  <r>
    <n v="29"/>
    <s v="No"/>
    <s v="Travel_Rarely"/>
    <n v="592"/>
    <x v="1"/>
    <n v="7"/>
    <n v="3"/>
    <s v="Life Sciences"/>
    <n v="1"/>
    <n v="1883"/>
    <n v="4"/>
    <s v="Male"/>
    <n v="59"/>
    <n v="3"/>
    <n v="1"/>
    <s v="Laboratory Technician"/>
    <n v="1"/>
    <s v="Single"/>
    <n v="2062"/>
    <n v="19384"/>
    <n v="3"/>
    <s v="Y"/>
    <s v="No"/>
    <n v="14"/>
    <n v="3"/>
    <n v="2"/>
    <n v="80"/>
    <n v="0"/>
    <n v="11"/>
    <n v="2"/>
    <n v="3"/>
    <n v="3"/>
    <n v="2"/>
    <n v="1"/>
    <n v="2"/>
    <s v="LAB-1883"/>
    <x v="2"/>
    <x v="1"/>
    <x v="1"/>
    <n v="3"/>
    <x v="0"/>
  </r>
  <r>
    <n v="37"/>
    <s v="No"/>
    <s v="Travel_Rarely"/>
    <n v="783"/>
    <x v="1"/>
    <n v="7"/>
    <n v="4"/>
    <s v="Medical"/>
    <n v="1"/>
    <n v="1885"/>
    <n v="4"/>
    <s v="Male"/>
    <n v="78"/>
    <n v="3"/>
    <n v="2"/>
    <s v="Research Scientist"/>
    <n v="1"/>
    <s v="Married"/>
    <n v="4284"/>
    <n v="13588"/>
    <n v="5"/>
    <s v="Y"/>
    <s v="Yes"/>
    <n v="22"/>
    <n v="4"/>
    <n v="3"/>
    <n v="80"/>
    <n v="1"/>
    <n v="16"/>
    <n v="2"/>
    <n v="3"/>
    <n v="5"/>
    <n v="3"/>
    <n v="0"/>
    <n v="4"/>
    <s v="LAB-1885"/>
    <x v="1"/>
    <x v="1"/>
    <x v="1"/>
    <n v="5"/>
    <x v="0"/>
  </r>
  <r>
    <n v="35"/>
    <s v="No"/>
    <s v="Travel_Rarely"/>
    <n v="219"/>
    <x v="1"/>
    <n v="16"/>
    <n v="2"/>
    <s v="Other"/>
    <n v="1"/>
    <n v="1886"/>
    <n v="4"/>
    <s v="Female"/>
    <n v="44"/>
    <n v="2"/>
    <n v="2"/>
    <s v="Manufacturing Director"/>
    <n v="2"/>
    <s v="Married"/>
    <n v="4788"/>
    <n v="25388"/>
    <n v="0"/>
    <s v="Y"/>
    <s v="Yes"/>
    <n v="11"/>
    <n v="3"/>
    <n v="4"/>
    <n v="80"/>
    <n v="0"/>
    <n v="4"/>
    <n v="2"/>
    <n v="3"/>
    <n v="3"/>
    <n v="2"/>
    <n v="0"/>
    <n v="2"/>
    <s v="LAB-1886"/>
    <x v="3"/>
    <x v="1"/>
    <x v="1"/>
    <n v="3"/>
    <x v="0"/>
  </r>
  <r>
    <n v="45"/>
    <s v="No"/>
    <s v="Travel_Rarely"/>
    <n v="556"/>
    <x v="1"/>
    <n v="25"/>
    <n v="2"/>
    <s v="Life Sciences"/>
    <n v="1"/>
    <n v="1888"/>
    <n v="2"/>
    <s v="Female"/>
    <n v="93"/>
    <n v="2"/>
    <n v="2"/>
    <s v="Manufacturing Director"/>
    <n v="4"/>
    <s v="Married"/>
    <n v="5906"/>
    <n v="23888"/>
    <n v="0"/>
    <s v="Y"/>
    <s v="No"/>
    <n v="13"/>
    <n v="3"/>
    <n v="4"/>
    <n v="80"/>
    <n v="2"/>
    <n v="10"/>
    <n v="2"/>
    <n v="2"/>
    <n v="9"/>
    <n v="8"/>
    <n v="3"/>
    <n v="8"/>
    <s v="LAB-1888"/>
    <x v="3"/>
    <x v="1"/>
    <x v="1"/>
    <n v="9"/>
    <x v="0"/>
  </r>
  <r>
    <n v="36"/>
    <s v="No"/>
    <s v="Travel_Frequently"/>
    <n v="1213"/>
    <x v="2"/>
    <n v="2"/>
    <n v="1"/>
    <s v="Human Resources"/>
    <n v="1"/>
    <n v="1890"/>
    <n v="2"/>
    <s v="Male"/>
    <n v="94"/>
    <n v="2"/>
    <n v="2"/>
    <s v="Human Resources"/>
    <n v="4"/>
    <s v="Single"/>
    <n v="3886"/>
    <n v="4223"/>
    <n v="1"/>
    <s v="Y"/>
    <s v="No"/>
    <n v="21"/>
    <n v="4"/>
    <n v="4"/>
    <n v="80"/>
    <n v="0"/>
    <n v="10"/>
    <n v="2"/>
    <n v="2"/>
    <n v="10"/>
    <n v="1"/>
    <n v="0"/>
    <n v="8"/>
    <s v="LAB-1890"/>
    <x v="8"/>
    <x v="2"/>
    <x v="1"/>
    <n v="10"/>
    <x v="0"/>
  </r>
  <r>
    <n v="40"/>
    <s v="No"/>
    <s v="Travel_Rarely"/>
    <n v="1137"/>
    <x v="1"/>
    <n v="1"/>
    <n v="4"/>
    <s v="Life Sciences"/>
    <n v="1"/>
    <n v="1892"/>
    <n v="1"/>
    <s v="Male"/>
    <n v="98"/>
    <n v="3"/>
    <n v="4"/>
    <s v="Manager"/>
    <n v="1"/>
    <s v="Divorced"/>
    <n v="16823"/>
    <n v="18991"/>
    <n v="2"/>
    <s v="Y"/>
    <s v="No"/>
    <n v="11"/>
    <n v="3"/>
    <n v="1"/>
    <n v="80"/>
    <n v="1"/>
    <n v="22"/>
    <n v="3"/>
    <n v="3"/>
    <n v="19"/>
    <n v="7"/>
    <n v="11"/>
    <n v="16"/>
    <s v="LAB-1892"/>
    <x v="5"/>
    <x v="1"/>
    <x v="1"/>
    <n v="19"/>
    <x v="0"/>
  </r>
  <r>
    <n v="26"/>
    <s v="No"/>
    <s v="Travel_Rarely"/>
    <n v="482"/>
    <x v="1"/>
    <n v="1"/>
    <n v="2"/>
    <s v="Life Sciences"/>
    <n v="1"/>
    <n v="1893"/>
    <n v="2"/>
    <s v="Female"/>
    <n v="90"/>
    <n v="2"/>
    <n v="1"/>
    <s v="Research Scientist"/>
    <n v="3"/>
    <s v="Married"/>
    <n v="2933"/>
    <n v="14908"/>
    <n v="1"/>
    <s v="Y"/>
    <s v="Yes"/>
    <n v="13"/>
    <n v="3"/>
    <n v="3"/>
    <n v="80"/>
    <n v="1"/>
    <n v="1"/>
    <n v="3"/>
    <n v="2"/>
    <n v="1"/>
    <n v="0"/>
    <n v="1"/>
    <n v="0"/>
    <s v="LAB-1893"/>
    <x v="1"/>
    <x v="1"/>
    <x v="1"/>
    <n v="1"/>
    <x v="0"/>
  </r>
  <r>
    <n v="27"/>
    <s v="No"/>
    <s v="Travel_Rarely"/>
    <n v="511"/>
    <x v="0"/>
    <n v="2"/>
    <n v="2"/>
    <s v="Medical"/>
    <n v="1"/>
    <n v="1898"/>
    <n v="1"/>
    <s v="Female"/>
    <n v="89"/>
    <n v="4"/>
    <n v="2"/>
    <s v="Sales Executive"/>
    <n v="3"/>
    <s v="Single"/>
    <n v="6500"/>
    <n v="26997"/>
    <n v="0"/>
    <s v="Y"/>
    <s v="No"/>
    <n v="14"/>
    <n v="3"/>
    <n v="2"/>
    <n v="80"/>
    <n v="0"/>
    <n v="9"/>
    <n v="5"/>
    <n v="2"/>
    <n v="8"/>
    <n v="7"/>
    <n v="0"/>
    <n v="7"/>
    <s v="LAB-1898"/>
    <x v="0"/>
    <x v="0"/>
    <x v="1"/>
    <n v="8"/>
    <x v="0"/>
  </r>
  <r>
    <n v="48"/>
    <s v="No"/>
    <s v="Travel_Frequently"/>
    <n v="117"/>
    <x v="1"/>
    <n v="22"/>
    <n v="3"/>
    <s v="Medical"/>
    <n v="1"/>
    <n v="1900"/>
    <n v="4"/>
    <s v="Female"/>
    <n v="58"/>
    <n v="3"/>
    <n v="4"/>
    <s v="Manager"/>
    <n v="4"/>
    <s v="Divorced"/>
    <n v="17174"/>
    <n v="2437"/>
    <n v="3"/>
    <s v="Y"/>
    <s v="No"/>
    <n v="11"/>
    <n v="3"/>
    <n v="2"/>
    <n v="80"/>
    <n v="1"/>
    <n v="24"/>
    <n v="3"/>
    <n v="3"/>
    <n v="22"/>
    <n v="17"/>
    <n v="4"/>
    <n v="7"/>
    <s v="LAB-1900"/>
    <x v="5"/>
    <x v="1"/>
    <x v="1"/>
    <n v="22"/>
    <x v="0"/>
  </r>
  <r>
    <n v="44"/>
    <s v="No"/>
    <s v="Travel_Rarely"/>
    <n v="170"/>
    <x v="1"/>
    <n v="1"/>
    <n v="4"/>
    <s v="Life Sciences"/>
    <n v="1"/>
    <n v="1903"/>
    <n v="2"/>
    <s v="Male"/>
    <n v="78"/>
    <n v="4"/>
    <n v="2"/>
    <s v="Healthcare Representative"/>
    <n v="1"/>
    <s v="Married"/>
    <n v="5033"/>
    <n v="9364"/>
    <n v="2"/>
    <s v="Y"/>
    <s v="No"/>
    <n v="15"/>
    <n v="3"/>
    <n v="4"/>
    <n v="80"/>
    <n v="1"/>
    <n v="10"/>
    <n v="5"/>
    <n v="3"/>
    <n v="2"/>
    <n v="0"/>
    <n v="2"/>
    <n v="2"/>
    <s v="LAB-1903"/>
    <x v="4"/>
    <x v="1"/>
    <x v="1"/>
    <n v="2"/>
    <x v="0"/>
  </r>
  <r>
    <n v="34"/>
    <s v="Yes"/>
    <s v="Non-Travel"/>
    <n v="967"/>
    <x v="1"/>
    <n v="16"/>
    <n v="4"/>
    <s v="Technical Degree"/>
    <n v="1"/>
    <n v="1905"/>
    <n v="4"/>
    <s v="Male"/>
    <n v="85"/>
    <n v="1"/>
    <n v="1"/>
    <s v="Research Scientist"/>
    <n v="1"/>
    <s v="Married"/>
    <n v="2307"/>
    <n v="14460"/>
    <n v="1"/>
    <s v="Y"/>
    <s v="Yes"/>
    <n v="23"/>
    <n v="4"/>
    <n v="2"/>
    <n v="80"/>
    <n v="1"/>
    <n v="5"/>
    <n v="2"/>
    <n v="3"/>
    <n v="5"/>
    <n v="2"/>
    <n v="3"/>
    <n v="0"/>
    <s v="LAB-1905"/>
    <x v="1"/>
    <x v="1"/>
    <x v="0"/>
    <n v="5"/>
    <x v="0"/>
  </r>
  <r>
    <n v="56"/>
    <s v="Yes"/>
    <s v="Travel_Rarely"/>
    <n v="1162"/>
    <x v="1"/>
    <n v="24"/>
    <n v="2"/>
    <s v="Life Sciences"/>
    <n v="1"/>
    <n v="1907"/>
    <n v="1"/>
    <s v="Male"/>
    <n v="97"/>
    <n v="3"/>
    <n v="1"/>
    <s v="Laboratory Technician"/>
    <n v="4"/>
    <s v="Single"/>
    <n v="2587"/>
    <n v="10261"/>
    <n v="1"/>
    <s v="Y"/>
    <s v="No"/>
    <n v="16"/>
    <n v="3"/>
    <n v="4"/>
    <n v="80"/>
    <n v="0"/>
    <n v="5"/>
    <n v="3"/>
    <n v="3"/>
    <n v="4"/>
    <n v="2"/>
    <n v="1"/>
    <n v="0"/>
    <s v="LAB-1907"/>
    <x v="2"/>
    <x v="1"/>
    <x v="0"/>
    <n v="4"/>
    <x v="0"/>
  </r>
  <r>
    <n v="36"/>
    <s v="No"/>
    <s v="Travel_Rarely"/>
    <n v="335"/>
    <x v="0"/>
    <n v="17"/>
    <n v="2"/>
    <s v="Marketing"/>
    <n v="1"/>
    <n v="1908"/>
    <n v="3"/>
    <s v="Male"/>
    <n v="33"/>
    <n v="2"/>
    <n v="2"/>
    <s v="Sales Executive"/>
    <n v="2"/>
    <s v="Married"/>
    <n v="5507"/>
    <n v="16822"/>
    <n v="2"/>
    <s v="Y"/>
    <s v="No"/>
    <n v="16"/>
    <n v="3"/>
    <n v="3"/>
    <n v="80"/>
    <n v="2"/>
    <n v="12"/>
    <n v="1"/>
    <n v="1"/>
    <n v="4"/>
    <n v="2"/>
    <n v="1"/>
    <n v="3"/>
    <s v="LAB-1908"/>
    <x v="0"/>
    <x v="0"/>
    <x v="1"/>
    <n v="4"/>
    <x v="0"/>
  </r>
  <r>
    <n v="41"/>
    <s v="No"/>
    <s v="Travel_Rarely"/>
    <n v="337"/>
    <x v="0"/>
    <n v="8"/>
    <n v="3"/>
    <s v="Marketing"/>
    <n v="1"/>
    <n v="1909"/>
    <n v="3"/>
    <s v="Female"/>
    <n v="54"/>
    <n v="3"/>
    <n v="2"/>
    <s v="Sales Executive"/>
    <n v="2"/>
    <s v="Married"/>
    <n v="4393"/>
    <n v="26841"/>
    <n v="5"/>
    <s v="Y"/>
    <s v="No"/>
    <n v="21"/>
    <n v="4"/>
    <n v="3"/>
    <n v="80"/>
    <n v="1"/>
    <n v="14"/>
    <n v="3"/>
    <n v="3"/>
    <n v="5"/>
    <n v="4"/>
    <n v="1"/>
    <n v="4"/>
    <s v="LAB-1909"/>
    <x v="0"/>
    <x v="0"/>
    <x v="1"/>
    <n v="5"/>
    <x v="0"/>
  </r>
  <r>
    <n v="42"/>
    <s v="No"/>
    <s v="Travel_Rarely"/>
    <n v="1396"/>
    <x v="1"/>
    <n v="6"/>
    <n v="3"/>
    <s v="Medical"/>
    <n v="1"/>
    <n v="1911"/>
    <n v="3"/>
    <s v="Male"/>
    <n v="83"/>
    <n v="3"/>
    <n v="3"/>
    <s v="Research Director"/>
    <n v="1"/>
    <s v="Married"/>
    <n v="13348"/>
    <n v="14842"/>
    <n v="9"/>
    <s v="Y"/>
    <s v="No"/>
    <n v="13"/>
    <n v="3"/>
    <n v="2"/>
    <n v="80"/>
    <n v="1"/>
    <n v="18"/>
    <n v="3"/>
    <n v="4"/>
    <n v="13"/>
    <n v="7"/>
    <n v="5"/>
    <n v="7"/>
    <s v="LAB-1911"/>
    <x v="7"/>
    <x v="1"/>
    <x v="1"/>
    <n v="13"/>
    <x v="0"/>
  </r>
  <r>
    <n v="31"/>
    <s v="No"/>
    <s v="Travel_Rarely"/>
    <n v="1079"/>
    <x v="0"/>
    <n v="10"/>
    <n v="2"/>
    <s v="Medical"/>
    <n v="1"/>
    <n v="1912"/>
    <n v="3"/>
    <s v="Female"/>
    <n v="86"/>
    <n v="3"/>
    <n v="2"/>
    <s v="Sales Executive"/>
    <n v="4"/>
    <s v="Divorced"/>
    <n v="6583"/>
    <n v="20115"/>
    <n v="2"/>
    <s v="Y"/>
    <s v="Yes"/>
    <n v="11"/>
    <n v="3"/>
    <n v="4"/>
    <n v="80"/>
    <n v="1"/>
    <n v="8"/>
    <n v="2"/>
    <n v="3"/>
    <n v="5"/>
    <n v="2"/>
    <n v="1"/>
    <n v="4"/>
    <s v="LAB-1912"/>
    <x v="0"/>
    <x v="0"/>
    <x v="1"/>
    <n v="5"/>
    <x v="0"/>
  </r>
  <r>
    <n v="34"/>
    <s v="No"/>
    <s v="Travel_Rarely"/>
    <n v="735"/>
    <x v="0"/>
    <n v="3"/>
    <n v="1"/>
    <s v="Medical"/>
    <n v="1"/>
    <n v="1915"/>
    <n v="4"/>
    <s v="Female"/>
    <n v="75"/>
    <n v="2"/>
    <n v="2"/>
    <s v="Sales Executive"/>
    <n v="4"/>
    <s v="Married"/>
    <n v="8103"/>
    <n v="16495"/>
    <n v="3"/>
    <s v="Y"/>
    <s v="Yes"/>
    <n v="12"/>
    <n v="3"/>
    <n v="3"/>
    <n v="80"/>
    <n v="0"/>
    <n v="9"/>
    <n v="3"/>
    <n v="2"/>
    <n v="4"/>
    <n v="2"/>
    <n v="0"/>
    <n v="1"/>
    <s v="LAB-1915"/>
    <x v="0"/>
    <x v="0"/>
    <x v="1"/>
    <n v="4"/>
    <x v="0"/>
  </r>
  <r>
    <n v="31"/>
    <s v="No"/>
    <s v="Travel_Rarely"/>
    <n v="471"/>
    <x v="1"/>
    <n v="4"/>
    <n v="3"/>
    <s v="Medical"/>
    <n v="1"/>
    <n v="1916"/>
    <n v="1"/>
    <s v="Female"/>
    <n v="62"/>
    <n v="4"/>
    <n v="1"/>
    <s v="Laboratory Technician"/>
    <n v="3"/>
    <s v="Divorced"/>
    <n v="3978"/>
    <n v="16031"/>
    <n v="8"/>
    <s v="Y"/>
    <s v="No"/>
    <n v="12"/>
    <n v="3"/>
    <n v="2"/>
    <n v="80"/>
    <n v="1"/>
    <n v="4"/>
    <n v="0"/>
    <n v="2"/>
    <n v="2"/>
    <n v="2"/>
    <n v="2"/>
    <n v="2"/>
    <s v="LAB-1916"/>
    <x v="2"/>
    <x v="1"/>
    <x v="1"/>
    <n v="2"/>
    <x v="0"/>
  </r>
  <r>
    <n v="26"/>
    <s v="No"/>
    <s v="Travel_Frequently"/>
    <n v="1096"/>
    <x v="1"/>
    <n v="6"/>
    <n v="3"/>
    <s v="Other"/>
    <n v="1"/>
    <n v="1918"/>
    <n v="3"/>
    <s v="Male"/>
    <n v="61"/>
    <n v="4"/>
    <n v="1"/>
    <s v="Laboratory Technician"/>
    <n v="4"/>
    <s v="Married"/>
    <n v="2544"/>
    <n v="7102"/>
    <n v="0"/>
    <s v="Y"/>
    <s v="No"/>
    <n v="18"/>
    <n v="3"/>
    <n v="1"/>
    <n v="80"/>
    <n v="1"/>
    <n v="8"/>
    <n v="3"/>
    <n v="3"/>
    <n v="7"/>
    <n v="7"/>
    <n v="7"/>
    <n v="7"/>
    <s v="LAB-1918"/>
    <x v="2"/>
    <x v="1"/>
    <x v="1"/>
    <n v="7"/>
    <x v="0"/>
  </r>
  <r>
    <n v="45"/>
    <s v="No"/>
    <s v="Travel_Frequently"/>
    <n v="1297"/>
    <x v="1"/>
    <n v="1"/>
    <n v="4"/>
    <s v="Medical"/>
    <n v="1"/>
    <n v="1922"/>
    <n v="2"/>
    <s v="Male"/>
    <n v="44"/>
    <n v="3"/>
    <n v="2"/>
    <s v="Healthcare Representative"/>
    <n v="3"/>
    <s v="Single"/>
    <n v="5399"/>
    <n v="14511"/>
    <n v="4"/>
    <s v="Y"/>
    <s v="No"/>
    <n v="12"/>
    <n v="3"/>
    <n v="3"/>
    <n v="80"/>
    <n v="0"/>
    <n v="12"/>
    <n v="3"/>
    <n v="3"/>
    <n v="4"/>
    <n v="2"/>
    <n v="0"/>
    <n v="3"/>
    <s v="LAB-1922"/>
    <x v="4"/>
    <x v="1"/>
    <x v="1"/>
    <n v="4"/>
    <x v="0"/>
  </r>
  <r>
    <n v="33"/>
    <s v="No"/>
    <s v="Travel_Rarely"/>
    <n v="217"/>
    <x v="0"/>
    <n v="10"/>
    <n v="4"/>
    <s v="Marketing"/>
    <n v="1"/>
    <n v="1924"/>
    <n v="2"/>
    <s v="Male"/>
    <n v="43"/>
    <n v="3"/>
    <n v="2"/>
    <s v="Sales Executive"/>
    <n v="3"/>
    <s v="Single"/>
    <n v="5487"/>
    <n v="10410"/>
    <n v="1"/>
    <s v="Y"/>
    <s v="No"/>
    <n v="14"/>
    <n v="3"/>
    <n v="2"/>
    <n v="80"/>
    <n v="0"/>
    <n v="10"/>
    <n v="2"/>
    <n v="2"/>
    <n v="10"/>
    <n v="4"/>
    <n v="0"/>
    <n v="9"/>
    <s v="LAB-1924"/>
    <x v="0"/>
    <x v="0"/>
    <x v="1"/>
    <n v="10"/>
    <x v="0"/>
  </r>
  <r>
    <n v="28"/>
    <s v="No"/>
    <s v="Travel_Frequently"/>
    <n v="783"/>
    <x v="0"/>
    <n v="1"/>
    <n v="2"/>
    <s v="Life Sciences"/>
    <n v="1"/>
    <n v="1927"/>
    <n v="3"/>
    <s v="Male"/>
    <n v="42"/>
    <n v="2"/>
    <n v="2"/>
    <s v="Sales Executive"/>
    <n v="4"/>
    <s v="Married"/>
    <n v="6834"/>
    <n v="19255"/>
    <n v="1"/>
    <s v="Y"/>
    <s v="Yes"/>
    <n v="12"/>
    <n v="3"/>
    <n v="3"/>
    <n v="80"/>
    <n v="1"/>
    <n v="7"/>
    <n v="2"/>
    <n v="3"/>
    <n v="7"/>
    <n v="7"/>
    <n v="0"/>
    <n v="7"/>
    <s v="LAB-1927"/>
    <x v="0"/>
    <x v="0"/>
    <x v="1"/>
    <n v="7"/>
    <x v="0"/>
  </r>
  <r>
    <n v="29"/>
    <s v="Yes"/>
    <s v="Travel_Frequently"/>
    <n v="746"/>
    <x v="0"/>
    <n v="24"/>
    <n v="3"/>
    <s v="Technical Degree"/>
    <n v="1"/>
    <n v="1928"/>
    <n v="3"/>
    <s v="Male"/>
    <n v="45"/>
    <n v="4"/>
    <n v="1"/>
    <s v="Sales Representative"/>
    <n v="1"/>
    <s v="Single"/>
    <n v="1091"/>
    <n v="10642"/>
    <n v="1"/>
    <s v="Y"/>
    <s v="No"/>
    <n v="17"/>
    <n v="3"/>
    <n v="4"/>
    <n v="80"/>
    <n v="0"/>
    <n v="1"/>
    <n v="3"/>
    <n v="3"/>
    <n v="1"/>
    <n v="0"/>
    <n v="0"/>
    <n v="0"/>
    <s v="LAB-1928"/>
    <x v="6"/>
    <x v="0"/>
    <x v="0"/>
    <n v="1"/>
    <x v="0"/>
  </r>
  <r>
    <n v="39"/>
    <s v="No"/>
    <s v="Non-Travel"/>
    <n v="1251"/>
    <x v="0"/>
    <n v="21"/>
    <n v="4"/>
    <s v="Life Sciences"/>
    <n v="1"/>
    <n v="1929"/>
    <n v="1"/>
    <s v="Female"/>
    <n v="32"/>
    <n v="1"/>
    <n v="2"/>
    <s v="Sales Executive"/>
    <n v="3"/>
    <s v="Married"/>
    <n v="5736"/>
    <n v="3987"/>
    <n v="6"/>
    <s v="Y"/>
    <s v="No"/>
    <n v="19"/>
    <n v="3"/>
    <n v="3"/>
    <n v="80"/>
    <n v="1"/>
    <n v="10"/>
    <n v="1"/>
    <n v="3"/>
    <n v="3"/>
    <n v="2"/>
    <n v="1"/>
    <n v="2"/>
    <s v="LAB-1929"/>
    <x v="0"/>
    <x v="0"/>
    <x v="1"/>
    <n v="3"/>
    <x v="0"/>
  </r>
  <r>
    <n v="27"/>
    <s v="No"/>
    <s v="Travel_Rarely"/>
    <n v="1354"/>
    <x v="1"/>
    <n v="2"/>
    <n v="4"/>
    <s v="Technical Degree"/>
    <n v="1"/>
    <n v="1931"/>
    <n v="2"/>
    <s v="Male"/>
    <n v="41"/>
    <n v="3"/>
    <n v="1"/>
    <s v="Research Scientist"/>
    <n v="2"/>
    <s v="Married"/>
    <n v="2226"/>
    <n v="6073"/>
    <n v="1"/>
    <s v="Y"/>
    <s v="No"/>
    <n v="11"/>
    <n v="3"/>
    <n v="3"/>
    <n v="80"/>
    <n v="1"/>
    <n v="6"/>
    <n v="3"/>
    <n v="2"/>
    <n v="5"/>
    <n v="3"/>
    <n v="1"/>
    <n v="2"/>
    <s v="LAB-1931"/>
    <x v="1"/>
    <x v="1"/>
    <x v="1"/>
    <n v="5"/>
    <x v="0"/>
  </r>
  <r>
    <n v="34"/>
    <s v="No"/>
    <s v="Travel_Frequently"/>
    <n v="735"/>
    <x v="1"/>
    <n v="22"/>
    <n v="4"/>
    <s v="Other"/>
    <n v="1"/>
    <n v="1932"/>
    <n v="3"/>
    <s v="Male"/>
    <n v="86"/>
    <n v="2"/>
    <n v="2"/>
    <s v="Research Scientist"/>
    <n v="4"/>
    <s v="Married"/>
    <n v="5747"/>
    <n v="26496"/>
    <n v="1"/>
    <s v="Y"/>
    <s v="Yes"/>
    <n v="15"/>
    <n v="3"/>
    <n v="2"/>
    <n v="80"/>
    <n v="0"/>
    <n v="16"/>
    <n v="3"/>
    <n v="3"/>
    <n v="15"/>
    <n v="10"/>
    <n v="6"/>
    <n v="11"/>
    <s v="LAB-1932"/>
    <x v="1"/>
    <x v="1"/>
    <x v="1"/>
    <n v="15"/>
    <x v="0"/>
  </r>
  <r>
    <n v="28"/>
    <s v="Yes"/>
    <s v="Travel_Rarely"/>
    <n v="1475"/>
    <x v="0"/>
    <n v="13"/>
    <n v="2"/>
    <s v="Marketing"/>
    <n v="1"/>
    <n v="1933"/>
    <n v="4"/>
    <s v="Female"/>
    <n v="84"/>
    <n v="3"/>
    <n v="2"/>
    <s v="Sales Executive"/>
    <n v="3"/>
    <s v="Single"/>
    <n v="9854"/>
    <n v="23352"/>
    <n v="3"/>
    <s v="Y"/>
    <s v="Yes"/>
    <n v="11"/>
    <n v="3"/>
    <n v="4"/>
    <n v="80"/>
    <n v="0"/>
    <n v="6"/>
    <n v="0"/>
    <n v="3"/>
    <n v="2"/>
    <n v="0"/>
    <n v="2"/>
    <n v="2"/>
    <s v="LAB-1933"/>
    <x v="0"/>
    <x v="0"/>
    <x v="0"/>
    <n v="2"/>
    <x v="0"/>
  </r>
  <r>
    <n v="47"/>
    <s v="No"/>
    <s v="Non-Travel"/>
    <n v="1169"/>
    <x v="1"/>
    <n v="14"/>
    <n v="4"/>
    <s v="Technical Degree"/>
    <n v="1"/>
    <n v="1934"/>
    <n v="3"/>
    <s v="Male"/>
    <n v="64"/>
    <n v="3"/>
    <n v="2"/>
    <s v="Research Scientist"/>
    <n v="2"/>
    <s v="Married"/>
    <n v="5467"/>
    <n v="2125"/>
    <n v="8"/>
    <s v="Y"/>
    <s v="No"/>
    <n v="18"/>
    <n v="3"/>
    <n v="3"/>
    <n v="80"/>
    <n v="1"/>
    <n v="16"/>
    <n v="4"/>
    <n v="4"/>
    <n v="8"/>
    <n v="7"/>
    <n v="1"/>
    <n v="7"/>
    <s v="LAB-1934"/>
    <x v="1"/>
    <x v="1"/>
    <x v="1"/>
    <n v="8"/>
    <x v="0"/>
  </r>
  <r>
    <n v="56"/>
    <s v="No"/>
    <s v="Travel_Rarely"/>
    <n v="1443"/>
    <x v="0"/>
    <n v="11"/>
    <n v="5"/>
    <s v="Marketing"/>
    <n v="1"/>
    <n v="1935"/>
    <n v="4"/>
    <s v="Female"/>
    <n v="89"/>
    <n v="2"/>
    <n v="2"/>
    <s v="Sales Executive"/>
    <n v="1"/>
    <s v="Married"/>
    <n v="5380"/>
    <n v="20328"/>
    <n v="4"/>
    <s v="Y"/>
    <s v="No"/>
    <n v="16"/>
    <n v="3"/>
    <n v="3"/>
    <n v="80"/>
    <n v="1"/>
    <n v="6"/>
    <n v="3"/>
    <n v="3"/>
    <n v="0"/>
    <n v="0"/>
    <n v="0"/>
    <n v="0"/>
    <s v="LAB-1935"/>
    <x v="0"/>
    <x v="0"/>
    <x v="1"/>
    <n v="0"/>
    <x v="0"/>
  </r>
  <r>
    <n v="39"/>
    <s v="No"/>
    <s v="Travel_Rarely"/>
    <n v="867"/>
    <x v="1"/>
    <n v="9"/>
    <n v="2"/>
    <s v="Medical"/>
    <n v="1"/>
    <n v="1936"/>
    <n v="1"/>
    <s v="Male"/>
    <n v="87"/>
    <n v="3"/>
    <n v="2"/>
    <s v="Manufacturing Director"/>
    <n v="1"/>
    <s v="Married"/>
    <n v="5151"/>
    <n v="12315"/>
    <n v="1"/>
    <s v="Y"/>
    <s v="No"/>
    <n v="25"/>
    <n v="4"/>
    <n v="4"/>
    <n v="80"/>
    <n v="1"/>
    <n v="10"/>
    <n v="3"/>
    <n v="3"/>
    <n v="10"/>
    <n v="0"/>
    <n v="7"/>
    <n v="9"/>
    <s v="LAB-1936"/>
    <x v="3"/>
    <x v="1"/>
    <x v="1"/>
    <n v="10"/>
    <x v="0"/>
  </r>
  <r>
    <n v="38"/>
    <s v="No"/>
    <s v="Travel_Frequently"/>
    <n v="1394"/>
    <x v="1"/>
    <n v="8"/>
    <n v="3"/>
    <s v="Medical"/>
    <n v="1"/>
    <n v="1937"/>
    <n v="4"/>
    <s v="Female"/>
    <n v="58"/>
    <n v="2"/>
    <n v="2"/>
    <s v="Research Scientist"/>
    <n v="2"/>
    <s v="Divorced"/>
    <n v="2133"/>
    <n v="18115"/>
    <n v="1"/>
    <s v="Y"/>
    <s v="Yes"/>
    <n v="16"/>
    <n v="3"/>
    <n v="3"/>
    <n v="80"/>
    <n v="1"/>
    <n v="20"/>
    <n v="3"/>
    <n v="3"/>
    <n v="20"/>
    <n v="11"/>
    <n v="0"/>
    <n v="7"/>
    <s v="LAB-1937"/>
    <x v="1"/>
    <x v="1"/>
    <x v="1"/>
    <n v="20"/>
    <x v="0"/>
  </r>
  <r>
    <n v="58"/>
    <s v="No"/>
    <s v="Travel_Rarely"/>
    <n v="605"/>
    <x v="0"/>
    <n v="21"/>
    <n v="3"/>
    <s v="Life Sciences"/>
    <n v="1"/>
    <n v="1938"/>
    <n v="4"/>
    <s v="Female"/>
    <n v="72"/>
    <n v="3"/>
    <n v="4"/>
    <s v="Manager"/>
    <n v="4"/>
    <s v="Married"/>
    <n v="17875"/>
    <n v="11761"/>
    <n v="4"/>
    <s v="Y"/>
    <s v="Yes"/>
    <n v="13"/>
    <n v="3"/>
    <n v="3"/>
    <n v="80"/>
    <n v="1"/>
    <n v="29"/>
    <n v="2"/>
    <n v="2"/>
    <n v="1"/>
    <n v="0"/>
    <n v="0"/>
    <n v="0"/>
    <s v="LAB-1938"/>
    <x v="5"/>
    <x v="0"/>
    <x v="1"/>
    <n v="1"/>
    <x v="0"/>
  </r>
  <r>
    <n v="32"/>
    <s v="Yes"/>
    <s v="Travel_Frequently"/>
    <n v="238"/>
    <x v="1"/>
    <n v="5"/>
    <n v="2"/>
    <s v="Life Sciences"/>
    <n v="1"/>
    <n v="1939"/>
    <n v="1"/>
    <s v="Female"/>
    <n v="47"/>
    <n v="4"/>
    <n v="1"/>
    <s v="Research Scientist"/>
    <n v="3"/>
    <s v="Single"/>
    <n v="2432"/>
    <n v="15318"/>
    <n v="3"/>
    <s v="Y"/>
    <s v="Yes"/>
    <n v="14"/>
    <n v="3"/>
    <n v="1"/>
    <n v="80"/>
    <n v="0"/>
    <n v="8"/>
    <n v="2"/>
    <n v="3"/>
    <n v="4"/>
    <n v="1"/>
    <n v="0"/>
    <n v="3"/>
    <s v="LAB-1939"/>
    <x v="1"/>
    <x v="1"/>
    <x v="0"/>
    <n v="4"/>
    <x v="0"/>
  </r>
  <r>
    <n v="38"/>
    <s v="No"/>
    <s v="Travel_Rarely"/>
    <n v="1206"/>
    <x v="1"/>
    <n v="9"/>
    <n v="2"/>
    <s v="Life Sciences"/>
    <n v="1"/>
    <n v="1940"/>
    <n v="2"/>
    <s v="Male"/>
    <n v="71"/>
    <n v="3"/>
    <n v="1"/>
    <s v="Research Scientist"/>
    <n v="4"/>
    <s v="Divorced"/>
    <n v="4771"/>
    <n v="14293"/>
    <n v="2"/>
    <s v="Y"/>
    <s v="No"/>
    <n v="19"/>
    <n v="3"/>
    <n v="4"/>
    <n v="80"/>
    <n v="2"/>
    <n v="10"/>
    <n v="0"/>
    <n v="4"/>
    <n v="5"/>
    <n v="2"/>
    <n v="0"/>
    <n v="3"/>
    <s v="LAB-1940"/>
    <x v="1"/>
    <x v="1"/>
    <x v="1"/>
    <n v="5"/>
    <x v="0"/>
  </r>
  <r>
    <n v="49"/>
    <s v="No"/>
    <s v="Travel_Frequently"/>
    <n v="1064"/>
    <x v="1"/>
    <n v="2"/>
    <n v="1"/>
    <s v="Life Sciences"/>
    <n v="1"/>
    <n v="1941"/>
    <n v="2"/>
    <s v="Male"/>
    <n v="42"/>
    <n v="3"/>
    <n v="5"/>
    <s v="Research Director"/>
    <n v="4"/>
    <s v="Married"/>
    <n v="19161"/>
    <n v="13738"/>
    <n v="3"/>
    <s v="Y"/>
    <s v="No"/>
    <n v="15"/>
    <n v="3"/>
    <n v="4"/>
    <n v="80"/>
    <n v="0"/>
    <n v="28"/>
    <n v="3"/>
    <n v="3"/>
    <n v="5"/>
    <n v="4"/>
    <n v="4"/>
    <n v="3"/>
    <s v="LAB-1941"/>
    <x v="7"/>
    <x v="1"/>
    <x v="1"/>
    <n v="5"/>
    <x v="0"/>
  </r>
  <r>
    <n v="42"/>
    <s v="No"/>
    <s v="Travel_Rarely"/>
    <n v="419"/>
    <x v="0"/>
    <n v="12"/>
    <n v="4"/>
    <s v="Marketing"/>
    <n v="1"/>
    <n v="1943"/>
    <n v="2"/>
    <s v="Male"/>
    <n v="77"/>
    <n v="3"/>
    <n v="2"/>
    <s v="Sales Executive"/>
    <n v="4"/>
    <s v="Divorced"/>
    <n v="5087"/>
    <n v="2900"/>
    <n v="3"/>
    <s v="Y"/>
    <s v="Yes"/>
    <n v="12"/>
    <n v="3"/>
    <n v="3"/>
    <n v="80"/>
    <n v="2"/>
    <n v="14"/>
    <n v="4"/>
    <n v="3"/>
    <n v="0"/>
    <n v="0"/>
    <n v="0"/>
    <n v="0"/>
    <s v="LAB-1943"/>
    <x v="0"/>
    <x v="0"/>
    <x v="1"/>
    <n v="0"/>
    <x v="0"/>
  </r>
  <r>
    <n v="27"/>
    <s v="Yes"/>
    <s v="Travel_Frequently"/>
    <n v="1337"/>
    <x v="2"/>
    <n v="22"/>
    <n v="3"/>
    <s v="Human Resources"/>
    <n v="1"/>
    <n v="1944"/>
    <n v="1"/>
    <s v="Female"/>
    <n v="58"/>
    <n v="2"/>
    <n v="1"/>
    <s v="Human Resources"/>
    <n v="2"/>
    <s v="Married"/>
    <n v="2863"/>
    <n v="19555"/>
    <n v="1"/>
    <s v="Y"/>
    <s v="No"/>
    <n v="12"/>
    <n v="3"/>
    <n v="1"/>
    <n v="80"/>
    <n v="0"/>
    <n v="1"/>
    <n v="2"/>
    <n v="3"/>
    <n v="1"/>
    <n v="0"/>
    <n v="0"/>
    <n v="0"/>
    <s v="LAB-1944"/>
    <x v="8"/>
    <x v="2"/>
    <x v="0"/>
    <n v="1"/>
    <x v="0"/>
  </r>
  <r>
    <n v="35"/>
    <s v="No"/>
    <s v="Travel_Rarely"/>
    <n v="682"/>
    <x v="0"/>
    <n v="18"/>
    <n v="4"/>
    <s v="Medical"/>
    <n v="1"/>
    <n v="1945"/>
    <n v="2"/>
    <s v="Male"/>
    <n v="71"/>
    <n v="3"/>
    <n v="2"/>
    <s v="Sales Executive"/>
    <n v="1"/>
    <s v="Married"/>
    <n v="5561"/>
    <n v="15975"/>
    <n v="0"/>
    <s v="Y"/>
    <s v="No"/>
    <n v="16"/>
    <n v="3"/>
    <n v="4"/>
    <n v="80"/>
    <n v="1"/>
    <n v="6"/>
    <n v="2"/>
    <n v="1"/>
    <n v="5"/>
    <n v="3"/>
    <n v="0"/>
    <n v="4"/>
    <s v="LAB-1945"/>
    <x v="0"/>
    <x v="0"/>
    <x v="1"/>
    <n v="5"/>
    <x v="0"/>
  </r>
  <r>
    <n v="28"/>
    <s v="No"/>
    <s v="Non-Travel"/>
    <n v="1103"/>
    <x v="1"/>
    <n v="16"/>
    <n v="3"/>
    <s v="Medical"/>
    <n v="1"/>
    <n v="1947"/>
    <n v="3"/>
    <s v="Male"/>
    <n v="49"/>
    <n v="3"/>
    <n v="1"/>
    <s v="Research Scientist"/>
    <n v="3"/>
    <s v="Single"/>
    <n v="2144"/>
    <n v="2122"/>
    <n v="1"/>
    <s v="Y"/>
    <s v="No"/>
    <n v="14"/>
    <n v="3"/>
    <n v="3"/>
    <n v="80"/>
    <n v="0"/>
    <n v="5"/>
    <n v="3"/>
    <n v="2"/>
    <n v="5"/>
    <n v="3"/>
    <n v="1"/>
    <n v="4"/>
    <s v="LAB-1947"/>
    <x v="1"/>
    <x v="1"/>
    <x v="1"/>
    <n v="5"/>
    <x v="0"/>
  </r>
  <r>
    <n v="31"/>
    <s v="No"/>
    <s v="Non-Travel"/>
    <n v="976"/>
    <x v="1"/>
    <n v="3"/>
    <n v="2"/>
    <s v="Medical"/>
    <n v="1"/>
    <n v="1948"/>
    <n v="3"/>
    <s v="Male"/>
    <n v="48"/>
    <n v="3"/>
    <n v="1"/>
    <s v="Research Scientist"/>
    <n v="1"/>
    <s v="Divorced"/>
    <n v="3065"/>
    <n v="3995"/>
    <n v="1"/>
    <s v="Y"/>
    <s v="Yes"/>
    <n v="13"/>
    <n v="3"/>
    <n v="4"/>
    <n v="80"/>
    <n v="1"/>
    <n v="4"/>
    <n v="3"/>
    <n v="4"/>
    <n v="4"/>
    <n v="2"/>
    <n v="2"/>
    <n v="3"/>
    <s v="LAB-1948"/>
    <x v="1"/>
    <x v="1"/>
    <x v="1"/>
    <n v="4"/>
    <x v="0"/>
  </r>
  <r>
    <n v="36"/>
    <s v="No"/>
    <s v="Non-Travel"/>
    <n v="1351"/>
    <x v="1"/>
    <n v="9"/>
    <n v="4"/>
    <s v="Life Sciences"/>
    <n v="1"/>
    <n v="1949"/>
    <n v="1"/>
    <s v="Male"/>
    <n v="66"/>
    <n v="4"/>
    <n v="1"/>
    <s v="Laboratory Technician"/>
    <n v="2"/>
    <s v="Married"/>
    <n v="2810"/>
    <n v="9238"/>
    <n v="1"/>
    <s v="Y"/>
    <s v="No"/>
    <n v="22"/>
    <n v="4"/>
    <n v="2"/>
    <n v="80"/>
    <n v="0"/>
    <n v="5"/>
    <n v="3"/>
    <n v="3"/>
    <n v="5"/>
    <n v="4"/>
    <n v="0"/>
    <n v="2"/>
    <s v="LAB-1949"/>
    <x v="2"/>
    <x v="1"/>
    <x v="1"/>
    <n v="5"/>
    <x v="0"/>
  </r>
  <r>
    <n v="34"/>
    <s v="No"/>
    <s v="Travel_Rarely"/>
    <n v="937"/>
    <x v="0"/>
    <n v="1"/>
    <n v="3"/>
    <s v="Marketing"/>
    <n v="1"/>
    <n v="1950"/>
    <n v="1"/>
    <s v="Male"/>
    <n v="32"/>
    <n v="3"/>
    <n v="3"/>
    <s v="Sales Executive"/>
    <n v="4"/>
    <s v="Single"/>
    <n v="9888"/>
    <n v="6770"/>
    <n v="1"/>
    <s v="Y"/>
    <s v="No"/>
    <n v="21"/>
    <n v="4"/>
    <n v="1"/>
    <n v="80"/>
    <n v="0"/>
    <n v="14"/>
    <n v="3"/>
    <n v="2"/>
    <n v="14"/>
    <n v="8"/>
    <n v="2"/>
    <n v="1"/>
    <s v="LAB-1950"/>
    <x v="0"/>
    <x v="0"/>
    <x v="1"/>
    <n v="14"/>
    <x v="0"/>
  </r>
  <r>
    <n v="34"/>
    <s v="No"/>
    <s v="Travel_Rarely"/>
    <n v="1239"/>
    <x v="0"/>
    <n v="13"/>
    <n v="4"/>
    <s v="Medical"/>
    <n v="1"/>
    <n v="1951"/>
    <n v="4"/>
    <s v="Male"/>
    <n v="39"/>
    <n v="3"/>
    <n v="3"/>
    <s v="Sales Executive"/>
    <n v="3"/>
    <s v="Divorced"/>
    <n v="8628"/>
    <n v="22914"/>
    <n v="1"/>
    <s v="Y"/>
    <s v="No"/>
    <n v="18"/>
    <n v="3"/>
    <n v="3"/>
    <n v="80"/>
    <n v="1"/>
    <n v="9"/>
    <n v="2"/>
    <n v="2"/>
    <n v="8"/>
    <n v="7"/>
    <n v="1"/>
    <n v="1"/>
    <s v="LAB-1951"/>
    <x v="0"/>
    <x v="0"/>
    <x v="1"/>
    <n v="8"/>
    <x v="0"/>
  </r>
  <r>
    <n v="26"/>
    <s v="No"/>
    <s v="Travel_Rarely"/>
    <n v="157"/>
    <x v="1"/>
    <n v="1"/>
    <n v="3"/>
    <s v="Medical"/>
    <n v="1"/>
    <n v="1952"/>
    <n v="3"/>
    <s v="Male"/>
    <n v="95"/>
    <n v="3"/>
    <n v="1"/>
    <s v="Laboratory Technician"/>
    <n v="1"/>
    <s v="Single"/>
    <n v="2867"/>
    <n v="20006"/>
    <n v="0"/>
    <s v="Y"/>
    <s v="No"/>
    <n v="13"/>
    <n v="3"/>
    <n v="4"/>
    <n v="80"/>
    <n v="0"/>
    <n v="8"/>
    <n v="6"/>
    <n v="2"/>
    <n v="7"/>
    <n v="7"/>
    <n v="7"/>
    <n v="6"/>
    <s v="LAB-1952"/>
    <x v="2"/>
    <x v="1"/>
    <x v="1"/>
    <n v="7"/>
    <x v="0"/>
  </r>
  <r>
    <n v="29"/>
    <s v="No"/>
    <s v="Travel_Rarely"/>
    <n v="136"/>
    <x v="1"/>
    <n v="1"/>
    <n v="3"/>
    <s v="Life Sciences"/>
    <n v="1"/>
    <n v="1954"/>
    <n v="1"/>
    <s v="Male"/>
    <n v="89"/>
    <n v="3"/>
    <n v="2"/>
    <s v="Healthcare Representative"/>
    <n v="1"/>
    <s v="Married"/>
    <n v="5373"/>
    <n v="6225"/>
    <n v="0"/>
    <s v="Y"/>
    <s v="No"/>
    <n v="12"/>
    <n v="3"/>
    <n v="1"/>
    <n v="80"/>
    <n v="1"/>
    <n v="6"/>
    <n v="5"/>
    <n v="2"/>
    <n v="5"/>
    <n v="3"/>
    <n v="0"/>
    <n v="2"/>
    <s v="LAB-1954"/>
    <x v="4"/>
    <x v="1"/>
    <x v="1"/>
    <n v="5"/>
    <x v="0"/>
  </r>
  <r>
    <n v="32"/>
    <s v="No"/>
    <s v="Non-Travel"/>
    <n v="1146"/>
    <x v="1"/>
    <n v="15"/>
    <n v="4"/>
    <s v="Medical"/>
    <n v="1"/>
    <n v="1955"/>
    <n v="3"/>
    <s v="Female"/>
    <n v="34"/>
    <n v="3"/>
    <n v="2"/>
    <s v="Healthcare Representative"/>
    <n v="4"/>
    <s v="Divorced"/>
    <n v="6667"/>
    <n v="16542"/>
    <n v="5"/>
    <s v="Y"/>
    <s v="No"/>
    <n v="18"/>
    <n v="3"/>
    <n v="2"/>
    <n v="80"/>
    <n v="1"/>
    <n v="9"/>
    <n v="6"/>
    <n v="3"/>
    <n v="5"/>
    <n v="1"/>
    <n v="1"/>
    <n v="2"/>
    <s v="LAB-1955"/>
    <x v="4"/>
    <x v="1"/>
    <x v="1"/>
    <n v="5"/>
    <x v="0"/>
  </r>
  <r>
    <n v="31"/>
    <s v="No"/>
    <s v="Travel_Frequently"/>
    <n v="1125"/>
    <x v="1"/>
    <n v="1"/>
    <n v="3"/>
    <s v="Life Sciences"/>
    <n v="1"/>
    <n v="1956"/>
    <n v="4"/>
    <s v="Male"/>
    <n v="48"/>
    <n v="1"/>
    <n v="2"/>
    <s v="Research Scientist"/>
    <n v="1"/>
    <s v="Married"/>
    <n v="5003"/>
    <n v="5771"/>
    <n v="1"/>
    <s v="Y"/>
    <s v="No"/>
    <n v="21"/>
    <n v="4"/>
    <n v="2"/>
    <n v="80"/>
    <n v="0"/>
    <n v="10"/>
    <n v="6"/>
    <n v="3"/>
    <n v="10"/>
    <n v="8"/>
    <n v="8"/>
    <n v="7"/>
    <s v="LAB-1956"/>
    <x v="1"/>
    <x v="1"/>
    <x v="1"/>
    <n v="10"/>
    <x v="0"/>
  </r>
  <r>
    <n v="28"/>
    <s v="Yes"/>
    <s v="Travel_Rarely"/>
    <n v="1404"/>
    <x v="1"/>
    <n v="17"/>
    <n v="3"/>
    <s v="Technical Degree"/>
    <n v="1"/>
    <n v="1960"/>
    <n v="3"/>
    <s v="Male"/>
    <n v="32"/>
    <n v="2"/>
    <n v="1"/>
    <s v="Laboratory Technician"/>
    <n v="4"/>
    <s v="Divorced"/>
    <n v="2367"/>
    <n v="18779"/>
    <n v="5"/>
    <s v="Y"/>
    <s v="No"/>
    <n v="12"/>
    <n v="3"/>
    <n v="1"/>
    <n v="80"/>
    <n v="1"/>
    <n v="6"/>
    <n v="2"/>
    <n v="2"/>
    <n v="4"/>
    <n v="1"/>
    <n v="0"/>
    <n v="3"/>
    <s v="LAB-1960"/>
    <x v="2"/>
    <x v="1"/>
    <x v="0"/>
    <n v="4"/>
    <x v="0"/>
  </r>
  <r>
    <n v="38"/>
    <s v="No"/>
    <s v="Travel_Rarely"/>
    <n v="1404"/>
    <x v="0"/>
    <n v="1"/>
    <n v="3"/>
    <s v="Life Sciences"/>
    <n v="1"/>
    <n v="1961"/>
    <n v="1"/>
    <s v="Male"/>
    <n v="59"/>
    <n v="2"/>
    <n v="1"/>
    <s v="Sales Representative"/>
    <n v="1"/>
    <s v="Single"/>
    <n v="2858"/>
    <n v="11473"/>
    <n v="4"/>
    <s v="Y"/>
    <s v="No"/>
    <n v="14"/>
    <n v="3"/>
    <n v="1"/>
    <n v="80"/>
    <n v="0"/>
    <n v="20"/>
    <n v="3"/>
    <n v="2"/>
    <n v="1"/>
    <n v="0"/>
    <n v="0"/>
    <n v="0"/>
    <s v="LAB-1961"/>
    <x v="6"/>
    <x v="0"/>
    <x v="1"/>
    <n v="1"/>
    <x v="0"/>
  </r>
  <r>
    <n v="35"/>
    <s v="No"/>
    <s v="Travel_Rarely"/>
    <n v="1224"/>
    <x v="0"/>
    <n v="7"/>
    <n v="4"/>
    <s v="Life Sciences"/>
    <n v="1"/>
    <n v="1962"/>
    <n v="3"/>
    <s v="Female"/>
    <n v="55"/>
    <n v="3"/>
    <n v="2"/>
    <s v="Sales Executive"/>
    <n v="4"/>
    <s v="Married"/>
    <n v="5204"/>
    <n v="13586"/>
    <n v="1"/>
    <s v="Y"/>
    <s v="Yes"/>
    <n v="11"/>
    <n v="3"/>
    <n v="4"/>
    <n v="80"/>
    <n v="0"/>
    <n v="10"/>
    <n v="2"/>
    <n v="3"/>
    <n v="10"/>
    <n v="8"/>
    <n v="0"/>
    <n v="9"/>
    <s v="LAB-1962"/>
    <x v="0"/>
    <x v="0"/>
    <x v="1"/>
    <n v="10"/>
    <x v="0"/>
  </r>
  <r>
    <n v="27"/>
    <s v="No"/>
    <s v="Travel_Rarely"/>
    <n v="954"/>
    <x v="0"/>
    <n v="9"/>
    <n v="3"/>
    <s v="Marketing"/>
    <n v="1"/>
    <n v="1965"/>
    <n v="4"/>
    <s v="Male"/>
    <n v="44"/>
    <n v="3"/>
    <n v="2"/>
    <s v="Sales Executive"/>
    <n v="4"/>
    <s v="Single"/>
    <n v="4105"/>
    <n v="5099"/>
    <n v="1"/>
    <s v="Y"/>
    <s v="No"/>
    <n v="14"/>
    <n v="3"/>
    <n v="1"/>
    <n v="80"/>
    <n v="0"/>
    <n v="7"/>
    <n v="5"/>
    <n v="3"/>
    <n v="7"/>
    <n v="7"/>
    <n v="0"/>
    <n v="7"/>
    <s v="LAB-1965"/>
    <x v="0"/>
    <x v="0"/>
    <x v="1"/>
    <n v="7"/>
    <x v="0"/>
  </r>
  <r>
    <n v="32"/>
    <s v="No"/>
    <s v="Travel_Rarely"/>
    <n v="1373"/>
    <x v="1"/>
    <n v="5"/>
    <n v="4"/>
    <s v="Life Sciences"/>
    <n v="1"/>
    <n v="1966"/>
    <n v="4"/>
    <s v="Male"/>
    <n v="56"/>
    <n v="2"/>
    <n v="2"/>
    <s v="Manufacturing Director"/>
    <n v="4"/>
    <s v="Single"/>
    <n v="9679"/>
    <n v="10138"/>
    <n v="8"/>
    <s v="Y"/>
    <s v="No"/>
    <n v="24"/>
    <n v="4"/>
    <n v="2"/>
    <n v="80"/>
    <n v="0"/>
    <n v="8"/>
    <n v="1"/>
    <n v="3"/>
    <n v="1"/>
    <n v="0"/>
    <n v="0"/>
    <n v="0"/>
    <s v="LAB-1966"/>
    <x v="3"/>
    <x v="1"/>
    <x v="1"/>
    <n v="1"/>
    <x v="0"/>
  </r>
  <r>
    <n v="31"/>
    <s v="Yes"/>
    <s v="Travel_Frequently"/>
    <n v="754"/>
    <x v="0"/>
    <n v="26"/>
    <n v="4"/>
    <s v="Marketing"/>
    <n v="1"/>
    <n v="1967"/>
    <n v="1"/>
    <s v="Male"/>
    <n v="63"/>
    <n v="3"/>
    <n v="2"/>
    <s v="Sales Executive"/>
    <n v="4"/>
    <s v="Married"/>
    <n v="5617"/>
    <n v="21075"/>
    <n v="1"/>
    <s v="Y"/>
    <s v="Yes"/>
    <n v="11"/>
    <n v="3"/>
    <n v="3"/>
    <n v="80"/>
    <n v="0"/>
    <n v="10"/>
    <n v="4"/>
    <n v="3"/>
    <n v="10"/>
    <n v="7"/>
    <n v="0"/>
    <n v="8"/>
    <s v="LAB-1967"/>
    <x v="0"/>
    <x v="0"/>
    <x v="0"/>
    <n v="10"/>
    <x v="0"/>
  </r>
  <r>
    <n v="53"/>
    <s v="Yes"/>
    <s v="Travel_Rarely"/>
    <n v="1168"/>
    <x v="0"/>
    <n v="24"/>
    <n v="4"/>
    <s v="Life Sciences"/>
    <n v="1"/>
    <n v="1968"/>
    <n v="1"/>
    <s v="Male"/>
    <n v="66"/>
    <n v="3"/>
    <n v="3"/>
    <s v="Sales Executive"/>
    <n v="1"/>
    <s v="Single"/>
    <n v="10448"/>
    <n v="5843"/>
    <n v="6"/>
    <s v="Y"/>
    <s v="Yes"/>
    <n v="13"/>
    <n v="3"/>
    <n v="2"/>
    <n v="80"/>
    <n v="0"/>
    <n v="15"/>
    <n v="2"/>
    <n v="2"/>
    <n v="2"/>
    <n v="2"/>
    <n v="2"/>
    <n v="2"/>
    <s v="LAB-1968"/>
    <x v="0"/>
    <x v="0"/>
    <x v="0"/>
    <n v="2"/>
    <x v="0"/>
  </r>
  <r>
    <n v="54"/>
    <s v="No"/>
    <s v="Travel_Rarely"/>
    <n v="155"/>
    <x v="1"/>
    <n v="9"/>
    <n v="2"/>
    <s v="Life Sciences"/>
    <n v="1"/>
    <n v="1969"/>
    <n v="1"/>
    <s v="Female"/>
    <n v="67"/>
    <n v="3"/>
    <n v="2"/>
    <s v="Research Scientist"/>
    <n v="3"/>
    <s v="Married"/>
    <n v="2897"/>
    <n v="22474"/>
    <n v="3"/>
    <s v="Y"/>
    <s v="No"/>
    <n v="11"/>
    <n v="3"/>
    <n v="3"/>
    <n v="80"/>
    <n v="2"/>
    <n v="9"/>
    <n v="6"/>
    <n v="2"/>
    <n v="4"/>
    <n v="3"/>
    <n v="2"/>
    <n v="3"/>
    <s v="LAB-1969"/>
    <x v="1"/>
    <x v="1"/>
    <x v="1"/>
    <n v="4"/>
    <x v="0"/>
  </r>
  <r>
    <n v="33"/>
    <s v="No"/>
    <s v="Travel_Frequently"/>
    <n v="1303"/>
    <x v="1"/>
    <n v="7"/>
    <n v="2"/>
    <s v="Life Sciences"/>
    <n v="1"/>
    <n v="1970"/>
    <n v="4"/>
    <s v="Male"/>
    <n v="36"/>
    <n v="3"/>
    <n v="2"/>
    <s v="Healthcare Representative"/>
    <n v="3"/>
    <s v="Divorced"/>
    <n v="5968"/>
    <n v="18079"/>
    <n v="1"/>
    <s v="Y"/>
    <s v="No"/>
    <n v="20"/>
    <n v="4"/>
    <n v="3"/>
    <n v="80"/>
    <n v="3"/>
    <n v="9"/>
    <n v="2"/>
    <n v="3"/>
    <n v="9"/>
    <n v="7"/>
    <n v="2"/>
    <n v="8"/>
    <s v="LAB-1970"/>
    <x v="4"/>
    <x v="1"/>
    <x v="1"/>
    <n v="9"/>
    <x v="0"/>
  </r>
  <r>
    <n v="43"/>
    <s v="No"/>
    <s v="Travel_Rarely"/>
    <n v="574"/>
    <x v="1"/>
    <n v="11"/>
    <n v="3"/>
    <s v="Life Sciences"/>
    <n v="1"/>
    <n v="1971"/>
    <n v="1"/>
    <s v="Male"/>
    <n v="30"/>
    <n v="3"/>
    <n v="3"/>
    <s v="Healthcare Representative"/>
    <n v="3"/>
    <s v="Married"/>
    <n v="7510"/>
    <n v="16873"/>
    <n v="1"/>
    <s v="Y"/>
    <s v="No"/>
    <n v="17"/>
    <n v="3"/>
    <n v="2"/>
    <n v="80"/>
    <n v="1"/>
    <n v="10"/>
    <n v="1"/>
    <n v="3"/>
    <n v="10"/>
    <n v="9"/>
    <n v="0"/>
    <n v="9"/>
    <s v="LAB-1971"/>
    <x v="4"/>
    <x v="1"/>
    <x v="1"/>
    <n v="10"/>
    <x v="0"/>
  </r>
  <r>
    <n v="38"/>
    <s v="No"/>
    <s v="Travel_Frequently"/>
    <n v="1444"/>
    <x v="2"/>
    <n v="1"/>
    <n v="4"/>
    <s v="Other"/>
    <n v="1"/>
    <n v="1972"/>
    <n v="4"/>
    <s v="Male"/>
    <n v="88"/>
    <n v="3"/>
    <n v="1"/>
    <s v="Human Resources"/>
    <n v="2"/>
    <s v="Married"/>
    <n v="2991"/>
    <n v="5224"/>
    <n v="0"/>
    <s v="Y"/>
    <s v="Yes"/>
    <n v="11"/>
    <n v="3"/>
    <n v="2"/>
    <n v="80"/>
    <n v="1"/>
    <n v="7"/>
    <n v="2"/>
    <n v="3"/>
    <n v="6"/>
    <n v="2"/>
    <n v="1"/>
    <n v="2"/>
    <s v="LAB-1972"/>
    <x v="8"/>
    <x v="2"/>
    <x v="1"/>
    <n v="6"/>
    <x v="0"/>
  </r>
  <r>
    <n v="55"/>
    <s v="No"/>
    <s v="Travel_Rarely"/>
    <n v="189"/>
    <x v="2"/>
    <n v="26"/>
    <n v="4"/>
    <s v="Human Resources"/>
    <n v="1"/>
    <n v="1973"/>
    <n v="3"/>
    <s v="Male"/>
    <n v="71"/>
    <n v="4"/>
    <n v="5"/>
    <s v="Manager"/>
    <n v="2"/>
    <s v="Married"/>
    <n v="19636"/>
    <n v="25811"/>
    <n v="4"/>
    <s v="Y"/>
    <s v="Yes"/>
    <n v="18"/>
    <n v="3"/>
    <n v="1"/>
    <n v="80"/>
    <n v="1"/>
    <n v="35"/>
    <n v="0"/>
    <n v="3"/>
    <n v="10"/>
    <n v="9"/>
    <n v="1"/>
    <n v="4"/>
    <s v="LAB-1973"/>
    <x v="5"/>
    <x v="2"/>
    <x v="1"/>
    <n v="10"/>
    <x v="0"/>
  </r>
  <r>
    <n v="31"/>
    <s v="No"/>
    <s v="Travel_Rarely"/>
    <n v="1276"/>
    <x v="1"/>
    <n v="2"/>
    <n v="1"/>
    <s v="Medical"/>
    <n v="1"/>
    <n v="1974"/>
    <n v="4"/>
    <s v="Female"/>
    <n v="59"/>
    <n v="1"/>
    <n v="1"/>
    <s v="Laboratory Technician"/>
    <n v="4"/>
    <s v="Divorced"/>
    <n v="1129"/>
    <n v="17536"/>
    <n v="1"/>
    <s v="Y"/>
    <s v="Yes"/>
    <n v="11"/>
    <n v="3"/>
    <n v="3"/>
    <n v="80"/>
    <n v="3"/>
    <n v="1"/>
    <n v="4"/>
    <n v="3"/>
    <n v="1"/>
    <n v="0"/>
    <n v="0"/>
    <n v="0"/>
    <s v="LAB-1974"/>
    <x v="2"/>
    <x v="1"/>
    <x v="1"/>
    <n v="1"/>
    <x v="0"/>
  </r>
  <r>
    <n v="39"/>
    <s v="No"/>
    <s v="Travel_Rarely"/>
    <n v="119"/>
    <x v="0"/>
    <n v="15"/>
    <n v="4"/>
    <s v="Marketing"/>
    <n v="1"/>
    <n v="1975"/>
    <n v="2"/>
    <s v="Male"/>
    <n v="77"/>
    <n v="3"/>
    <n v="4"/>
    <s v="Sales Executive"/>
    <n v="1"/>
    <s v="Single"/>
    <n v="13341"/>
    <n v="25098"/>
    <n v="0"/>
    <s v="Y"/>
    <s v="No"/>
    <n v="12"/>
    <n v="3"/>
    <n v="1"/>
    <n v="80"/>
    <n v="0"/>
    <n v="21"/>
    <n v="3"/>
    <n v="3"/>
    <n v="20"/>
    <n v="8"/>
    <n v="11"/>
    <n v="10"/>
    <s v="LAB-1975"/>
    <x v="0"/>
    <x v="0"/>
    <x v="1"/>
    <n v="20"/>
    <x v="0"/>
  </r>
  <r>
    <n v="42"/>
    <s v="No"/>
    <s v="Non-Travel"/>
    <n v="335"/>
    <x v="1"/>
    <n v="23"/>
    <n v="2"/>
    <s v="Life Sciences"/>
    <n v="1"/>
    <n v="1976"/>
    <n v="4"/>
    <s v="Male"/>
    <n v="37"/>
    <n v="2"/>
    <n v="2"/>
    <s v="Research Scientist"/>
    <n v="3"/>
    <s v="Single"/>
    <n v="4332"/>
    <n v="14811"/>
    <n v="1"/>
    <s v="Y"/>
    <s v="No"/>
    <n v="12"/>
    <n v="3"/>
    <n v="4"/>
    <n v="80"/>
    <n v="0"/>
    <n v="20"/>
    <n v="2"/>
    <n v="3"/>
    <n v="20"/>
    <n v="9"/>
    <n v="3"/>
    <n v="7"/>
    <s v="LAB-1976"/>
    <x v="1"/>
    <x v="1"/>
    <x v="1"/>
    <n v="20"/>
    <x v="0"/>
  </r>
  <r>
    <n v="31"/>
    <s v="No"/>
    <s v="Non-Travel"/>
    <n v="697"/>
    <x v="1"/>
    <n v="10"/>
    <n v="3"/>
    <s v="Medical"/>
    <n v="1"/>
    <n v="1979"/>
    <n v="3"/>
    <s v="Female"/>
    <n v="40"/>
    <n v="3"/>
    <n v="3"/>
    <s v="Research Director"/>
    <n v="3"/>
    <s v="Married"/>
    <n v="11031"/>
    <n v="26862"/>
    <n v="4"/>
    <s v="Y"/>
    <s v="No"/>
    <n v="20"/>
    <n v="4"/>
    <n v="3"/>
    <n v="80"/>
    <n v="1"/>
    <n v="13"/>
    <n v="2"/>
    <n v="4"/>
    <n v="11"/>
    <n v="7"/>
    <n v="4"/>
    <n v="8"/>
    <s v="LAB-1979"/>
    <x v="7"/>
    <x v="1"/>
    <x v="1"/>
    <n v="11"/>
    <x v="0"/>
  </r>
  <r>
    <n v="54"/>
    <s v="No"/>
    <s v="Travel_Rarely"/>
    <n v="157"/>
    <x v="1"/>
    <n v="10"/>
    <n v="3"/>
    <s v="Medical"/>
    <n v="1"/>
    <n v="1980"/>
    <n v="3"/>
    <s v="Female"/>
    <n v="77"/>
    <n v="3"/>
    <n v="2"/>
    <s v="Manufacturing Director"/>
    <n v="1"/>
    <s v="Single"/>
    <n v="4440"/>
    <n v="25198"/>
    <n v="6"/>
    <s v="Y"/>
    <s v="Yes"/>
    <n v="19"/>
    <n v="3"/>
    <n v="4"/>
    <n v="80"/>
    <n v="0"/>
    <n v="9"/>
    <n v="3"/>
    <n v="3"/>
    <n v="5"/>
    <n v="2"/>
    <n v="1"/>
    <n v="4"/>
    <s v="LAB-1980"/>
    <x v="3"/>
    <x v="1"/>
    <x v="1"/>
    <n v="5"/>
    <x v="0"/>
  </r>
  <r>
    <n v="24"/>
    <s v="No"/>
    <s v="Travel_Rarely"/>
    <n v="771"/>
    <x v="1"/>
    <n v="1"/>
    <n v="2"/>
    <s v="Life Sciences"/>
    <n v="1"/>
    <n v="1981"/>
    <n v="2"/>
    <s v="Male"/>
    <n v="45"/>
    <n v="2"/>
    <n v="2"/>
    <s v="Healthcare Representative"/>
    <n v="3"/>
    <s v="Single"/>
    <n v="4617"/>
    <n v="14120"/>
    <n v="1"/>
    <s v="Y"/>
    <s v="No"/>
    <n v="12"/>
    <n v="3"/>
    <n v="2"/>
    <n v="80"/>
    <n v="0"/>
    <n v="4"/>
    <n v="2"/>
    <n v="2"/>
    <n v="4"/>
    <n v="3"/>
    <n v="1"/>
    <n v="2"/>
    <s v="LAB-1981"/>
    <x v="4"/>
    <x v="1"/>
    <x v="1"/>
    <n v="4"/>
    <x v="0"/>
  </r>
  <r>
    <n v="23"/>
    <s v="No"/>
    <s v="Travel_Rarely"/>
    <n v="571"/>
    <x v="1"/>
    <n v="12"/>
    <n v="2"/>
    <s v="Other"/>
    <n v="1"/>
    <n v="1982"/>
    <n v="4"/>
    <s v="Male"/>
    <n v="78"/>
    <n v="3"/>
    <n v="1"/>
    <s v="Laboratory Technician"/>
    <n v="4"/>
    <s v="Single"/>
    <n v="2647"/>
    <n v="13672"/>
    <n v="1"/>
    <s v="Y"/>
    <s v="No"/>
    <n v="13"/>
    <n v="3"/>
    <n v="3"/>
    <n v="80"/>
    <n v="0"/>
    <n v="5"/>
    <n v="6"/>
    <n v="4"/>
    <n v="5"/>
    <n v="2"/>
    <n v="1"/>
    <n v="4"/>
    <s v="LAB-1982"/>
    <x v="2"/>
    <x v="1"/>
    <x v="1"/>
    <n v="5"/>
    <x v="0"/>
  </r>
  <r>
    <n v="40"/>
    <s v="No"/>
    <s v="Travel_Frequently"/>
    <n v="692"/>
    <x v="1"/>
    <n v="11"/>
    <n v="3"/>
    <s v="Technical Degree"/>
    <n v="1"/>
    <n v="1985"/>
    <n v="4"/>
    <s v="Female"/>
    <n v="73"/>
    <n v="3"/>
    <n v="2"/>
    <s v="Laboratory Technician"/>
    <n v="3"/>
    <s v="Married"/>
    <n v="6323"/>
    <n v="26849"/>
    <n v="1"/>
    <s v="Y"/>
    <s v="No"/>
    <n v="11"/>
    <n v="3"/>
    <n v="1"/>
    <n v="80"/>
    <n v="1"/>
    <n v="10"/>
    <n v="2"/>
    <n v="4"/>
    <n v="10"/>
    <n v="9"/>
    <n v="9"/>
    <n v="4"/>
    <s v="LAB-1985"/>
    <x v="2"/>
    <x v="1"/>
    <x v="1"/>
    <n v="10"/>
    <x v="0"/>
  </r>
  <r>
    <n v="40"/>
    <s v="No"/>
    <s v="Travel_Rarely"/>
    <n v="444"/>
    <x v="0"/>
    <n v="2"/>
    <n v="2"/>
    <s v="Marketing"/>
    <n v="1"/>
    <n v="1986"/>
    <n v="2"/>
    <s v="Female"/>
    <n v="92"/>
    <n v="3"/>
    <n v="2"/>
    <s v="Sales Executive"/>
    <n v="2"/>
    <s v="Married"/>
    <n v="5677"/>
    <n v="4258"/>
    <n v="3"/>
    <s v="Y"/>
    <s v="No"/>
    <n v="14"/>
    <n v="3"/>
    <n v="3"/>
    <n v="80"/>
    <n v="1"/>
    <n v="15"/>
    <n v="4"/>
    <n v="3"/>
    <n v="11"/>
    <n v="8"/>
    <n v="5"/>
    <n v="10"/>
    <s v="LAB-1986"/>
    <x v="0"/>
    <x v="0"/>
    <x v="1"/>
    <n v="11"/>
    <x v="0"/>
  </r>
  <r>
    <n v="25"/>
    <s v="No"/>
    <s v="Travel_Rarely"/>
    <n v="309"/>
    <x v="2"/>
    <n v="2"/>
    <n v="3"/>
    <s v="Human Resources"/>
    <n v="1"/>
    <n v="1987"/>
    <n v="3"/>
    <s v="Female"/>
    <n v="82"/>
    <n v="3"/>
    <n v="1"/>
    <s v="Human Resources"/>
    <n v="2"/>
    <s v="Married"/>
    <n v="2187"/>
    <n v="19655"/>
    <n v="4"/>
    <s v="Y"/>
    <s v="No"/>
    <n v="14"/>
    <n v="3"/>
    <n v="3"/>
    <n v="80"/>
    <n v="0"/>
    <n v="6"/>
    <n v="3"/>
    <n v="3"/>
    <n v="2"/>
    <n v="0"/>
    <n v="1"/>
    <n v="2"/>
    <s v="LAB-1987"/>
    <x v="8"/>
    <x v="2"/>
    <x v="1"/>
    <n v="2"/>
    <x v="0"/>
  </r>
  <r>
    <n v="30"/>
    <s v="No"/>
    <s v="Travel_Rarely"/>
    <n v="911"/>
    <x v="1"/>
    <n v="1"/>
    <n v="2"/>
    <s v="Medical"/>
    <n v="1"/>
    <n v="1989"/>
    <n v="4"/>
    <s v="Male"/>
    <n v="76"/>
    <n v="3"/>
    <n v="1"/>
    <s v="Laboratory Technician"/>
    <n v="2"/>
    <s v="Married"/>
    <n v="3748"/>
    <n v="4077"/>
    <n v="1"/>
    <s v="Y"/>
    <s v="No"/>
    <n v="13"/>
    <n v="3"/>
    <n v="3"/>
    <n v="80"/>
    <n v="0"/>
    <n v="12"/>
    <n v="6"/>
    <n v="2"/>
    <n v="12"/>
    <n v="8"/>
    <n v="1"/>
    <n v="7"/>
    <s v="LAB-1989"/>
    <x v="2"/>
    <x v="1"/>
    <x v="1"/>
    <n v="12"/>
    <x v="0"/>
  </r>
  <r>
    <n v="25"/>
    <s v="No"/>
    <s v="Travel_Rarely"/>
    <n v="977"/>
    <x v="1"/>
    <n v="2"/>
    <n v="1"/>
    <s v="Other"/>
    <n v="1"/>
    <n v="1992"/>
    <n v="4"/>
    <s v="Male"/>
    <n v="57"/>
    <n v="3"/>
    <n v="1"/>
    <s v="Laboratory Technician"/>
    <n v="3"/>
    <s v="Divorced"/>
    <n v="3977"/>
    <n v="7298"/>
    <n v="6"/>
    <s v="Y"/>
    <s v="Yes"/>
    <n v="19"/>
    <n v="3"/>
    <n v="3"/>
    <n v="80"/>
    <n v="1"/>
    <n v="7"/>
    <n v="2"/>
    <n v="2"/>
    <n v="2"/>
    <n v="2"/>
    <n v="0"/>
    <n v="2"/>
    <s v="LAB-1992"/>
    <x v="2"/>
    <x v="1"/>
    <x v="1"/>
    <n v="2"/>
    <x v="0"/>
  </r>
  <r>
    <n v="47"/>
    <s v="No"/>
    <s v="Travel_Rarely"/>
    <n v="1180"/>
    <x v="1"/>
    <n v="25"/>
    <n v="3"/>
    <s v="Medical"/>
    <n v="1"/>
    <n v="1993"/>
    <n v="1"/>
    <s v="Male"/>
    <n v="84"/>
    <n v="3"/>
    <n v="3"/>
    <s v="Healthcare Representative"/>
    <n v="3"/>
    <s v="Single"/>
    <n v="8633"/>
    <n v="13084"/>
    <n v="2"/>
    <s v="Y"/>
    <s v="No"/>
    <n v="23"/>
    <n v="4"/>
    <n v="2"/>
    <n v="80"/>
    <n v="0"/>
    <n v="25"/>
    <n v="3"/>
    <n v="3"/>
    <n v="17"/>
    <n v="14"/>
    <n v="12"/>
    <n v="11"/>
    <s v="LAB-1993"/>
    <x v="4"/>
    <x v="1"/>
    <x v="1"/>
    <n v="17"/>
    <x v="0"/>
  </r>
  <r>
    <n v="33"/>
    <s v="No"/>
    <s v="Non-Travel"/>
    <n v="1313"/>
    <x v="1"/>
    <n v="1"/>
    <n v="2"/>
    <s v="Medical"/>
    <n v="1"/>
    <n v="1994"/>
    <n v="2"/>
    <s v="Male"/>
    <n v="59"/>
    <n v="2"/>
    <n v="1"/>
    <s v="Laboratory Technician"/>
    <n v="3"/>
    <s v="Divorced"/>
    <n v="2008"/>
    <n v="20439"/>
    <n v="1"/>
    <s v="Y"/>
    <s v="No"/>
    <n v="12"/>
    <n v="3"/>
    <n v="3"/>
    <n v="80"/>
    <n v="3"/>
    <n v="1"/>
    <n v="2"/>
    <n v="2"/>
    <n v="1"/>
    <n v="1"/>
    <n v="0"/>
    <n v="0"/>
    <s v="LAB-1994"/>
    <x v="2"/>
    <x v="1"/>
    <x v="1"/>
    <n v="1"/>
    <x v="0"/>
  </r>
  <r>
    <n v="38"/>
    <s v="No"/>
    <s v="Travel_Rarely"/>
    <n v="1321"/>
    <x v="0"/>
    <n v="1"/>
    <n v="4"/>
    <s v="Life Sciences"/>
    <n v="1"/>
    <n v="1995"/>
    <n v="4"/>
    <s v="Male"/>
    <n v="86"/>
    <n v="3"/>
    <n v="2"/>
    <s v="Sales Executive"/>
    <n v="2"/>
    <s v="Married"/>
    <n v="4440"/>
    <n v="7636"/>
    <n v="0"/>
    <s v="Y"/>
    <s v="No"/>
    <n v="15"/>
    <n v="3"/>
    <n v="1"/>
    <n v="80"/>
    <n v="2"/>
    <n v="16"/>
    <n v="3"/>
    <n v="3"/>
    <n v="15"/>
    <n v="13"/>
    <n v="5"/>
    <n v="8"/>
    <s v="LAB-1995"/>
    <x v="0"/>
    <x v="0"/>
    <x v="1"/>
    <n v="15"/>
    <x v="0"/>
  </r>
  <r>
    <n v="31"/>
    <s v="No"/>
    <s v="Travel_Rarely"/>
    <n v="1154"/>
    <x v="0"/>
    <n v="2"/>
    <n v="2"/>
    <s v="Life Sciences"/>
    <n v="1"/>
    <n v="1996"/>
    <n v="1"/>
    <s v="Male"/>
    <n v="54"/>
    <n v="3"/>
    <n v="1"/>
    <s v="Sales Representative"/>
    <n v="3"/>
    <s v="Married"/>
    <n v="3067"/>
    <n v="6393"/>
    <n v="0"/>
    <s v="Y"/>
    <s v="No"/>
    <n v="19"/>
    <n v="3"/>
    <n v="3"/>
    <n v="80"/>
    <n v="1"/>
    <n v="3"/>
    <n v="1"/>
    <n v="3"/>
    <n v="2"/>
    <n v="2"/>
    <n v="1"/>
    <n v="2"/>
    <s v="LAB-1996"/>
    <x v="6"/>
    <x v="0"/>
    <x v="1"/>
    <n v="2"/>
    <x v="0"/>
  </r>
  <r>
    <n v="38"/>
    <s v="No"/>
    <s v="Travel_Frequently"/>
    <n v="508"/>
    <x v="1"/>
    <n v="6"/>
    <n v="4"/>
    <s v="Life Sciences"/>
    <n v="1"/>
    <n v="1997"/>
    <n v="1"/>
    <s v="Male"/>
    <n v="72"/>
    <n v="2"/>
    <n v="2"/>
    <s v="Manufacturing Director"/>
    <n v="3"/>
    <s v="Married"/>
    <n v="5321"/>
    <n v="14284"/>
    <n v="2"/>
    <s v="Y"/>
    <s v="No"/>
    <n v="11"/>
    <n v="3"/>
    <n v="4"/>
    <n v="80"/>
    <n v="1"/>
    <n v="10"/>
    <n v="1"/>
    <n v="3"/>
    <n v="8"/>
    <n v="3"/>
    <n v="7"/>
    <n v="7"/>
    <s v="LAB-1997"/>
    <x v="3"/>
    <x v="1"/>
    <x v="1"/>
    <n v="8"/>
    <x v="0"/>
  </r>
  <r>
    <n v="42"/>
    <s v="No"/>
    <s v="Travel_Rarely"/>
    <n v="557"/>
    <x v="1"/>
    <n v="18"/>
    <n v="4"/>
    <s v="Life Sciences"/>
    <n v="1"/>
    <n v="1998"/>
    <n v="4"/>
    <s v="Male"/>
    <n v="35"/>
    <n v="3"/>
    <n v="2"/>
    <s v="Research Scientist"/>
    <n v="1"/>
    <s v="Divorced"/>
    <n v="5410"/>
    <n v="11189"/>
    <n v="6"/>
    <s v="Y"/>
    <s v="Yes"/>
    <n v="17"/>
    <n v="3"/>
    <n v="3"/>
    <n v="80"/>
    <n v="1"/>
    <n v="9"/>
    <n v="3"/>
    <n v="2"/>
    <n v="4"/>
    <n v="3"/>
    <n v="1"/>
    <n v="2"/>
    <s v="LAB-1998"/>
    <x v="1"/>
    <x v="1"/>
    <x v="1"/>
    <n v="4"/>
    <x v="0"/>
  </r>
  <r>
    <n v="41"/>
    <s v="No"/>
    <s v="Travel_Rarely"/>
    <n v="642"/>
    <x v="1"/>
    <n v="1"/>
    <n v="3"/>
    <s v="Life Sciences"/>
    <n v="1"/>
    <n v="1999"/>
    <n v="4"/>
    <s v="Male"/>
    <n v="76"/>
    <n v="3"/>
    <n v="1"/>
    <s v="Research Scientist"/>
    <n v="4"/>
    <s v="Married"/>
    <n v="2782"/>
    <n v="21412"/>
    <n v="3"/>
    <s v="Y"/>
    <s v="No"/>
    <n v="22"/>
    <n v="4"/>
    <n v="1"/>
    <n v="80"/>
    <n v="1"/>
    <n v="12"/>
    <n v="3"/>
    <n v="3"/>
    <n v="5"/>
    <n v="3"/>
    <n v="1"/>
    <n v="0"/>
    <s v="LAB-1999"/>
    <x v="1"/>
    <x v="1"/>
    <x v="1"/>
    <n v="5"/>
    <x v="0"/>
  </r>
  <r>
    <n v="47"/>
    <s v="No"/>
    <s v="Non-Travel"/>
    <n v="1162"/>
    <x v="1"/>
    <n v="1"/>
    <n v="1"/>
    <s v="Medical"/>
    <n v="1"/>
    <n v="2000"/>
    <n v="3"/>
    <s v="Female"/>
    <n v="98"/>
    <n v="3"/>
    <n v="3"/>
    <s v="Research Director"/>
    <n v="2"/>
    <s v="Married"/>
    <n v="11957"/>
    <n v="17231"/>
    <n v="0"/>
    <s v="Y"/>
    <s v="No"/>
    <n v="18"/>
    <n v="3"/>
    <n v="1"/>
    <n v="80"/>
    <n v="2"/>
    <n v="14"/>
    <n v="3"/>
    <n v="1"/>
    <n v="13"/>
    <n v="8"/>
    <n v="5"/>
    <n v="12"/>
    <s v="LAB-2000"/>
    <x v="7"/>
    <x v="1"/>
    <x v="1"/>
    <n v="13"/>
    <x v="0"/>
  </r>
  <r>
    <n v="35"/>
    <s v="No"/>
    <s v="Travel_Rarely"/>
    <n v="1490"/>
    <x v="1"/>
    <n v="11"/>
    <n v="4"/>
    <s v="Medical"/>
    <n v="1"/>
    <n v="2003"/>
    <n v="4"/>
    <s v="Male"/>
    <n v="43"/>
    <n v="3"/>
    <n v="1"/>
    <s v="Laboratory Technician"/>
    <n v="3"/>
    <s v="Married"/>
    <n v="2660"/>
    <n v="20232"/>
    <n v="7"/>
    <s v="Y"/>
    <s v="Yes"/>
    <n v="11"/>
    <n v="3"/>
    <n v="3"/>
    <n v="80"/>
    <n v="1"/>
    <n v="5"/>
    <n v="3"/>
    <n v="3"/>
    <n v="2"/>
    <n v="2"/>
    <n v="2"/>
    <n v="2"/>
    <s v="LAB-2003"/>
    <x v="2"/>
    <x v="1"/>
    <x v="1"/>
    <n v="2"/>
    <x v="0"/>
  </r>
  <r>
    <n v="22"/>
    <s v="No"/>
    <s v="Travel_Rarely"/>
    <n v="581"/>
    <x v="1"/>
    <n v="1"/>
    <n v="2"/>
    <s v="Life Sciences"/>
    <n v="1"/>
    <n v="2007"/>
    <n v="4"/>
    <s v="Male"/>
    <n v="63"/>
    <n v="3"/>
    <n v="1"/>
    <s v="Research Scientist"/>
    <n v="3"/>
    <s v="Single"/>
    <n v="3375"/>
    <n v="17624"/>
    <n v="0"/>
    <s v="Y"/>
    <s v="No"/>
    <n v="12"/>
    <n v="3"/>
    <n v="4"/>
    <n v="80"/>
    <n v="0"/>
    <n v="4"/>
    <n v="2"/>
    <n v="4"/>
    <n v="3"/>
    <n v="2"/>
    <n v="1"/>
    <n v="2"/>
    <s v="LAB-2007"/>
    <x v="1"/>
    <x v="1"/>
    <x v="1"/>
    <n v="3"/>
    <x v="0"/>
  </r>
  <r>
    <n v="35"/>
    <s v="No"/>
    <s v="Travel_Rarely"/>
    <n v="1395"/>
    <x v="1"/>
    <n v="9"/>
    <n v="4"/>
    <s v="Medical"/>
    <n v="1"/>
    <n v="2008"/>
    <n v="2"/>
    <s v="Male"/>
    <n v="48"/>
    <n v="3"/>
    <n v="2"/>
    <s v="Research Scientist"/>
    <n v="3"/>
    <s v="Single"/>
    <n v="5098"/>
    <n v="18698"/>
    <n v="1"/>
    <s v="Y"/>
    <s v="No"/>
    <n v="19"/>
    <n v="3"/>
    <n v="2"/>
    <n v="80"/>
    <n v="0"/>
    <n v="10"/>
    <n v="5"/>
    <n v="3"/>
    <n v="10"/>
    <n v="7"/>
    <n v="0"/>
    <n v="8"/>
    <s v="LAB-2008"/>
    <x v="1"/>
    <x v="1"/>
    <x v="1"/>
    <n v="10"/>
    <x v="0"/>
  </r>
  <r>
    <n v="33"/>
    <s v="No"/>
    <s v="Travel_Rarely"/>
    <n v="501"/>
    <x v="1"/>
    <n v="15"/>
    <n v="2"/>
    <s v="Medical"/>
    <n v="1"/>
    <n v="2009"/>
    <n v="2"/>
    <s v="Female"/>
    <n v="95"/>
    <n v="3"/>
    <n v="2"/>
    <s v="Healthcare Representative"/>
    <n v="4"/>
    <s v="Married"/>
    <n v="4878"/>
    <n v="21653"/>
    <n v="0"/>
    <s v="Y"/>
    <s v="Yes"/>
    <n v="13"/>
    <n v="3"/>
    <n v="1"/>
    <n v="80"/>
    <n v="1"/>
    <n v="10"/>
    <n v="6"/>
    <n v="3"/>
    <n v="9"/>
    <n v="7"/>
    <n v="8"/>
    <n v="1"/>
    <s v="LAB-2009"/>
    <x v="4"/>
    <x v="1"/>
    <x v="1"/>
    <n v="9"/>
    <x v="0"/>
  </r>
  <r>
    <n v="32"/>
    <s v="No"/>
    <s v="Travel_Rarely"/>
    <n v="267"/>
    <x v="1"/>
    <n v="29"/>
    <n v="4"/>
    <s v="Life Sciences"/>
    <n v="1"/>
    <n v="2010"/>
    <n v="3"/>
    <s v="Female"/>
    <n v="49"/>
    <n v="2"/>
    <n v="1"/>
    <s v="Laboratory Technician"/>
    <n v="2"/>
    <s v="Single"/>
    <n v="2837"/>
    <n v="15919"/>
    <n v="1"/>
    <s v="Y"/>
    <s v="No"/>
    <n v="13"/>
    <n v="3"/>
    <n v="3"/>
    <n v="80"/>
    <n v="0"/>
    <n v="6"/>
    <n v="3"/>
    <n v="3"/>
    <n v="6"/>
    <n v="2"/>
    <n v="4"/>
    <n v="1"/>
    <s v="LAB-2010"/>
    <x v="2"/>
    <x v="1"/>
    <x v="1"/>
    <n v="6"/>
    <x v="0"/>
  </r>
  <r>
    <n v="40"/>
    <s v="No"/>
    <s v="Travel_Rarely"/>
    <n v="543"/>
    <x v="1"/>
    <n v="1"/>
    <n v="4"/>
    <s v="Life Sciences"/>
    <n v="1"/>
    <n v="2012"/>
    <n v="1"/>
    <s v="Male"/>
    <n v="83"/>
    <n v="3"/>
    <n v="1"/>
    <s v="Laboratory Technician"/>
    <n v="4"/>
    <s v="Married"/>
    <n v="2406"/>
    <n v="4060"/>
    <n v="8"/>
    <s v="Y"/>
    <s v="No"/>
    <n v="19"/>
    <n v="3"/>
    <n v="3"/>
    <n v="80"/>
    <n v="2"/>
    <n v="8"/>
    <n v="3"/>
    <n v="2"/>
    <n v="1"/>
    <n v="0"/>
    <n v="0"/>
    <n v="0"/>
    <s v="LAB-2012"/>
    <x v="2"/>
    <x v="1"/>
    <x v="1"/>
    <n v="1"/>
    <x v="0"/>
  </r>
  <r>
    <n v="32"/>
    <s v="No"/>
    <s v="Travel_Rarely"/>
    <n v="234"/>
    <x v="0"/>
    <n v="1"/>
    <n v="4"/>
    <s v="Medical"/>
    <n v="1"/>
    <n v="2013"/>
    <n v="2"/>
    <s v="Male"/>
    <n v="68"/>
    <n v="2"/>
    <n v="1"/>
    <s v="Sales Representative"/>
    <n v="2"/>
    <s v="Married"/>
    <n v="2269"/>
    <n v="18024"/>
    <n v="0"/>
    <s v="Y"/>
    <s v="No"/>
    <n v="14"/>
    <n v="3"/>
    <n v="2"/>
    <n v="80"/>
    <n v="1"/>
    <n v="3"/>
    <n v="2"/>
    <n v="3"/>
    <n v="2"/>
    <n v="2"/>
    <n v="2"/>
    <n v="2"/>
    <s v="LAB-2013"/>
    <x v="6"/>
    <x v="0"/>
    <x v="1"/>
    <n v="2"/>
    <x v="0"/>
  </r>
  <r>
    <n v="39"/>
    <s v="No"/>
    <s v="Travel_Rarely"/>
    <n v="116"/>
    <x v="1"/>
    <n v="24"/>
    <n v="1"/>
    <s v="Life Sciences"/>
    <n v="1"/>
    <n v="2014"/>
    <n v="1"/>
    <s v="Male"/>
    <n v="52"/>
    <n v="3"/>
    <n v="2"/>
    <s v="Research Scientist"/>
    <n v="4"/>
    <s v="Single"/>
    <n v="4108"/>
    <n v="5340"/>
    <n v="7"/>
    <s v="Y"/>
    <s v="No"/>
    <n v="13"/>
    <n v="3"/>
    <n v="1"/>
    <n v="80"/>
    <n v="0"/>
    <n v="18"/>
    <n v="2"/>
    <n v="3"/>
    <n v="7"/>
    <n v="7"/>
    <n v="1"/>
    <n v="7"/>
    <s v="LAB-2014"/>
    <x v="1"/>
    <x v="1"/>
    <x v="1"/>
    <n v="7"/>
    <x v="0"/>
  </r>
  <r>
    <n v="38"/>
    <s v="No"/>
    <s v="Travel_Rarely"/>
    <n v="201"/>
    <x v="1"/>
    <n v="10"/>
    <n v="3"/>
    <s v="Medical"/>
    <n v="1"/>
    <n v="2015"/>
    <n v="2"/>
    <s v="Female"/>
    <n v="99"/>
    <n v="1"/>
    <n v="3"/>
    <s v="Research Director"/>
    <n v="3"/>
    <s v="Married"/>
    <n v="13206"/>
    <n v="3376"/>
    <n v="3"/>
    <s v="Y"/>
    <s v="No"/>
    <n v="12"/>
    <n v="3"/>
    <n v="1"/>
    <n v="80"/>
    <n v="1"/>
    <n v="20"/>
    <n v="3"/>
    <n v="3"/>
    <n v="18"/>
    <n v="16"/>
    <n v="1"/>
    <n v="11"/>
    <s v="LAB-2015"/>
    <x v="7"/>
    <x v="1"/>
    <x v="1"/>
    <n v="18"/>
    <x v="0"/>
  </r>
  <r>
    <n v="32"/>
    <s v="No"/>
    <s v="Travel_Rarely"/>
    <n v="801"/>
    <x v="0"/>
    <n v="1"/>
    <n v="4"/>
    <s v="Marketing"/>
    <n v="1"/>
    <n v="2016"/>
    <n v="3"/>
    <s v="Female"/>
    <n v="48"/>
    <n v="3"/>
    <n v="3"/>
    <s v="Sales Executive"/>
    <n v="4"/>
    <s v="Married"/>
    <n v="10422"/>
    <n v="24032"/>
    <n v="1"/>
    <s v="Y"/>
    <s v="No"/>
    <n v="19"/>
    <n v="3"/>
    <n v="3"/>
    <n v="80"/>
    <n v="2"/>
    <n v="14"/>
    <n v="3"/>
    <n v="3"/>
    <n v="14"/>
    <n v="10"/>
    <n v="5"/>
    <n v="7"/>
    <s v="LAB-2016"/>
    <x v="0"/>
    <x v="0"/>
    <x v="1"/>
    <n v="14"/>
    <x v="0"/>
  </r>
  <r>
    <n v="37"/>
    <s v="No"/>
    <s v="Travel_Rarely"/>
    <n v="161"/>
    <x v="1"/>
    <n v="10"/>
    <n v="3"/>
    <s v="Life Sciences"/>
    <n v="1"/>
    <n v="2017"/>
    <n v="3"/>
    <s v="Female"/>
    <n v="42"/>
    <n v="4"/>
    <n v="3"/>
    <s v="Research Director"/>
    <n v="4"/>
    <s v="Married"/>
    <n v="13744"/>
    <n v="15471"/>
    <n v="1"/>
    <s v="Y"/>
    <s v="Yes"/>
    <n v="25"/>
    <n v="4"/>
    <n v="1"/>
    <n v="80"/>
    <n v="1"/>
    <n v="16"/>
    <n v="2"/>
    <n v="3"/>
    <n v="16"/>
    <n v="11"/>
    <n v="6"/>
    <n v="8"/>
    <s v="LAB-2017"/>
    <x v="7"/>
    <x v="1"/>
    <x v="1"/>
    <n v="16"/>
    <x v="0"/>
  </r>
  <r>
    <n v="25"/>
    <s v="No"/>
    <s v="Travel_Rarely"/>
    <n v="1382"/>
    <x v="0"/>
    <n v="8"/>
    <n v="2"/>
    <s v="Other"/>
    <n v="1"/>
    <n v="2018"/>
    <n v="1"/>
    <s v="Female"/>
    <n v="85"/>
    <n v="3"/>
    <n v="2"/>
    <s v="Sales Executive"/>
    <n v="3"/>
    <s v="Divorced"/>
    <n v="4907"/>
    <n v="13684"/>
    <n v="0"/>
    <s v="Y"/>
    <s v="Yes"/>
    <n v="22"/>
    <n v="4"/>
    <n v="2"/>
    <n v="80"/>
    <n v="1"/>
    <n v="6"/>
    <n v="3"/>
    <n v="2"/>
    <n v="5"/>
    <n v="3"/>
    <n v="0"/>
    <n v="4"/>
    <s v="LAB-2018"/>
    <x v="0"/>
    <x v="0"/>
    <x v="1"/>
    <n v="5"/>
    <x v="0"/>
  </r>
  <r>
    <n v="52"/>
    <s v="No"/>
    <s v="Non-Travel"/>
    <n v="585"/>
    <x v="0"/>
    <n v="29"/>
    <n v="4"/>
    <s v="Life Sciences"/>
    <n v="1"/>
    <n v="2019"/>
    <n v="1"/>
    <s v="Male"/>
    <n v="40"/>
    <n v="3"/>
    <n v="1"/>
    <s v="Sales Representative"/>
    <n v="4"/>
    <s v="Divorced"/>
    <n v="3482"/>
    <n v="19788"/>
    <n v="2"/>
    <s v="Y"/>
    <s v="No"/>
    <n v="15"/>
    <n v="3"/>
    <n v="2"/>
    <n v="80"/>
    <n v="2"/>
    <n v="16"/>
    <n v="3"/>
    <n v="2"/>
    <n v="9"/>
    <n v="8"/>
    <n v="0"/>
    <n v="0"/>
    <s v="LAB-2019"/>
    <x v="6"/>
    <x v="0"/>
    <x v="1"/>
    <n v="9"/>
    <x v="0"/>
  </r>
  <r>
    <n v="44"/>
    <s v="No"/>
    <s v="Travel_Rarely"/>
    <n v="1037"/>
    <x v="1"/>
    <n v="1"/>
    <n v="3"/>
    <s v="Medical"/>
    <n v="1"/>
    <n v="2020"/>
    <n v="2"/>
    <s v="Male"/>
    <n v="42"/>
    <n v="3"/>
    <n v="1"/>
    <s v="Research Scientist"/>
    <n v="4"/>
    <s v="Single"/>
    <n v="2436"/>
    <n v="13422"/>
    <n v="6"/>
    <s v="Y"/>
    <s v="Yes"/>
    <n v="12"/>
    <n v="3"/>
    <n v="3"/>
    <n v="80"/>
    <n v="0"/>
    <n v="6"/>
    <n v="2"/>
    <n v="3"/>
    <n v="4"/>
    <n v="3"/>
    <n v="1"/>
    <n v="2"/>
    <s v="LAB-2020"/>
    <x v="1"/>
    <x v="1"/>
    <x v="1"/>
    <n v="4"/>
    <x v="0"/>
  </r>
  <r>
    <n v="21"/>
    <s v="No"/>
    <s v="Travel_Rarely"/>
    <n v="501"/>
    <x v="0"/>
    <n v="5"/>
    <n v="1"/>
    <s v="Medical"/>
    <n v="1"/>
    <n v="2021"/>
    <n v="3"/>
    <s v="Male"/>
    <n v="58"/>
    <n v="3"/>
    <n v="1"/>
    <s v="Sales Representative"/>
    <n v="1"/>
    <s v="Single"/>
    <n v="2380"/>
    <n v="25479"/>
    <n v="1"/>
    <s v="Y"/>
    <s v="Yes"/>
    <n v="11"/>
    <n v="3"/>
    <n v="4"/>
    <n v="80"/>
    <n v="0"/>
    <n v="2"/>
    <n v="6"/>
    <n v="3"/>
    <n v="2"/>
    <n v="2"/>
    <n v="1"/>
    <n v="2"/>
    <s v="LAB-2021"/>
    <x v="6"/>
    <x v="0"/>
    <x v="1"/>
    <n v="2"/>
    <x v="0"/>
  </r>
  <r>
    <n v="39"/>
    <s v="No"/>
    <s v="Non-Travel"/>
    <n v="105"/>
    <x v="1"/>
    <n v="9"/>
    <n v="3"/>
    <s v="Life Sciences"/>
    <n v="1"/>
    <n v="2022"/>
    <n v="4"/>
    <s v="Male"/>
    <n v="87"/>
    <n v="3"/>
    <n v="5"/>
    <s v="Manager"/>
    <n v="4"/>
    <s v="Single"/>
    <n v="19431"/>
    <n v="15302"/>
    <n v="2"/>
    <s v="Y"/>
    <s v="No"/>
    <n v="13"/>
    <n v="3"/>
    <n v="3"/>
    <n v="80"/>
    <n v="0"/>
    <n v="21"/>
    <n v="3"/>
    <n v="2"/>
    <n v="6"/>
    <n v="0"/>
    <n v="1"/>
    <n v="3"/>
    <s v="LAB-2022"/>
    <x v="5"/>
    <x v="1"/>
    <x v="1"/>
    <n v="6"/>
    <x v="0"/>
  </r>
  <r>
    <n v="23"/>
    <s v="Yes"/>
    <s v="Travel_Frequently"/>
    <n v="638"/>
    <x v="0"/>
    <n v="9"/>
    <n v="3"/>
    <s v="Marketing"/>
    <n v="1"/>
    <n v="2023"/>
    <n v="4"/>
    <s v="Male"/>
    <n v="33"/>
    <n v="3"/>
    <n v="1"/>
    <s v="Sales Representative"/>
    <n v="1"/>
    <s v="Married"/>
    <n v="1790"/>
    <n v="26956"/>
    <n v="1"/>
    <s v="Y"/>
    <s v="No"/>
    <n v="19"/>
    <n v="3"/>
    <n v="1"/>
    <n v="80"/>
    <n v="1"/>
    <n v="1"/>
    <n v="3"/>
    <n v="2"/>
    <n v="1"/>
    <n v="0"/>
    <n v="1"/>
    <n v="0"/>
    <s v="LAB-2023"/>
    <x v="6"/>
    <x v="0"/>
    <x v="0"/>
    <n v="1"/>
    <x v="0"/>
  </r>
  <r>
    <n v="36"/>
    <s v="No"/>
    <s v="Travel_Rarely"/>
    <n v="557"/>
    <x v="0"/>
    <n v="3"/>
    <n v="3"/>
    <s v="Medical"/>
    <n v="1"/>
    <n v="2024"/>
    <n v="1"/>
    <s v="Female"/>
    <n v="94"/>
    <n v="2"/>
    <n v="3"/>
    <s v="Sales Executive"/>
    <n v="4"/>
    <s v="Married"/>
    <n v="7644"/>
    <n v="12695"/>
    <n v="0"/>
    <s v="Y"/>
    <s v="No"/>
    <n v="19"/>
    <n v="3"/>
    <n v="3"/>
    <n v="80"/>
    <n v="2"/>
    <n v="10"/>
    <n v="2"/>
    <n v="3"/>
    <n v="9"/>
    <n v="7"/>
    <n v="3"/>
    <n v="4"/>
    <s v="LAB-2024"/>
    <x v="0"/>
    <x v="0"/>
    <x v="1"/>
    <n v="9"/>
    <x v="0"/>
  </r>
  <r>
    <n v="36"/>
    <s v="No"/>
    <s v="Travel_Frequently"/>
    <n v="688"/>
    <x v="1"/>
    <n v="4"/>
    <n v="2"/>
    <s v="Life Sciences"/>
    <n v="1"/>
    <n v="2025"/>
    <n v="4"/>
    <s v="Female"/>
    <n v="97"/>
    <n v="3"/>
    <n v="2"/>
    <s v="Manufacturing Director"/>
    <n v="2"/>
    <s v="Divorced"/>
    <n v="5131"/>
    <n v="9192"/>
    <n v="7"/>
    <s v="Y"/>
    <s v="No"/>
    <n v="13"/>
    <n v="3"/>
    <n v="2"/>
    <n v="80"/>
    <n v="3"/>
    <n v="18"/>
    <n v="3"/>
    <n v="3"/>
    <n v="4"/>
    <n v="2"/>
    <n v="0"/>
    <n v="2"/>
    <s v="LAB-2025"/>
    <x v="3"/>
    <x v="1"/>
    <x v="1"/>
    <n v="4"/>
    <x v="0"/>
  </r>
  <r>
    <n v="56"/>
    <s v="No"/>
    <s v="Non-Travel"/>
    <n v="667"/>
    <x v="1"/>
    <n v="1"/>
    <n v="4"/>
    <s v="Life Sciences"/>
    <n v="1"/>
    <n v="2026"/>
    <n v="3"/>
    <s v="Male"/>
    <n v="57"/>
    <n v="3"/>
    <n v="2"/>
    <s v="Healthcare Representative"/>
    <n v="3"/>
    <s v="Divorced"/>
    <n v="6306"/>
    <n v="26236"/>
    <n v="1"/>
    <s v="Y"/>
    <s v="No"/>
    <n v="21"/>
    <n v="4"/>
    <n v="1"/>
    <n v="80"/>
    <n v="1"/>
    <n v="13"/>
    <n v="2"/>
    <n v="2"/>
    <n v="13"/>
    <n v="12"/>
    <n v="1"/>
    <n v="9"/>
    <s v="LAB-2026"/>
    <x v="4"/>
    <x v="1"/>
    <x v="1"/>
    <n v="13"/>
    <x v="0"/>
  </r>
  <r>
    <n v="29"/>
    <s v="Yes"/>
    <s v="Travel_Rarely"/>
    <n v="1092"/>
    <x v="1"/>
    <n v="1"/>
    <n v="4"/>
    <s v="Medical"/>
    <n v="1"/>
    <n v="2027"/>
    <n v="1"/>
    <s v="Male"/>
    <n v="36"/>
    <n v="3"/>
    <n v="1"/>
    <s v="Research Scientist"/>
    <n v="4"/>
    <s v="Married"/>
    <n v="4787"/>
    <n v="26124"/>
    <n v="9"/>
    <s v="Y"/>
    <s v="Yes"/>
    <n v="14"/>
    <n v="3"/>
    <n v="2"/>
    <n v="80"/>
    <n v="3"/>
    <n v="4"/>
    <n v="3"/>
    <n v="4"/>
    <n v="2"/>
    <n v="2"/>
    <n v="2"/>
    <n v="2"/>
    <s v="LAB-2027"/>
    <x v="1"/>
    <x v="1"/>
    <x v="0"/>
    <n v="2"/>
    <x v="0"/>
  </r>
  <r>
    <n v="42"/>
    <s v="No"/>
    <s v="Travel_Rarely"/>
    <n v="300"/>
    <x v="1"/>
    <n v="2"/>
    <n v="3"/>
    <s v="Life Sciences"/>
    <n v="1"/>
    <n v="2031"/>
    <n v="1"/>
    <s v="Male"/>
    <n v="56"/>
    <n v="3"/>
    <n v="5"/>
    <s v="Manager"/>
    <n v="3"/>
    <s v="Married"/>
    <n v="18880"/>
    <n v="17312"/>
    <n v="5"/>
    <s v="Y"/>
    <s v="No"/>
    <n v="11"/>
    <n v="3"/>
    <n v="1"/>
    <n v="80"/>
    <n v="0"/>
    <n v="24"/>
    <n v="2"/>
    <n v="2"/>
    <n v="22"/>
    <n v="6"/>
    <n v="4"/>
    <n v="14"/>
    <s v="LAB-2031"/>
    <x v="5"/>
    <x v="1"/>
    <x v="1"/>
    <n v="22"/>
    <x v="0"/>
  </r>
  <r>
    <n v="56"/>
    <s v="Yes"/>
    <s v="Travel_Rarely"/>
    <n v="310"/>
    <x v="1"/>
    <n v="7"/>
    <n v="2"/>
    <s v="Technical Degree"/>
    <n v="1"/>
    <n v="2032"/>
    <n v="4"/>
    <s v="Male"/>
    <n v="72"/>
    <n v="3"/>
    <n v="1"/>
    <s v="Laboratory Technician"/>
    <n v="3"/>
    <s v="Married"/>
    <n v="2339"/>
    <n v="3666"/>
    <n v="8"/>
    <s v="Y"/>
    <s v="No"/>
    <n v="11"/>
    <n v="3"/>
    <n v="4"/>
    <n v="80"/>
    <n v="1"/>
    <n v="14"/>
    <n v="4"/>
    <n v="1"/>
    <n v="10"/>
    <n v="9"/>
    <n v="9"/>
    <n v="8"/>
    <s v="LAB-2032"/>
    <x v="2"/>
    <x v="1"/>
    <x v="0"/>
    <n v="10"/>
    <x v="0"/>
  </r>
  <r>
    <n v="41"/>
    <s v="No"/>
    <s v="Travel_Rarely"/>
    <n v="582"/>
    <x v="1"/>
    <n v="28"/>
    <n v="4"/>
    <s v="Life Sciences"/>
    <n v="1"/>
    <n v="2034"/>
    <n v="1"/>
    <s v="Female"/>
    <n v="60"/>
    <n v="2"/>
    <n v="4"/>
    <s v="Manufacturing Director"/>
    <n v="2"/>
    <s v="Married"/>
    <n v="13570"/>
    <n v="5640"/>
    <n v="0"/>
    <s v="Y"/>
    <s v="No"/>
    <n v="23"/>
    <n v="4"/>
    <n v="3"/>
    <n v="80"/>
    <n v="1"/>
    <n v="21"/>
    <n v="3"/>
    <n v="3"/>
    <n v="20"/>
    <n v="7"/>
    <n v="0"/>
    <n v="10"/>
    <s v="LAB-2034"/>
    <x v="3"/>
    <x v="1"/>
    <x v="1"/>
    <n v="20"/>
    <x v="0"/>
  </r>
  <r>
    <n v="34"/>
    <s v="No"/>
    <s v="Travel_Rarely"/>
    <n v="704"/>
    <x v="0"/>
    <n v="28"/>
    <n v="3"/>
    <s v="Marketing"/>
    <n v="1"/>
    <n v="2035"/>
    <n v="4"/>
    <s v="Female"/>
    <n v="95"/>
    <n v="2"/>
    <n v="2"/>
    <s v="Sales Executive"/>
    <n v="3"/>
    <s v="Married"/>
    <n v="6712"/>
    <n v="8978"/>
    <n v="1"/>
    <s v="Y"/>
    <s v="No"/>
    <n v="21"/>
    <n v="4"/>
    <n v="4"/>
    <n v="80"/>
    <n v="2"/>
    <n v="8"/>
    <n v="2"/>
    <n v="3"/>
    <n v="8"/>
    <n v="7"/>
    <n v="1"/>
    <n v="7"/>
    <s v="LAB-2035"/>
    <x v="0"/>
    <x v="0"/>
    <x v="1"/>
    <n v="8"/>
    <x v="0"/>
  </r>
  <r>
    <n v="36"/>
    <s v="No"/>
    <s v="Non-Travel"/>
    <n v="301"/>
    <x v="0"/>
    <n v="15"/>
    <n v="4"/>
    <s v="Marketing"/>
    <n v="1"/>
    <n v="2036"/>
    <n v="4"/>
    <s v="Male"/>
    <n v="88"/>
    <n v="1"/>
    <n v="2"/>
    <s v="Sales Executive"/>
    <n v="4"/>
    <s v="Divorced"/>
    <n v="5406"/>
    <n v="10436"/>
    <n v="1"/>
    <s v="Y"/>
    <s v="No"/>
    <n v="24"/>
    <n v="4"/>
    <n v="1"/>
    <n v="80"/>
    <n v="1"/>
    <n v="15"/>
    <n v="4"/>
    <n v="2"/>
    <n v="15"/>
    <n v="12"/>
    <n v="11"/>
    <n v="11"/>
    <s v="LAB-2036"/>
    <x v="0"/>
    <x v="0"/>
    <x v="1"/>
    <n v="15"/>
    <x v="0"/>
  </r>
  <r>
    <n v="41"/>
    <s v="No"/>
    <s v="Travel_Rarely"/>
    <n v="930"/>
    <x v="0"/>
    <n v="3"/>
    <n v="3"/>
    <s v="Life Sciences"/>
    <n v="1"/>
    <n v="2037"/>
    <n v="3"/>
    <s v="Male"/>
    <n v="57"/>
    <n v="2"/>
    <n v="2"/>
    <s v="Sales Executive"/>
    <n v="2"/>
    <s v="Divorced"/>
    <n v="8938"/>
    <n v="12227"/>
    <n v="2"/>
    <s v="Y"/>
    <s v="No"/>
    <n v="11"/>
    <n v="3"/>
    <n v="3"/>
    <n v="80"/>
    <n v="1"/>
    <n v="14"/>
    <n v="5"/>
    <n v="3"/>
    <n v="5"/>
    <n v="4"/>
    <n v="0"/>
    <n v="4"/>
    <s v="LAB-2037"/>
    <x v="0"/>
    <x v="0"/>
    <x v="1"/>
    <n v="5"/>
    <x v="0"/>
  </r>
  <r>
    <n v="32"/>
    <s v="No"/>
    <s v="Travel_Rarely"/>
    <n v="529"/>
    <x v="1"/>
    <n v="2"/>
    <n v="3"/>
    <s v="Technical Degree"/>
    <n v="1"/>
    <n v="2038"/>
    <n v="4"/>
    <s v="Male"/>
    <n v="78"/>
    <n v="3"/>
    <n v="1"/>
    <s v="Research Scientist"/>
    <n v="1"/>
    <s v="Single"/>
    <n v="2439"/>
    <n v="11288"/>
    <n v="1"/>
    <s v="Y"/>
    <s v="No"/>
    <n v="14"/>
    <n v="3"/>
    <n v="4"/>
    <n v="80"/>
    <n v="0"/>
    <n v="4"/>
    <n v="4"/>
    <n v="3"/>
    <n v="4"/>
    <n v="2"/>
    <n v="1"/>
    <n v="2"/>
    <s v="LAB-2038"/>
    <x v="1"/>
    <x v="1"/>
    <x v="1"/>
    <n v="4"/>
    <x v="0"/>
  </r>
  <r>
    <n v="35"/>
    <s v="No"/>
    <s v="Travel_Rarely"/>
    <n v="1146"/>
    <x v="2"/>
    <n v="26"/>
    <n v="4"/>
    <s v="Life Sciences"/>
    <n v="1"/>
    <n v="2040"/>
    <n v="3"/>
    <s v="Female"/>
    <n v="31"/>
    <n v="3"/>
    <n v="3"/>
    <s v="Human Resources"/>
    <n v="4"/>
    <s v="Single"/>
    <n v="8837"/>
    <n v="16642"/>
    <n v="1"/>
    <s v="Y"/>
    <s v="Yes"/>
    <n v="16"/>
    <n v="3"/>
    <n v="3"/>
    <n v="80"/>
    <n v="0"/>
    <n v="9"/>
    <n v="2"/>
    <n v="3"/>
    <n v="9"/>
    <n v="0"/>
    <n v="1"/>
    <n v="7"/>
    <s v="LAB-2040"/>
    <x v="8"/>
    <x v="2"/>
    <x v="1"/>
    <n v="9"/>
    <x v="0"/>
  </r>
  <r>
    <n v="38"/>
    <s v="No"/>
    <s v="Travel_Rarely"/>
    <n v="345"/>
    <x v="0"/>
    <n v="10"/>
    <n v="2"/>
    <s v="Life Sciences"/>
    <n v="1"/>
    <n v="2041"/>
    <n v="1"/>
    <s v="Female"/>
    <n v="100"/>
    <n v="3"/>
    <n v="2"/>
    <s v="Sales Executive"/>
    <n v="4"/>
    <s v="Married"/>
    <n v="5343"/>
    <n v="5982"/>
    <n v="1"/>
    <s v="Y"/>
    <s v="No"/>
    <n v="11"/>
    <n v="3"/>
    <n v="3"/>
    <n v="80"/>
    <n v="1"/>
    <n v="10"/>
    <n v="1"/>
    <n v="3"/>
    <n v="10"/>
    <n v="7"/>
    <n v="1"/>
    <n v="9"/>
    <s v="LAB-2041"/>
    <x v="0"/>
    <x v="0"/>
    <x v="1"/>
    <n v="10"/>
    <x v="0"/>
  </r>
  <r>
    <n v="50"/>
    <s v="Yes"/>
    <s v="Travel_Frequently"/>
    <n v="878"/>
    <x v="0"/>
    <n v="1"/>
    <n v="4"/>
    <s v="Life Sciences"/>
    <n v="1"/>
    <n v="2044"/>
    <n v="2"/>
    <s v="Male"/>
    <n v="94"/>
    <n v="3"/>
    <n v="2"/>
    <s v="Sales Executive"/>
    <n v="3"/>
    <s v="Divorced"/>
    <n v="6728"/>
    <n v="14255"/>
    <n v="7"/>
    <s v="Y"/>
    <s v="No"/>
    <n v="12"/>
    <n v="3"/>
    <n v="4"/>
    <n v="80"/>
    <n v="2"/>
    <n v="12"/>
    <n v="3"/>
    <n v="3"/>
    <n v="6"/>
    <n v="3"/>
    <n v="0"/>
    <n v="1"/>
    <s v="LAB-2044"/>
    <x v="0"/>
    <x v="0"/>
    <x v="0"/>
    <n v="6"/>
    <x v="0"/>
  </r>
  <r>
    <n v="36"/>
    <s v="No"/>
    <s v="Travel_Rarely"/>
    <n v="1120"/>
    <x v="0"/>
    <n v="11"/>
    <n v="4"/>
    <s v="Marketing"/>
    <n v="1"/>
    <n v="2045"/>
    <n v="2"/>
    <s v="Female"/>
    <n v="100"/>
    <n v="2"/>
    <n v="2"/>
    <s v="Sales Executive"/>
    <n v="4"/>
    <s v="Married"/>
    <n v="6652"/>
    <n v="14369"/>
    <n v="4"/>
    <s v="Y"/>
    <s v="No"/>
    <n v="13"/>
    <n v="3"/>
    <n v="1"/>
    <n v="80"/>
    <n v="1"/>
    <n v="8"/>
    <n v="2"/>
    <n v="2"/>
    <n v="6"/>
    <n v="3"/>
    <n v="0"/>
    <n v="0"/>
    <s v="LAB-2045"/>
    <x v="0"/>
    <x v="0"/>
    <x v="1"/>
    <n v="6"/>
    <x v="0"/>
  </r>
  <r>
    <n v="45"/>
    <s v="No"/>
    <s v="Travel_Rarely"/>
    <n v="374"/>
    <x v="0"/>
    <n v="20"/>
    <n v="3"/>
    <s v="Life Sciences"/>
    <n v="1"/>
    <n v="2046"/>
    <n v="4"/>
    <s v="Female"/>
    <n v="50"/>
    <n v="3"/>
    <n v="2"/>
    <s v="Sales Executive"/>
    <n v="3"/>
    <s v="Single"/>
    <n v="4850"/>
    <n v="23333"/>
    <n v="8"/>
    <s v="Y"/>
    <s v="No"/>
    <n v="15"/>
    <n v="3"/>
    <n v="3"/>
    <n v="80"/>
    <n v="0"/>
    <n v="8"/>
    <n v="3"/>
    <n v="3"/>
    <n v="5"/>
    <n v="3"/>
    <n v="0"/>
    <n v="1"/>
    <s v="LAB-2046"/>
    <x v="0"/>
    <x v="0"/>
    <x v="1"/>
    <n v="5"/>
    <x v="0"/>
  </r>
  <r>
    <n v="40"/>
    <s v="No"/>
    <s v="Travel_Rarely"/>
    <n v="1322"/>
    <x v="1"/>
    <n v="2"/>
    <n v="4"/>
    <s v="Life Sciences"/>
    <n v="1"/>
    <n v="2048"/>
    <n v="3"/>
    <s v="Male"/>
    <n v="52"/>
    <n v="2"/>
    <n v="1"/>
    <s v="Research Scientist"/>
    <n v="3"/>
    <s v="Single"/>
    <n v="2809"/>
    <n v="2725"/>
    <n v="2"/>
    <s v="Y"/>
    <s v="No"/>
    <n v="14"/>
    <n v="3"/>
    <n v="4"/>
    <n v="80"/>
    <n v="0"/>
    <n v="8"/>
    <n v="2"/>
    <n v="3"/>
    <n v="2"/>
    <n v="2"/>
    <n v="2"/>
    <n v="2"/>
    <s v="LAB-2048"/>
    <x v="1"/>
    <x v="1"/>
    <x v="1"/>
    <n v="2"/>
    <x v="0"/>
  </r>
  <r>
    <n v="35"/>
    <s v="No"/>
    <s v="Travel_Frequently"/>
    <n v="1199"/>
    <x v="1"/>
    <n v="18"/>
    <n v="4"/>
    <s v="Life Sciences"/>
    <n v="1"/>
    <n v="2049"/>
    <n v="3"/>
    <s v="Male"/>
    <n v="80"/>
    <n v="3"/>
    <n v="2"/>
    <s v="Healthcare Representative"/>
    <n v="3"/>
    <s v="Married"/>
    <n v="5689"/>
    <n v="24594"/>
    <n v="1"/>
    <s v="Y"/>
    <s v="Yes"/>
    <n v="14"/>
    <n v="3"/>
    <n v="4"/>
    <n v="80"/>
    <n v="2"/>
    <n v="10"/>
    <n v="2"/>
    <n v="4"/>
    <n v="10"/>
    <n v="2"/>
    <n v="0"/>
    <n v="2"/>
    <s v="LAB-2049"/>
    <x v="4"/>
    <x v="1"/>
    <x v="1"/>
    <n v="10"/>
    <x v="0"/>
  </r>
  <r>
    <n v="40"/>
    <s v="No"/>
    <s v="Travel_Rarely"/>
    <n v="1194"/>
    <x v="1"/>
    <n v="2"/>
    <n v="4"/>
    <s v="Medical"/>
    <n v="1"/>
    <n v="2051"/>
    <n v="3"/>
    <s v="Female"/>
    <n v="98"/>
    <n v="3"/>
    <n v="1"/>
    <s v="Research Scientist"/>
    <n v="3"/>
    <s v="Married"/>
    <n v="2001"/>
    <n v="12549"/>
    <n v="2"/>
    <s v="Y"/>
    <s v="No"/>
    <n v="14"/>
    <n v="3"/>
    <n v="2"/>
    <n v="80"/>
    <n v="3"/>
    <n v="20"/>
    <n v="2"/>
    <n v="3"/>
    <n v="5"/>
    <n v="3"/>
    <n v="0"/>
    <n v="2"/>
    <s v="LAB-2051"/>
    <x v="1"/>
    <x v="1"/>
    <x v="1"/>
    <n v="5"/>
    <x v="0"/>
  </r>
  <r>
    <n v="35"/>
    <s v="No"/>
    <s v="Travel_Rarely"/>
    <n v="287"/>
    <x v="1"/>
    <n v="1"/>
    <n v="4"/>
    <s v="Life Sciences"/>
    <n v="1"/>
    <n v="2052"/>
    <n v="3"/>
    <s v="Female"/>
    <n v="62"/>
    <n v="1"/>
    <n v="1"/>
    <s v="Research Scientist"/>
    <n v="4"/>
    <s v="Married"/>
    <n v="2977"/>
    <n v="8952"/>
    <n v="1"/>
    <s v="Y"/>
    <s v="No"/>
    <n v="12"/>
    <n v="3"/>
    <n v="4"/>
    <n v="80"/>
    <n v="1"/>
    <n v="4"/>
    <n v="5"/>
    <n v="3"/>
    <n v="4"/>
    <n v="3"/>
    <n v="1"/>
    <n v="1"/>
    <s v="LAB-2052"/>
    <x v="1"/>
    <x v="1"/>
    <x v="1"/>
    <n v="4"/>
    <x v="0"/>
  </r>
  <r>
    <n v="29"/>
    <s v="No"/>
    <s v="Travel_Rarely"/>
    <n v="1378"/>
    <x v="1"/>
    <n v="13"/>
    <n v="2"/>
    <s v="Other"/>
    <n v="1"/>
    <n v="2053"/>
    <n v="4"/>
    <s v="Male"/>
    <n v="46"/>
    <n v="2"/>
    <n v="2"/>
    <s v="Laboratory Technician"/>
    <n v="2"/>
    <s v="Married"/>
    <n v="4025"/>
    <n v="23679"/>
    <n v="4"/>
    <s v="Y"/>
    <s v="Yes"/>
    <n v="13"/>
    <n v="3"/>
    <n v="1"/>
    <n v="80"/>
    <n v="1"/>
    <n v="10"/>
    <n v="2"/>
    <n v="3"/>
    <n v="4"/>
    <n v="3"/>
    <n v="0"/>
    <n v="3"/>
    <s v="LAB-2053"/>
    <x v="2"/>
    <x v="1"/>
    <x v="1"/>
    <n v="4"/>
    <x v="0"/>
  </r>
  <r>
    <n v="29"/>
    <s v="No"/>
    <s v="Travel_Rarely"/>
    <n v="468"/>
    <x v="1"/>
    <n v="28"/>
    <n v="4"/>
    <s v="Medical"/>
    <n v="1"/>
    <n v="2054"/>
    <n v="4"/>
    <s v="Female"/>
    <n v="73"/>
    <n v="2"/>
    <n v="1"/>
    <s v="Research Scientist"/>
    <n v="1"/>
    <s v="Single"/>
    <n v="3785"/>
    <n v="8489"/>
    <n v="1"/>
    <s v="Y"/>
    <s v="No"/>
    <n v="14"/>
    <n v="3"/>
    <n v="2"/>
    <n v="80"/>
    <n v="0"/>
    <n v="5"/>
    <n v="3"/>
    <n v="1"/>
    <n v="5"/>
    <n v="4"/>
    <n v="0"/>
    <n v="4"/>
    <s v="LAB-2054"/>
    <x v="1"/>
    <x v="1"/>
    <x v="1"/>
    <n v="5"/>
    <x v="0"/>
  </r>
  <r>
    <n v="50"/>
    <s v="Yes"/>
    <s v="Travel_Rarely"/>
    <n v="410"/>
    <x v="0"/>
    <n v="28"/>
    <n v="3"/>
    <s v="Marketing"/>
    <n v="1"/>
    <n v="2055"/>
    <n v="4"/>
    <s v="Male"/>
    <n v="39"/>
    <n v="2"/>
    <n v="3"/>
    <s v="Sales Executive"/>
    <n v="1"/>
    <s v="Divorced"/>
    <n v="10854"/>
    <n v="16586"/>
    <n v="4"/>
    <s v="Y"/>
    <s v="Yes"/>
    <n v="13"/>
    <n v="3"/>
    <n v="2"/>
    <n v="80"/>
    <n v="1"/>
    <n v="20"/>
    <n v="3"/>
    <n v="3"/>
    <n v="3"/>
    <n v="2"/>
    <n v="2"/>
    <n v="0"/>
    <s v="LAB-2055"/>
    <x v="0"/>
    <x v="0"/>
    <x v="0"/>
    <n v="3"/>
    <x v="0"/>
  </r>
  <r>
    <n v="39"/>
    <s v="No"/>
    <s v="Travel_Rarely"/>
    <n v="722"/>
    <x v="0"/>
    <n v="24"/>
    <n v="1"/>
    <s v="Marketing"/>
    <n v="1"/>
    <n v="2056"/>
    <n v="2"/>
    <s v="Female"/>
    <n v="60"/>
    <n v="2"/>
    <n v="4"/>
    <s v="Sales Executive"/>
    <n v="4"/>
    <s v="Married"/>
    <n v="12031"/>
    <n v="8828"/>
    <n v="0"/>
    <s v="Y"/>
    <s v="No"/>
    <n v="11"/>
    <n v="3"/>
    <n v="1"/>
    <n v="80"/>
    <n v="1"/>
    <n v="21"/>
    <n v="2"/>
    <n v="2"/>
    <n v="20"/>
    <n v="9"/>
    <n v="9"/>
    <n v="6"/>
    <s v="LAB-2056"/>
    <x v="0"/>
    <x v="0"/>
    <x v="1"/>
    <n v="20"/>
    <x v="0"/>
  </r>
  <r>
    <n v="31"/>
    <s v="No"/>
    <s v="Non-Travel"/>
    <n v="325"/>
    <x v="1"/>
    <n v="5"/>
    <n v="3"/>
    <s v="Medical"/>
    <n v="1"/>
    <n v="2057"/>
    <n v="2"/>
    <s v="Male"/>
    <n v="74"/>
    <n v="3"/>
    <n v="2"/>
    <s v="Manufacturing Director"/>
    <n v="1"/>
    <s v="Single"/>
    <n v="9936"/>
    <n v="3787"/>
    <n v="0"/>
    <s v="Y"/>
    <s v="No"/>
    <n v="19"/>
    <n v="3"/>
    <n v="2"/>
    <n v="80"/>
    <n v="0"/>
    <n v="10"/>
    <n v="2"/>
    <n v="3"/>
    <n v="9"/>
    <n v="4"/>
    <n v="1"/>
    <n v="7"/>
    <s v="LAB-2057"/>
    <x v="3"/>
    <x v="1"/>
    <x v="1"/>
    <n v="9"/>
    <x v="0"/>
  </r>
  <r>
    <n v="26"/>
    <s v="No"/>
    <s v="Travel_Rarely"/>
    <n v="1167"/>
    <x v="0"/>
    <n v="5"/>
    <n v="3"/>
    <s v="Other"/>
    <n v="1"/>
    <n v="2060"/>
    <n v="4"/>
    <s v="Female"/>
    <n v="30"/>
    <n v="2"/>
    <n v="1"/>
    <s v="Sales Representative"/>
    <n v="3"/>
    <s v="Single"/>
    <n v="2966"/>
    <n v="21378"/>
    <n v="0"/>
    <s v="Y"/>
    <s v="No"/>
    <n v="18"/>
    <n v="3"/>
    <n v="4"/>
    <n v="80"/>
    <n v="0"/>
    <n v="5"/>
    <n v="2"/>
    <n v="3"/>
    <n v="4"/>
    <n v="2"/>
    <n v="0"/>
    <n v="0"/>
    <s v="LAB-2060"/>
    <x v="6"/>
    <x v="0"/>
    <x v="1"/>
    <n v="4"/>
    <x v="0"/>
  </r>
  <r>
    <n v="36"/>
    <s v="No"/>
    <s v="Travel_Frequently"/>
    <n v="884"/>
    <x v="1"/>
    <n v="23"/>
    <n v="2"/>
    <s v="Medical"/>
    <n v="1"/>
    <n v="2061"/>
    <n v="3"/>
    <s v="Male"/>
    <n v="41"/>
    <n v="4"/>
    <n v="2"/>
    <s v="Laboratory Technician"/>
    <n v="4"/>
    <s v="Married"/>
    <n v="2571"/>
    <n v="12290"/>
    <n v="4"/>
    <s v="Y"/>
    <s v="No"/>
    <n v="17"/>
    <n v="3"/>
    <n v="3"/>
    <n v="80"/>
    <n v="1"/>
    <n v="17"/>
    <n v="3"/>
    <n v="3"/>
    <n v="5"/>
    <n v="2"/>
    <n v="0"/>
    <n v="3"/>
    <s v="LAB-2061"/>
    <x v="2"/>
    <x v="1"/>
    <x v="1"/>
    <n v="5"/>
    <x v="0"/>
  </r>
  <r>
    <n v="39"/>
    <s v="No"/>
    <s v="Travel_Rarely"/>
    <n v="613"/>
    <x v="1"/>
    <n v="6"/>
    <n v="1"/>
    <s v="Medical"/>
    <n v="1"/>
    <n v="2062"/>
    <n v="4"/>
    <s v="Male"/>
    <n v="42"/>
    <n v="2"/>
    <n v="3"/>
    <s v="Healthcare Representative"/>
    <n v="1"/>
    <s v="Married"/>
    <n v="9991"/>
    <n v="21457"/>
    <n v="4"/>
    <s v="Y"/>
    <s v="No"/>
    <n v="15"/>
    <n v="3"/>
    <n v="1"/>
    <n v="80"/>
    <n v="1"/>
    <n v="9"/>
    <n v="5"/>
    <n v="3"/>
    <n v="7"/>
    <n v="7"/>
    <n v="1"/>
    <n v="7"/>
    <s v="LAB-2062"/>
    <x v="4"/>
    <x v="1"/>
    <x v="1"/>
    <n v="7"/>
    <x v="0"/>
  </r>
  <r>
    <n v="27"/>
    <s v="No"/>
    <s v="Travel_Rarely"/>
    <n v="155"/>
    <x v="1"/>
    <n v="4"/>
    <n v="3"/>
    <s v="Life Sciences"/>
    <n v="1"/>
    <n v="2064"/>
    <n v="2"/>
    <s v="Male"/>
    <n v="87"/>
    <n v="4"/>
    <n v="2"/>
    <s v="Manufacturing Director"/>
    <n v="2"/>
    <s v="Married"/>
    <n v="6142"/>
    <n v="5174"/>
    <n v="1"/>
    <s v="Y"/>
    <s v="Yes"/>
    <n v="20"/>
    <n v="4"/>
    <n v="2"/>
    <n v="80"/>
    <n v="1"/>
    <n v="6"/>
    <n v="0"/>
    <n v="3"/>
    <n v="6"/>
    <n v="2"/>
    <n v="0"/>
    <n v="3"/>
    <s v="LAB-2064"/>
    <x v="3"/>
    <x v="1"/>
    <x v="1"/>
    <n v="6"/>
    <x v="0"/>
  </r>
  <r>
    <n v="49"/>
    <s v="No"/>
    <s v="Travel_Frequently"/>
    <n v="1023"/>
    <x v="0"/>
    <n v="2"/>
    <n v="3"/>
    <s v="Medical"/>
    <n v="1"/>
    <n v="2065"/>
    <n v="4"/>
    <s v="Male"/>
    <n v="63"/>
    <n v="2"/>
    <n v="2"/>
    <s v="Sales Executive"/>
    <n v="2"/>
    <s v="Married"/>
    <n v="5390"/>
    <n v="13243"/>
    <n v="2"/>
    <s v="Y"/>
    <s v="No"/>
    <n v="14"/>
    <n v="3"/>
    <n v="4"/>
    <n v="80"/>
    <n v="0"/>
    <n v="17"/>
    <n v="3"/>
    <n v="2"/>
    <n v="9"/>
    <n v="6"/>
    <n v="0"/>
    <n v="8"/>
    <s v="LAB-2065"/>
    <x v="0"/>
    <x v="0"/>
    <x v="1"/>
    <n v="9"/>
    <x v="0"/>
  </r>
  <r>
    <n v="34"/>
    <s v="No"/>
    <s v="Travel_Rarely"/>
    <n v="628"/>
    <x v="1"/>
    <n v="8"/>
    <n v="3"/>
    <s v="Medical"/>
    <n v="1"/>
    <n v="2068"/>
    <n v="2"/>
    <s v="Male"/>
    <n v="82"/>
    <n v="4"/>
    <n v="2"/>
    <s v="Laboratory Technician"/>
    <n v="3"/>
    <s v="Married"/>
    <n v="4404"/>
    <n v="10228"/>
    <n v="2"/>
    <s v="Y"/>
    <s v="No"/>
    <n v="12"/>
    <n v="3"/>
    <n v="1"/>
    <n v="80"/>
    <n v="0"/>
    <n v="6"/>
    <n v="3"/>
    <n v="4"/>
    <n v="4"/>
    <n v="3"/>
    <n v="1"/>
    <n v="2"/>
    <s v="LAB-2068"/>
    <x v="2"/>
    <x v="1"/>
    <x v="1"/>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6409CE-1BFA-478E-8B53-A6897367E71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 firstHeaderRow="1" firstDataRow="1" firstDataCol="1"/>
  <pivotFields count="4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2"/>
        <item x="1"/>
        <item x="0"/>
        <item t="default"/>
      </items>
    </pivotField>
    <pivotField showAll="0"/>
    <pivotField showAll="0"/>
    <pivotField showAll="0"/>
  </pivotFields>
  <rowFields count="1">
    <field x="37"/>
  </rowFields>
  <rowItems count="4">
    <i>
      <x/>
    </i>
    <i>
      <x v="1"/>
    </i>
    <i>
      <x v="2"/>
    </i>
    <i t="grand">
      <x/>
    </i>
  </rowItems>
  <colItems count="1">
    <i/>
  </colItems>
  <dataFields count="1">
    <dataField name="Count of Sample_ID" fld="3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D413CD-5A6B-47D3-8685-38FFE01EA91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1:F13" firstHeaderRow="1" firstDataRow="1" firstDataCol="1"/>
  <pivotFields count="4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2">
        <item x="0"/>
        <item t="default"/>
      </items>
    </pivotField>
  </pivotFields>
  <rowFields count="1">
    <field x="40"/>
  </rowFields>
  <rowItems count="2">
    <i>
      <x/>
    </i>
    <i t="grand">
      <x/>
    </i>
  </rowItems>
  <colItems count="1">
    <i/>
  </colItems>
  <dataFields count="1">
    <dataField name="Count of Sample_ID" fld="35" subtotal="count" baseField="0" baseItem="0"/>
  </dataFields>
  <chartFormats count="4">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40" count="1" selected="0">
            <x v="0"/>
          </reference>
        </references>
      </pivotArea>
    </chartFormat>
    <chartFormat chart="0" format="1">
      <pivotArea type="data" outline="0" fieldPosition="0">
        <references count="2">
          <reference field="4294967294" count="1" selected="0">
            <x v="0"/>
          </reference>
          <reference field="4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69AD13-CEAA-4764-97BF-625DDCCC38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9:C19" firstHeaderRow="1" firstDataRow="1" firstDataCol="1"/>
  <pivotFields count="4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0">
        <item x="4"/>
        <item x="8"/>
        <item x="2"/>
        <item x="5"/>
        <item x="3"/>
        <item x="7"/>
        <item x="1"/>
        <item x="0"/>
        <item x="6"/>
        <item t="default"/>
      </items>
    </pivotField>
    <pivotField showAll="0"/>
    <pivotField showAll="0"/>
    <pivotField showAll="0"/>
    <pivotField showAll="0"/>
  </pivotFields>
  <rowFields count="1">
    <field x="36"/>
  </rowFields>
  <rowItems count="10">
    <i>
      <x/>
    </i>
    <i>
      <x v="1"/>
    </i>
    <i>
      <x v="2"/>
    </i>
    <i>
      <x v="3"/>
    </i>
    <i>
      <x v="4"/>
    </i>
    <i>
      <x v="5"/>
    </i>
    <i>
      <x v="6"/>
    </i>
    <i>
      <x v="7"/>
    </i>
    <i>
      <x v="8"/>
    </i>
    <i t="grand">
      <x/>
    </i>
  </rowItems>
  <colItems count="1">
    <i/>
  </colItems>
  <dataFields count="1">
    <dataField name="Count of Sample_ID" fld="35"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B0BCD6-0C5F-4504-9512-D483FE04CB8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2:F5" firstHeaderRow="1" firstDataRow="1" firstDataCol="1"/>
  <pivotFields count="41">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0">
        <item x="4"/>
        <item x="8"/>
        <item x="2"/>
        <item x="5"/>
        <item x="3"/>
        <item x="7"/>
        <item x="1"/>
        <item x="0"/>
        <item x="6"/>
        <item t="default"/>
      </items>
    </pivotField>
    <pivotField showAll="0"/>
    <pivotField axis="axisRow" showAll="0">
      <items count="3">
        <item x="1"/>
        <item x="0"/>
        <item t="default"/>
      </items>
    </pivotField>
    <pivotField showAll="0"/>
    <pivotField showAll="0">
      <items count="2">
        <item x="0"/>
        <item t="default"/>
      </items>
    </pivotField>
  </pivotFields>
  <rowFields count="1">
    <field x="38"/>
  </rowFields>
  <rowItems count="3">
    <i>
      <x/>
    </i>
    <i>
      <x v="1"/>
    </i>
    <i t="grand">
      <x/>
    </i>
  </rowItems>
  <colItems count="1">
    <i/>
  </colItems>
  <dataFields count="1">
    <dataField name="Count of Sample_ID" fld="35" subtotal="count"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8" count="1" selected="0">
            <x v="0"/>
          </reference>
        </references>
      </pivotArea>
    </chartFormat>
    <chartFormat chart="3" format="6">
      <pivotArea type="data" outline="0" fieldPosition="0">
        <references count="2">
          <reference field="4294967294" count="1" selected="0">
            <x v="0"/>
          </reference>
          <reference field="38" count="1" selected="0">
            <x v="1"/>
          </reference>
        </references>
      </pivotArea>
    </chartFormat>
    <chartFormat chart="0" format="1">
      <pivotArea type="data" outline="0" fieldPosition="0">
        <references count="2">
          <reference field="4294967294" count="1" selected="0">
            <x v="0"/>
          </reference>
          <reference field="38" count="1" selected="0">
            <x v="0"/>
          </reference>
        </references>
      </pivotArea>
    </chartFormat>
    <chartFormat chart="0" format="2">
      <pivotArea type="data" outline="0" fieldPosition="0">
        <references count="2">
          <reference field="4294967294" count="1" selected="0">
            <x v="0"/>
          </reference>
          <reference field="3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DE48C7-8943-4FB2-8652-3E1A6C941625}" autoFormatId="16" applyNumberFormats="0" applyBorderFormats="0" applyFontFormats="0" applyPatternFormats="0" applyAlignmentFormats="0" applyWidthHeightFormats="0">
  <queryTableRefresh nextId="42" unboundColumnsRight="6">
    <queryTableFields count="41">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dataBound="0" tableColumnId="36"/>
      <queryTableField id="37" dataBound="0" tableColumnId="37"/>
      <queryTableField id="38" dataBound="0" tableColumnId="38"/>
      <queryTableField id="39" dataBound="0" tableColumnId="39"/>
      <queryTableField id="40" dataBound="0" tableColumnId="40"/>
      <queryTableField id="41" dataBound="0" tableColumnId="4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D0E0FB3-6E06-4434-AF63-4B809DF52D83}" sourceName="Department">
  <pivotTables>
    <pivotTable tabId="5" name="PivotTable2"/>
  </pivotTables>
  <data>
    <tabular pivotCacheId="198318951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Category" xr10:uid="{7BD0EF74-0F66-4028-A47F-3CB24E21F986}" sourceName="Test_Category">
  <pivotTables>
    <pivotTable tabId="5" name="PivotTable2"/>
  </pivotTables>
  <data>
    <tabular pivotCacheId="1983189510">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b_Status" xr10:uid="{C57E6671-DD89-48CB-8F94-2BACE9D93BFC}" sourceName="Lab_Status">
  <pivotTables>
    <pivotTable tabId="5" name="PivotTable2"/>
  </pivotTables>
  <data>
    <tabular pivotCacheId="198318951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8240E91A-896E-4228-A3AA-73BC36C1E9C1}" cache="Slicer_Department" caption="Department" rowHeight="241300"/>
  <slicer name="Test_Category 1" xr10:uid="{37EA02AC-71DC-4CFA-84EF-723132E88395}" cache="Slicer_Test_Category" caption="Test_Category" rowHeight="241300"/>
  <slicer name="Lab_Status 1" xr10:uid="{02F96C04-43F7-4FCF-8217-CF2EC43A2347}" cache="Slicer_Lab_Status" caption="Lab_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698D351-8FB7-4013-883F-7AEE3D32A862}" cache="Slicer_Department" caption="Department" rowHeight="241300"/>
  <slicer name="Test_Category" xr10:uid="{0257EE06-A13F-4B45-BD6C-286573937A28}" cache="Slicer_Test_Category" caption="Test_Category" rowHeight="241300"/>
  <slicer name="Lab_Status" xr10:uid="{1FA962EF-19DA-4825-9D9C-9960C7A4F150}" cache="Slicer_Lab_Status" caption="Lab_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F6CC89-B74A-4B21-8F34-837DF8075D19}" name="Lab_Data" displayName="Lab_Data" ref="A1:AO1471" tableType="queryTable" totalsRowShown="0">
  <autoFilter ref="A1:AO1471" xr:uid="{B9F6CC89-B74A-4B21-8F34-837DF8075D19}"/>
  <tableColumns count="41">
    <tableColumn id="1" xr3:uid="{18D06E83-4C22-48DD-83FF-8D6ECEB1BA0A}" uniqueName="1" name="Age" queryTableFieldId="1"/>
    <tableColumn id="2" xr3:uid="{8B9F4C8C-D62A-4E68-840A-455E02A1FACF}" uniqueName="2" name="Attrition" queryTableFieldId="2" dataDxfId="14"/>
    <tableColumn id="3" xr3:uid="{801732C3-0894-46C2-9E0D-FB844BAA9BFF}" uniqueName="3" name="BusinessTravel" queryTableFieldId="3" dataDxfId="13"/>
    <tableColumn id="4" xr3:uid="{E0D5DCCA-E562-4DBE-A084-57016F56DA31}" uniqueName="4" name="DailyRate" queryTableFieldId="4"/>
    <tableColumn id="5" xr3:uid="{70BCF757-0C93-4D36-9B2A-D1E6763BAF43}" uniqueName="5" name="Department" queryTableFieldId="5" dataDxfId="12"/>
    <tableColumn id="6" xr3:uid="{532A7697-1A41-4514-BBDB-A7B2AF591758}" uniqueName="6" name="DistanceFromHome" queryTableFieldId="6"/>
    <tableColumn id="7" xr3:uid="{298D5246-8D41-4A20-96FE-8F1A746F9DAE}" uniqueName="7" name="Education" queryTableFieldId="7"/>
    <tableColumn id="8" xr3:uid="{EFBA1577-A4CB-408A-9B50-5FA917159858}" uniqueName="8" name="EducationField" queryTableFieldId="8" dataDxfId="11"/>
    <tableColumn id="9" xr3:uid="{C2589466-0083-4F6F-ACEA-7F746F408EDA}" uniqueName="9" name="EmployeeCount" queryTableFieldId="9"/>
    <tableColumn id="10" xr3:uid="{99B4CC6D-7449-4A1E-8222-C60151AC49D6}" uniqueName="10" name="EmployeeNumber" queryTableFieldId="10"/>
    <tableColumn id="11" xr3:uid="{9BA42A2E-15B4-4B82-991D-49690346BDBA}" uniqueName="11" name="EnvironmentSatisfaction" queryTableFieldId="11"/>
    <tableColumn id="12" xr3:uid="{ADC049B6-C811-48EE-8482-1E32A42586BA}" uniqueName="12" name="Gender" queryTableFieldId="12" dataDxfId="10"/>
    <tableColumn id="13" xr3:uid="{016CB39E-DDCE-49AC-984C-DF27293DEA26}" uniqueName="13" name="HourlyRate" queryTableFieldId="13"/>
    <tableColumn id="14" xr3:uid="{5AC83CCF-D1C5-4FC3-AF1C-843355EF91D0}" uniqueName="14" name="JobInvolvement" queryTableFieldId="14"/>
    <tableColumn id="15" xr3:uid="{86A0B8C0-9A8D-4C5E-B86E-EDB621B448E1}" uniqueName="15" name="JobLevel" queryTableFieldId="15"/>
    <tableColumn id="16" xr3:uid="{EBFA3480-3AF2-4E24-B1BB-D52D82ABC457}" uniqueName="16" name="JobRole" queryTableFieldId="16" dataDxfId="9"/>
    <tableColumn id="17" xr3:uid="{F56A35E1-0DF5-4961-8E71-4D5D17CE6CDE}" uniqueName="17" name="JobSatisfaction" queryTableFieldId="17"/>
    <tableColumn id="18" xr3:uid="{590D9535-77AF-49F6-86DF-FD3E1B0A6371}" uniqueName="18" name="MaritalStatus" queryTableFieldId="18" dataDxfId="8"/>
    <tableColumn id="19" xr3:uid="{7A0A0052-5EAA-4647-AC65-0554A4313EED}" uniqueName="19" name="MonthlyIncome" queryTableFieldId="19"/>
    <tableColumn id="20" xr3:uid="{D779AE67-1FB9-48E8-AB7C-47F236CEFF78}" uniqueName="20" name="MonthlyRate" queryTableFieldId="20"/>
    <tableColumn id="21" xr3:uid="{77290E27-3B17-488A-B47E-CB903C839626}" uniqueName="21" name="NumCompaniesWorked" queryTableFieldId="21"/>
    <tableColumn id="22" xr3:uid="{2DA02487-75DA-458D-8B1C-2DE5A57102B5}" uniqueName="22" name="Over18" queryTableFieldId="22" dataDxfId="7"/>
    <tableColumn id="23" xr3:uid="{3F33DE2D-AF64-4974-A270-C4B0E092C467}" uniqueName="23" name="OverTime" queryTableFieldId="23" dataDxfId="6"/>
    <tableColumn id="24" xr3:uid="{B19573B5-85BB-4B15-85CE-7DC3B4AF2C72}" uniqueName="24" name="PercentSalaryHike" queryTableFieldId="24"/>
    <tableColumn id="25" xr3:uid="{F6FD4631-5BED-4485-AB6F-F7B2498C4E11}" uniqueName="25" name="PerformanceRating" queryTableFieldId="25"/>
    <tableColumn id="26" xr3:uid="{0EFC48AF-6000-4229-8EFC-2985ED627922}" uniqueName="26" name="RelationshipSatisfaction" queryTableFieldId="26"/>
    <tableColumn id="27" xr3:uid="{5BB005FE-45A0-48AA-8CD7-B4AF3AFC475C}" uniqueName="27" name="StandardHours" queryTableFieldId="27"/>
    <tableColumn id="28" xr3:uid="{4E9274E4-BEAE-4A62-8651-CE3640D86CEC}" uniqueName="28" name="StockOptionLevel" queryTableFieldId="28"/>
    <tableColumn id="29" xr3:uid="{B3A149F8-2EFF-4F8E-B0CB-D0055EFFB6C1}" uniqueName="29" name="TotalWorkingYears" queryTableFieldId="29"/>
    <tableColumn id="30" xr3:uid="{2E40E68F-503C-4E3A-941C-1E01FEFA7AA3}" uniqueName="30" name="TrainingTimesLastYear" queryTableFieldId="30"/>
    <tableColumn id="31" xr3:uid="{55D1DE01-A62A-4AF4-A888-B2B23C5B532E}" uniqueName="31" name="WorkLifeBalance" queryTableFieldId="31"/>
    <tableColumn id="32" xr3:uid="{741FF481-9D2A-4246-93E1-029CD031EAF5}" uniqueName="32" name="YearsAtCompany" queryTableFieldId="32"/>
    <tableColumn id="33" xr3:uid="{5D61956E-B14E-4ABD-9576-8D290A0C9F15}" uniqueName="33" name="YearsInCurrentRole" queryTableFieldId="33"/>
    <tableColumn id="34" xr3:uid="{F975CEED-48B5-49BB-B391-073918A3A66B}" uniqueName="34" name="YearsSinceLastPromotion" queryTableFieldId="34"/>
    <tableColumn id="35" xr3:uid="{79BDC7F3-96A7-4CC9-9610-37F20271181D}" uniqueName="35" name="YearsWithCurrManager" queryTableFieldId="35"/>
    <tableColumn id="36" xr3:uid="{6B287554-6E98-437C-8EA1-A4FC9154376F}" uniqueName="36" name="Sample_ID" queryTableFieldId="36" dataDxfId="5">
      <calculatedColumnFormula>"LAB-"&amp;Lab_Data[[#This Row],[EmployeeNumber]]</calculatedColumnFormula>
    </tableColumn>
    <tableColumn id="37" xr3:uid="{5CFBEC7D-AF2C-4EEB-BCA0-38269D5F5970}" uniqueName="37" name="Test_Category" queryTableFieldId="37" dataDxfId="4">
      <calculatedColumnFormula>Lab_Data[[#This Row],[JobRole]]</calculatedColumnFormula>
    </tableColumn>
    <tableColumn id="38" xr3:uid="{CF2FD054-383D-4AA2-A992-207D2674E7A7}" uniqueName="38" name="Laboratory_Section" queryTableFieldId="38" dataDxfId="3">
      <calculatedColumnFormula>Lab_Data[[#This Row],[Department]]</calculatedColumnFormula>
    </tableColumn>
    <tableColumn id="39" xr3:uid="{BA967549-05B9-4950-89C5-F6752DEA1518}" uniqueName="39" name="Test_Result" queryTableFieldId="39" dataDxfId="2">
      <calculatedColumnFormula>IF(Lab_Data[[#This Row],[Attrition]]="Yes","Failed","Completed")</calculatedColumnFormula>
    </tableColumn>
    <tableColumn id="40" xr3:uid="{D35F3079-9B5B-4C9B-A62A-6E6B096B9A3D}" uniqueName="40" name="Test_Duration_Days" queryTableFieldId="40" dataDxfId="1">
      <calculatedColumnFormula>Lab_Data[[#This Row],[YearsAtCompany]]</calculatedColumnFormula>
    </tableColumn>
    <tableColumn id="41" xr3:uid="{2CFAFB25-3718-4DF2-8A7B-7F8D57A9EE54}" uniqueName="41" name="Lab_Status" queryTableFieldId="41" dataDxfId="0">
      <calculatedColumnFormula>IF(Lab_Data[[#This Row],[PerformanceRating]]&gt;=3,"Approved","Review Required")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11583-95B5-43F6-93A9-F816CE9269F4}">
  <dimension ref="A1:AO1471"/>
  <sheetViews>
    <sheetView topLeftCell="AH2" workbookViewId="0">
      <selection activeCell="AK17" sqref="AK17"/>
    </sheetView>
  </sheetViews>
  <sheetFormatPr defaultRowHeight="14.5" x14ac:dyDescent="0.35"/>
  <cols>
    <col min="1" max="1" width="6.1796875" bestFit="1" customWidth="1"/>
    <col min="2" max="2" width="10.26953125" bestFit="1" customWidth="1"/>
    <col min="3" max="3" width="15.90625" bestFit="1" customWidth="1"/>
    <col min="4" max="4" width="11" bestFit="1" customWidth="1"/>
    <col min="5" max="5" width="22.08984375" bestFit="1" customWidth="1"/>
    <col min="6" max="6" width="19.81640625" bestFit="1" customWidth="1"/>
    <col min="7" max="7" width="11.453125" bestFit="1" customWidth="1"/>
    <col min="8" max="8" width="15.90625" bestFit="1" customWidth="1"/>
    <col min="9" max="9" width="16.453125" bestFit="1" customWidth="1"/>
    <col min="10" max="10" width="18.1796875" bestFit="1" customWidth="1"/>
    <col min="11" max="11" width="23.90625" bestFit="1" customWidth="1"/>
    <col min="12" max="12" width="9.26953125" bestFit="1" customWidth="1"/>
    <col min="13" max="13" width="12.453125" bestFit="1" customWidth="1"/>
    <col min="14" max="14" width="16.453125" bestFit="1" customWidth="1"/>
    <col min="15" max="15" width="10.08984375" bestFit="1" customWidth="1"/>
    <col min="16" max="16" width="23" bestFit="1" customWidth="1"/>
    <col min="17" max="17" width="15.7265625" bestFit="1" customWidth="1"/>
    <col min="18" max="18" width="14.453125" bestFit="1" customWidth="1"/>
    <col min="19" max="19" width="16.453125" bestFit="1" customWidth="1"/>
    <col min="20" max="20" width="14" bestFit="1" customWidth="1"/>
    <col min="21" max="21" width="23.36328125" bestFit="1" customWidth="1"/>
    <col min="22" max="22" width="9.08984375" bestFit="1" customWidth="1"/>
    <col min="23" max="23" width="11.1796875" bestFit="1" customWidth="1"/>
    <col min="24" max="24" width="18.36328125" bestFit="1" customWidth="1"/>
    <col min="25" max="25" width="19.36328125" bestFit="1" customWidth="1"/>
    <col min="26" max="26" width="23.453125" bestFit="1" customWidth="1"/>
    <col min="27" max="27" width="15.81640625" bestFit="1" customWidth="1"/>
    <col min="28" max="28" width="17.7265625" bestFit="1" customWidth="1"/>
    <col min="29" max="29" width="19.08984375" bestFit="1" customWidth="1"/>
    <col min="30" max="30" width="22" bestFit="1" customWidth="1"/>
    <col min="31" max="31" width="17.1796875" bestFit="1" customWidth="1"/>
    <col min="32" max="32" width="17.54296875" bestFit="1" customWidth="1"/>
    <col min="33" max="33" width="19.54296875" bestFit="1" customWidth="1"/>
    <col min="34" max="34" width="24.54296875" bestFit="1" customWidth="1"/>
    <col min="35" max="35" width="23" bestFit="1" customWidth="1"/>
    <col min="36" max="36" width="13.54296875" customWidth="1"/>
    <col min="37" max="38" width="22.08984375" customWidth="1"/>
    <col min="39" max="39" width="12.90625" customWidth="1"/>
    <col min="40" max="40" width="19.7265625" customWidth="1"/>
    <col min="41" max="41" width="13.6328125" customWidth="1"/>
  </cols>
  <sheetData>
    <row r="1" spans="1:4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62</v>
      </c>
      <c r="AK1" t="s">
        <v>63</v>
      </c>
      <c r="AL1" t="s">
        <v>64</v>
      </c>
      <c r="AM1" t="s">
        <v>65</v>
      </c>
      <c r="AN1" t="s">
        <v>66</v>
      </c>
      <c r="AO1" t="s">
        <v>67</v>
      </c>
    </row>
    <row r="2" spans="1:41"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t="str">
        <f>"LAB-"&amp;Lab_Data[[#This Row],[EmployeeNumber]]</f>
        <v>LAB-1</v>
      </c>
      <c r="AK2" t="str">
        <f>Lab_Data[[#This Row],[JobRole]]</f>
        <v>Sales Executive</v>
      </c>
      <c r="AL2" t="str">
        <f>Lab_Data[[#This Row],[Department]]</f>
        <v>Sales</v>
      </c>
      <c r="AM2" t="str">
        <f>IF(Lab_Data[[#This Row],[Attrition]]="Yes","Failed","Completed")</f>
        <v>Failed</v>
      </c>
      <c r="AN2">
        <f>Lab_Data[[#This Row],[YearsAtCompany]]</f>
        <v>6</v>
      </c>
      <c r="AO2" t="str">
        <f>IF(Lab_Data[[#This Row],[PerformanceRating]]&gt;=3,"Approved","Review Required")</f>
        <v>Approved</v>
      </c>
    </row>
    <row r="3" spans="1:41"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t="str">
        <f>"LAB-"&amp;Lab_Data[[#This Row],[EmployeeNumber]]</f>
        <v>LAB-2</v>
      </c>
      <c r="AK3" t="str">
        <f>Lab_Data[[#This Row],[JobRole]]</f>
        <v>Research Scientist</v>
      </c>
      <c r="AL3" t="str">
        <f>Lab_Data[[#This Row],[Department]]</f>
        <v>Research &amp; Development</v>
      </c>
      <c r="AM3" t="str">
        <f>IF(Lab_Data[[#This Row],[Attrition]]="Yes","Failed","Completed")</f>
        <v>Completed</v>
      </c>
      <c r="AN3">
        <f>Lab_Data[[#This Row],[YearsAtCompany]]</f>
        <v>10</v>
      </c>
      <c r="AO3" t="str">
        <f>IF(Lab_Data[[#This Row],[PerformanceRating]]&gt;=3,"Approved","Review Required")</f>
        <v>Approved</v>
      </c>
    </row>
    <row r="4" spans="1:41"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t="str">
        <f>"LAB-"&amp;Lab_Data[[#This Row],[EmployeeNumber]]</f>
        <v>LAB-4</v>
      </c>
      <c r="AK4" t="str">
        <f>Lab_Data[[#This Row],[JobRole]]</f>
        <v>Laboratory Technician</v>
      </c>
      <c r="AL4" t="str">
        <f>Lab_Data[[#This Row],[Department]]</f>
        <v>Research &amp; Development</v>
      </c>
      <c r="AM4" t="str">
        <f>IF(Lab_Data[[#This Row],[Attrition]]="Yes","Failed","Completed")</f>
        <v>Failed</v>
      </c>
      <c r="AN4">
        <f>Lab_Data[[#This Row],[YearsAtCompany]]</f>
        <v>0</v>
      </c>
      <c r="AO4" t="str">
        <f>IF(Lab_Data[[#This Row],[PerformanceRating]]&gt;=3,"Approved","Review Required")</f>
        <v>Approved</v>
      </c>
    </row>
    <row r="5" spans="1:41"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t="str">
        <f>"LAB-"&amp;Lab_Data[[#This Row],[EmployeeNumber]]</f>
        <v>LAB-5</v>
      </c>
      <c r="AK5" t="str">
        <f>Lab_Data[[#This Row],[JobRole]]</f>
        <v>Research Scientist</v>
      </c>
      <c r="AL5" t="str">
        <f>Lab_Data[[#This Row],[Department]]</f>
        <v>Research &amp; Development</v>
      </c>
      <c r="AM5" t="str">
        <f>IF(Lab_Data[[#This Row],[Attrition]]="Yes","Failed","Completed")</f>
        <v>Completed</v>
      </c>
      <c r="AN5">
        <f>Lab_Data[[#This Row],[YearsAtCompany]]</f>
        <v>8</v>
      </c>
      <c r="AO5" t="str">
        <f>IF(Lab_Data[[#This Row],[PerformanceRating]]&gt;=3,"Approved","Review Required")</f>
        <v>Approved</v>
      </c>
    </row>
    <row r="6" spans="1:41"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t="str">
        <f>"LAB-"&amp;Lab_Data[[#This Row],[EmployeeNumber]]</f>
        <v>LAB-7</v>
      </c>
      <c r="AK6" t="str">
        <f>Lab_Data[[#This Row],[JobRole]]</f>
        <v>Laboratory Technician</v>
      </c>
      <c r="AL6" t="str">
        <f>Lab_Data[[#This Row],[Department]]</f>
        <v>Research &amp; Development</v>
      </c>
      <c r="AM6" t="str">
        <f>IF(Lab_Data[[#This Row],[Attrition]]="Yes","Failed","Completed")</f>
        <v>Completed</v>
      </c>
      <c r="AN6">
        <f>Lab_Data[[#This Row],[YearsAtCompany]]</f>
        <v>2</v>
      </c>
      <c r="AO6" t="str">
        <f>IF(Lab_Data[[#This Row],[PerformanceRating]]&gt;=3,"Approved","Review Required")</f>
        <v>Approved</v>
      </c>
    </row>
    <row r="7" spans="1:41"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t="str">
        <f>"LAB-"&amp;Lab_Data[[#This Row],[EmployeeNumber]]</f>
        <v>LAB-8</v>
      </c>
      <c r="AK7" t="str">
        <f>Lab_Data[[#This Row],[JobRole]]</f>
        <v>Laboratory Technician</v>
      </c>
      <c r="AL7" t="str">
        <f>Lab_Data[[#This Row],[Department]]</f>
        <v>Research &amp; Development</v>
      </c>
      <c r="AM7" t="str">
        <f>IF(Lab_Data[[#This Row],[Attrition]]="Yes","Failed","Completed")</f>
        <v>Completed</v>
      </c>
      <c r="AN7">
        <f>Lab_Data[[#This Row],[YearsAtCompany]]</f>
        <v>7</v>
      </c>
      <c r="AO7" t="str">
        <f>IF(Lab_Data[[#This Row],[PerformanceRating]]&gt;=3,"Approved","Review Required")</f>
        <v>Approved</v>
      </c>
    </row>
    <row r="8" spans="1:41"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t="str">
        <f>"LAB-"&amp;Lab_Data[[#This Row],[EmployeeNumber]]</f>
        <v>LAB-10</v>
      </c>
      <c r="AK8" t="str">
        <f>Lab_Data[[#This Row],[JobRole]]</f>
        <v>Laboratory Technician</v>
      </c>
      <c r="AL8" t="str">
        <f>Lab_Data[[#This Row],[Department]]</f>
        <v>Research &amp; Development</v>
      </c>
      <c r="AM8" t="str">
        <f>IF(Lab_Data[[#This Row],[Attrition]]="Yes","Failed","Completed")</f>
        <v>Completed</v>
      </c>
      <c r="AN8">
        <f>Lab_Data[[#This Row],[YearsAtCompany]]</f>
        <v>1</v>
      </c>
      <c r="AO8" t="str">
        <f>IF(Lab_Data[[#This Row],[PerformanceRating]]&gt;=3,"Approved","Review Required")</f>
        <v>Approved</v>
      </c>
    </row>
    <row r="9" spans="1:41"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t="str">
        <f>"LAB-"&amp;Lab_Data[[#This Row],[EmployeeNumber]]</f>
        <v>LAB-11</v>
      </c>
      <c r="AK9" t="str">
        <f>Lab_Data[[#This Row],[JobRole]]</f>
        <v>Laboratory Technician</v>
      </c>
      <c r="AL9" t="str">
        <f>Lab_Data[[#This Row],[Department]]</f>
        <v>Research &amp; Development</v>
      </c>
      <c r="AM9" t="str">
        <f>IF(Lab_Data[[#This Row],[Attrition]]="Yes","Failed","Completed")</f>
        <v>Completed</v>
      </c>
      <c r="AN9">
        <f>Lab_Data[[#This Row],[YearsAtCompany]]</f>
        <v>1</v>
      </c>
      <c r="AO9" t="str">
        <f>IF(Lab_Data[[#This Row],[PerformanceRating]]&gt;=3,"Approved","Review Required")</f>
        <v>Approved</v>
      </c>
    </row>
    <row r="10" spans="1:41"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t="str">
        <f>"LAB-"&amp;Lab_Data[[#This Row],[EmployeeNumber]]</f>
        <v>LAB-12</v>
      </c>
      <c r="AK10" t="str">
        <f>Lab_Data[[#This Row],[JobRole]]</f>
        <v>Manufacturing Director</v>
      </c>
      <c r="AL10" t="str">
        <f>Lab_Data[[#This Row],[Department]]</f>
        <v>Research &amp; Development</v>
      </c>
      <c r="AM10" t="str">
        <f>IF(Lab_Data[[#This Row],[Attrition]]="Yes","Failed","Completed")</f>
        <v>Completed</v>
      </c>
      <c r="AN10">
        <f>Lab_Data[[#This Row],[YearsAtCompany]]</f>
        <v>9</v>
      </c>
      <c r="AO10" t="str">
        <f>IF(Lab_Data[[#This Row],[PerformanceRating]]&gt;=3,"Approved","Review Required")</f>
        <v>Approved</v>
      </c>
    </row>
    <row r="11" spans="1:41"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t="str">
        <f>"LAB-"&amp;Lab_Data[[#This Row],[EmployeeNumber]]</f>
        <v>LAB-13</v>
      </c>
      <c r="AK11" t="str">
        <f>Lab_Data[[#This Row],[JobRole]]</f>
        <v>Healthcare Representative</v>
      </c>
      <c r="AL11" t="str">
        <f>Lab_Data[[#This Row],[Department]]</f>
        <v>Research &amp; Development</v>
      </c>
      <c r="AM11" t="str">
        <f>IF(Lab_Data[[#This Row],[Attrition]]="Yes","Failed","Completed")</f>
        <v>Completed</v>
      </c>
      <c r="AN11">
        <f>Lab_Data[[#This Row],[YearsAtCompany]]</f>
        <v>7</v>
      </c>
      <c r="AO11" t="str">
        <f>IF(Lab_Data[[#This Row],[PerformanceRating]]&gt;=3,"Approved","Review Required")</f>
        <v>Approved</v>
      </c>
    </row>
    <row r="12" spans="1:41"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t="str">
        <f>"LAB-"&amp;Lab_Data[[#This Row],[EmployeeNumber]]</f>
        <v>LAB-14</v>
      </c>
      <c r="AK12" t="str">
        <f>Lab_Data[[#This Row],[JobRole]]</f>
        <v>Laboratory Technician</v>
      </c>
      <c r="AL12" t="str">
        <f>Lab_Data[[#This Row],[Department]]</f>
        <v>Research &amp; Development</v>
      </c>
      <c r="AM12" t="str">
        <f>IF(Lab_Data[[#This Row],[Attrition]]="Yes","Failed","Completed")</f>
        <v>Completed</v>
      </c>
      <c r="AN12">
        <f>Lab_Data[[#This Row],[YearsAtCompany]]</f>
        <v>5</v>
      </c>
      <c r="AO12" t="str">
        <f>IF(Lab_Data[[#This Row],[PerformanceRating]]&gt;=3,"Approved","Review Required")</f>
        <v>Approved</v>
      </c>
    </row>
    <row r="13" spans="1:41"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t="str">
        <f>"LAB-"&amp;Lab_Data[[#This Row],[EmployeeNumber]]</f>
        <v>LAB-15</v>
      </c>
      <c r="AK13" t="str">
        <f>Lab_Data[[#This Row],[JobRole]]</f>
        <v>Laboratory Technician</v>
      </c>
      <c r="AL13" t="str">
        <f>Lab_Data[[#This Row],[Department]]</f>
        <v>Research &amp; Development</v>
      </c>
      <c r="AM13" t="str">
        <f>IF(Lab_Data[[#This Row],[Attrition]]="Yes","Failed","Completed")</f>
        <v>Completed</v>
      </c>
      <c r="AN13">
        <f>Lab_Data[[#This Row],[YearsAtCompany]]</f>
        <v>9</v>
      </c>
      <c r="AO13" t="str">
        <f>IF(Lab_Data[[#This Row],[PerformanceRating]]&gt;=3,"Approved","Review Required")</f>
        <v>Approved</v>
      </c>
    </row>
    <row r="14" spans="1:41"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t="str">
        <f>"LAB-"&amp;Lab_Data[[#This Row],[EmployeeNumber]]</f>
        <v>LAB-16</v>
      </c>
      <c r="AK14" t="str">
        <f>Lab_Data[[#This Row],[JobRole]]</f>
        <v>Research Scientist</v>
      </c>
      <c r="AL14" t="str">
        <f>Lab_Data[[#This Row],[Department]]</f>
        <v>Research &amp; Development</v>
      </c>
      <c r="AM14" t="str">
        <f>IF(Lab_Data[[#This Row],[Attrition]]="Yes","Failed","Completed")</f>
        <v>Completed</v>
      </c>
      <c r="AN14">
        <f>Lab_Data[[#This Row],[YearsAtCompany]]</f>
        <v>5</v>
      </c>
      <c r="AO14" t="str">
        <f>IF(Lab_Data[[#This Row],[PerformanceRating]]&gt;=3,"Approved","Review Required")</f>
        <v>Approved</v>
      </c>
    </row>
    <row r="15" spans="1:41"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t="str">
        <f>"LAB-"&amp;Lab_Data[[#This Row],[EmployeeNumber]]</f>
        <v>LAB-18</v>
      </c>
      <c r="AK15" t="str">
        <f>Lab_Data[[#This Row],[JobRole]]</f>
        <v>Laboratory Technician</v>
      </c>
      <c r="AL15" t="str">
        <f>Lab_Data[[#This Row],[Department]]</f>
        <v>Research &amp; Development</v>
      </c>
      <c r="AM15" t="str">
        <f>IF(Lab_Data[[#This Row],[Attrition]]="Yes","Failed","Completed")</f>
        <v>Completed</v>
      </c>
      <c r="AN15">
        <f>Lab_Data[[#This Row],[YearsAtCompany]]</f>
        <v>2</v>
      </c>
      <c r="AO15" t="str">
        <f>IF(Lab_Data[[#This Row],[PerformanceRating]]&gt;=3,"Approved","Review Required")</f>
        <v>Approved</v>
      </c>
    </row>
    <row r="16" spans="1:41"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t="str">
        <f>"LAB-"&amp;Lab_Data[[#This Row],[EmployeeNumber]]</f>
        <v>LAB-19</v>
      </c>
      <c r="AK16" t="str">
        <f>Lab_Data[[#This Row],[JobRole]]</f>
        <v>Laboratory Technician</v>
      </c>
      <c r="AL16" t="str">
        <f>Lab_Data[[#This Row],[Department]]</f>
        <v>Research &amp; Development</v>
      </c>
      <c r="AM16" t="str">
        <f>IF(Lab_Data[[#This Row],[Attrition]]="Yes","Failed","Completed")</f>
        <v>Failed</v>
      </c>
      <c r="AN16">
        <f>Lab_Data[[#This Row],[YearsAtCompany]]</f>
        <v>4</v>
      </c>
      <c r="AO16" t="str">
        <f>IF(Lab_Data[[#This Row],[PerformanceRating]]&gt;=3,"Approved","Review Required")</f>
        <v>Approved</v>
      </c>
    </row>
    <row r="17" spans="1:41"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t="str">
        <f>"LAB-"&amp;Lab_Data[[#This Row],[EmployeeNumber]]</f>
        <v>LAB-20</v>
      </c>
      <c r="AK17" t="str">
        <f>Lab_Data[[#This Row],[JobRole]]</f>
        <v>Manufacturing Director</v>
      </c>
      <c r="AL17" t="str">
        <f>Lab_Data[[#This Row],[Department]]</f>
        <v>Research &amp; Development</v>
      </c>
      <c r="AM17" t="str">
        <f>IF(Lab_Data[[#This Row],[Attrition]]="Yes","Failed","Completed")</f>
        <v>Completed</v>
      </c>
      <c r="AN17">
        <f>Lab_Data[[#This Row],[YearsAtCompany]]</f>
        <v>10</v>
      </c>
      <c r="AO17" t="str">
        <f>IF(Lab_Data[[#This Row],[PerformanceRating]]&gt;=3,"Approved","Review Required")</f>
        <v>Approved</v>
      </c>
    </row>
    <row r="18" spans="1:41"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t="str">
        <f>"LAB-"&amp;Lab_Data[[#This Row],[EmployeeNumber]]</f>
        <v>LAB-21</v>
      </c>
      <c r="AK18" t="str">
        <f>Lab_Data[[#This Row],[JobRole]]</f>
        <v>Research Scientist</v>
      </c>
      <c r="AL18" t="str">
        <f>Lab_Data[[#This Row],[Department]]</f>
        <v>Research &amp; Development</v>
      </c>
      <c r="AM18" t="str">
        <f>IF(Lab_Data[[#This Row],[Attrition]]="Yes","Failed","Completed")</f>
        <v>Completed</v>
      </c>
      <c r="AN18">
        <f>Lab_Data[[#This Row],[YearsAtCompany]]</f>
        <v>6</v>
      </c>
      <c r="AO18" t="str">
        <f>IF(Lab_Data[[#This Row],[PerformanceRating]]&gt;=3,"Approved","Review Required")</f>
        <v>Approved</v>
      </c>
    </row>
    <row r="19" spans="1:41"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t="str">
        <f>"LAB-"&amp;Lab_Data[[#This Row],[EmployeeNumber]]</f>
        <v>LAB-22</v>
      </c>
      <c r="AK19" t="str">
        <f>Lab_Data[[#This Row],[JobRole]]</f>
        <v>Laboratory Technician</v>
      </c>
      <c r="AL19" t="str">
        <f>Lab_Data[[#This Row],[Department]]</f>
        <v>Research &amp; Development</v>
      </c>
      <c r="AM19" t="str">
        <f>IF(Lab_Data[[#This Row],[Attrition]]="Yes","Failed","Completed")</f>
        <v>Completed</v>
      </c>
      <c r="AN19">
        <f>Lab_Data[[#This Row],[YearsAtCompany]]</f>
        <v>1</v>
      </c>
      <c r="AO19" t="str">
        <f>IF(Lab_Data[[#This Row],[PerformanceRating]]&gt;=3,"Approved","Review Required")</f>
        <v>Approved</v>
      </c>
    </row>
    <row r="20" spans="1:41"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t="str">
        <f>"LAB-"&amp;Lab_Data[[#This Row],[EmployeeNumber]]</f>
        <v>LAB-23</v>
      </c>
      <c r="AK20" t="str">
        <f>Lab_Data[[#This Row],[JobRole]]</f>
        <v>Manager</v>
      </c>
      <c r="AL20" t="str">
        <f>Lab_Data[[#This Row],[Department]]</f>
        <v>Sales</v>
      </c>
      <c r="AM20" t="str">
        <f>IF(Lab_Data[[#This Row],[Attrition]]="Yes","Failed","Completed")</f>
        <v>Completed</v>
      </c>
      <c r="AN20">
        <f>Lab_Data[[#This Row],[YearsAtCompany]]</f>
        <v>25</v>
      </c>
      <c r="AO20" t="str">
        <f>IF(Lab_Data[[#This Row],[PerformanceRating]]&gt;=3,"Approved","Review Required")</f>
        <v>Approved</v>
      </c>
    </row>
    <row r="21" spans="1:41"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t="str">
        <f>"LAB-"&amp;Lab_Data[[#This Row],[EmployeeNumber]]</f>
        <v>LAB-24</v>
      </c>
      <c r="AK21" t="str">
        <f>Lab_Data[[#This Row],[JobRole]]</f>
        <v>Research Scientist</v>
      </c>
      <c r="AL21" t="str">
        <f>Lab_Data[[#This Row],[Department]]</f>
        <v>Research &amp; Development</v>
      </c>
      <c r="AM21" t="str">
        <f>IF(Lab_Data[[#This Row],[Attrition]]="Yes","Failed","Completed")</f>
        <v>Completed</v>
      </c>
      <c r="AN21">
        <f>Lab_Data[[#This Row],[YearsAtCompany]]</f>
        <v>3</v>
      </c>
      <c r="AO21" t="str">
        <f>IF(Lab_Data[[#This Row],[PerformanceRating]]&gt;=3,"Approved","Review Required")</f>
        <v>Approved</v>
      </c>
    </row>
    <row r="22" spans="1:41"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t="str">
        <f>"LAB-"&amp;Lab_Data[[#This Row],[EmployeeNumber]]</f>
        <v>LAB-26</v>
      </c>
      <c r="AK22" t="str">
        <f>Lab_Data[[#This Row],[JobRole]]</f>
        <v>Manufacturing Director</v>
      </c>
      <c r="AL22" t="str">
        <f>Lab_Data[[#This Row],[Department]]</f>
        <v>Research &amp; Development</v>
      </c>
      <c r="AM22" t="str">
        <f>IF(Lab_Data[[#This Row],[Attrition]]="Yes","Failed","Completed")</f>
        <v>Completed</v>
      </c>
      <c r="AN22">
        <f>Lab_Data[[#This Row],[YearsAtCompany]]</f>
        <v>4</v>
      </c>
      <c r="AO22" t="str">
        <f>IF(Lab_Data[[#This Row],[PerformanceRating]]&gt;=3,"Approved","Review Required")</f>
        <v>Approved</v>
      </c>
    </row>
    <row r="23" spans="1:41"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t="str">
        <f>"LAB-"&amp;Lab_Data[[#This Row],[EmployeeNumber]]</f>
        <v>LAB-27</v>
      </c>
      <c r="AK23" t="str">
        <f>Lab_Data[[#This Row],[JobRole]]</f>
        <v>Sales Representative</v>
      </c>
      <c r="AL23" t="str">
        <f>Lab_Data[[#This Row],[Department]]</f>
        <v>Sales</v>
      </c>
      <c r="AM23" t="str">
        <f>IF(Lab_Data[[#This Row],[Attrition]]="Yes","Failed","Completed")</f>
        <v>Failed</v>
      </c>
      <c r="AN23">
        <f>Lab_Data[[#This Row],[YearsAtCompany]]</f>
        <v>5</v>
      </c>
      <c r="AO23" t="str">
        <f>IF(Lab_Data[[#This Row],[PerformanceRating]]&gt;=3,"Approved","Review Required")</f>
        <v>Approved</v>
      </c>
    </row>
    <row r="24" spans="1:41"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t="str">
        <f>"LAB-"&amp;Lab_Data[[#This Row],[EmployeeNumber]]</f>
        <v>LAB-28</v>
      </c>
      <c r="AK24" t="str">
        <f>Lab_Data[[#This Row],[JobRole]]</f>
        <v>Research Director</v>
      </c>
      <c r="AL24" t="str">
        <f>Lab_Data[[#This Row],[Department]]</f>
        <v>Research &amp; Development</v>
      </c>
      <c r="AM24" t="str">
        <f>IF(Lab_Data[[#This Row],[Attrition]]="Yes","Failed","Completed")</f>
        <v>Completed</v>
      </c>
      <c r="AN24">
        <f>Lab_Data[[#This Row],[YearsAtCompany]]</f>
        <v>12</v>
      </c>
      <c r="AO24" t="str">
        <f>IF(Lab_Data[[#This Row],[PerformanceRating]]&gt;=3,"Approved","Review Required")</f>
        <v>Approved</v>
      </c>
    </row>
    <row r="25" spans="1:41"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t="str">
        <f>"LAB-"&amp;Lab_Data[[#This Row],[EmployeeNumber]]</f>
        <v>LAB-30</v>
      </c>
      <c r="AK25" t="str">
        <f>Lab_Data[[#This Row],[JobRole]]</f>
        <v>Research Scientist</v>
      </c>
      <c r="AL25" t="str">
        <f>Lab_Data[[#This Row],[Department]]</f>
        <v>Research &amp; Development</v>
      </c>
      <c r="AM25" t="str">
        <f>IF(Lab_Data[[#This Row],[Attrition]]="Yes","Failed","Completed")</f>
        <v>Completed</v>
      </c>
      <c r="AN25">
        <f>Lab_Data[[#This Row],[YearsAtCompany]]</f>
        <v>0</v>
      </c>
      <c r="AO25" t="str">
        <f>IF(Lab_Data[[#This Row],[PerformanceRating]]&gt;=3,"Approved","Review Required")</f>
        <v>Approved</v>
      </c>
    </row>
    <row r="26" spans="1:41"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t="str">
        <f>"LAB-"&amp;Lab_Data[[#This Row],[EmployeeNumber]]</f>
        <v>LAB-31</v>
      </c>
      <c r="AK26" t="str">
        <f>Lab_Data[[#This Row],[JobRole]]</f>
        <v>Research Scientist</v>
      </c>
      <c r="AL26" t="str">
        <f>Lab_Data[[#This Row],[Department]]</f>
        <v>Research &amp; Development</v>
      </c>
      <c r="AM26" t="str">
        <f>IF(Lab_Data[[#This Row],[Attrition]]="Yes","Failed","Completed")</f>
        <v>Failed</v>
      </c>
      <c r="AN26">
        <f>Lab_Data[[#This Row],[YearsAtCompany]]</f>
        <v>4</v>
      </c>
      <c r="AO26" t="str">
        <f>IF(Lab_Data[[#This Row],[PerformanceRating]]&gt;=3,"Approved","Review Required")</f>
        <v>Approved</v>
      </c>
    </row>
    <row r="27" spans="1:41"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t="str">
        <f>"LAB-"&amp;Lab_Data[[#This Row],[EmployeeNumber]]</f>
        <v>LAB-32</v>
      </c>
      <c r="AK27" t="str">
        <f>Lab_Data[[#This Row],[JobRole]]</f>
        <v>Manager</v>
      </c>
      <c r="AL27" t="str">
        <f>Lab_Data[[#This Row],[Department]]</f>
        <v>Research &amp; Development</v>
      </c>
      <c r="AM27" t="str">
        <f>IF(Lab_Data[[#This Row],[Attrition]]="Yes","Failed","Completed")</f>
        <v>Completed</v>
      </c>
      <c r="AN27">
        <f>Lab_Data[[#This Row],[YearsAtCompany]]</f>
        <v>14</v>
      </c>
      <c r="AO27" t="str">
        <f>IF(Lab_Data[[#This Row],[PerformanceRating]]&gt;=3,"Approved","Review Required")</f>
        <v>Approved</v>
      </c>
    </row>
    <row r="28" spans="1:41"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t="str">
        <f>"LAB-"&amp;Lab_Data[[#This Row],[EmployeeNumber]]</f>
        <v>LAB-33</v>
      </c>
      <c r="AK28" t="str">
        <f>Lab_Data[[#This Row],[JobRole]]</f>
        <v>Research Scientist</v>
      </c>
      <c r="AL28" t="str">
        <f>Lab_Data[[#This Row],[Department]]</f>
        <v>Research &amp; Development</v>
      </c>
      <c r="AM28" t="str">
        <f>IF(Lab_Data[[#This Row],[Attrition]]="Yes","Failed","Completed")</f>
        <v>Failed</v>
      </c>
      <c r="AN28">
        <f>Lab_Data[[#This Row],[YearsAtCompany]]</f>
        <v>10</v>
      </c>
      <c r="AO28" t="str">
        <f>IF(Lab_Data[[#This Row],[PerformanceRating]]&gt;=3,"Approved","Review Required")</f>
        <v>Approved</v>
      </c>
    </row>
    <row r="29" spans="1:41"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t="str">
        <f>"LAB-"&amp;Lab_Data[[#This Row],[EmployeeNumber]]</f>
        <v>LAB-35</v>
      </c>
      <c r="AK29" t="str">
        <f>Lab_Data[[#This Row],[JobRole]]</f>
        <v>Sales Executive</v>
      </c>
      <c r="AL29" t="str">
        <f>Lab_Data[[#This Row],[Department]]</f>
        <v>Sales</v>
      </c>
      <c r="AM29" t="str">
        <f>IF(Lab_Data[[#This Row],[Attrition]]="Yes","Failed","Completed")</f>
        <v>Completed</v>
      </c>
      <c r="AN29">
        <f>Lab_Data[[#This Row],[YearsAtCompany]]</f>
        <v>9</v>
      </c>
      <c r="AO29" t="str">
        <f>IF(Lab_Data[[#This Row],[PerformanceRating]]&gt;=3,"Approved","Review Required")</f>
        <v>Approved</v>
      </c>
    </row>
    <row r="30" spans="1:41"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t="str">
        <f>"LAB-"&amp;Lab_Data[[#This Row],[EmployeeNumber]]</f>
        <v>LAB-36</v>
      </c>
      <c r="AK30" t="str">
        <f>Lab_Data[[#This Row],[JobRole]]</f>
        <v>Healthcare Representative</v>
      </c>
      <c r="AL30" t="str">
        <f>Lab_Data[[#This Row],[Department]]</f>
        <v>Research &amp; Development</v>
      </c>
      <c r="AM30" t="str">
        <f>IF(Lab_Data[[#This Row],[Attrition]]="Yes","Failed","Completed")</f>
        <v>Completed</v>
      </c>
      <c r="AN30">
        <f>Lab_Data[[#This Row],[YearsAtCompany]]</f>
        <v>22</v>
      </c>
      <c r="AO30" t="str">
        <f>IF(Lab_Data[[#This Row],[PerformanceRating]]&gt;=3,"Approved","Review Required")</f>
        <v>Approved</v>
      </c>
    </row>
    <row r="31" spans="1:41"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t="str">
        <f>"LAB-"&amp;Lab_Data[[#This Row],[EmployeeNumber]]</f>
        <v>LAB-38</v>
      </c>
      <c r="AK31" t="str">
        <f>Lab_Data[[#This Row],[JobRole]]</f>
        <v>Manager</v>
      </c>
      <c r="AL31" t="str">
        <f>Lab_Data[[#This Row],[Department]]</f>
        <v>Sales</v>
      </c>
      <c r="AM31" t="str">
        <f>IF(Lab_Data[[#This Row],[Attrition]]="Yes","Failed","Completed")</f>
        <v>Completed</v>
      </c>
      <c r="AN31">
        <f>Lab_Data[[#This Row],[YearsAtCompany]]</f>
        <v>2</v>
      </c>
      <c r="AO31" t="str">
        <f>IF(Lab_Data[[#This Row],[PerformanceRating]]&gt;=3,"Approved","Review Required")</f>
        <v>Approved</v>
      </c>
    </row>
    <row r="32" spans="1:41"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t="str">
        <f>"LAB-"&amp;Lab_Data[[#This Row],[EmployeeNumber]]</f>
        <v>LAB-39</v>
      </c>
      <c r="AK32" t="str">
        <f>Lab_Data[[#This Row],[JobRole]]</f>
        <v>Laboratory Technician</v>
      </c>
      <c r="AL32" t="str">
        <f>Lab_Data[[#This Row],[Department]]</f>
        <v>Research &amp; Development</v>
      </c>
      <c r="AM32" t="str">
        <f>IF(Lab_Data[[#This Row],[Attrition]]="Yes","Failed","Completed")</f>
        <v>Completed</v>
      </c>
      <c r="AN32">
        <f>Lab_Data[[#This Row],[YearsAtCompany]]</f>
        <v>1</v>
      </c>
      <c r="AO32" t="str">
        <f>IF(Lab_Data[[#This Row],[PerformanceRating]]&gt;=3,"Approved","Review Required")</f>
        <v>Approved</v>
      </c>
    </row>
    <row r="33" spans="1:41"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t="str">
        <f>"LAB-"&amp;Lab_Data[[#This Row],[EmployeeNumber]]</f>
        <v>LAB-40</v>
      </c>
      <c r="AK33" t="str">
        <f>Lab_Data[[#This Row],[JobRole]]</f>
        <v>Healthcare Representative</v>
      </c>
      <c r="AL33" t="str">
        <f>Lab_Data[[#This Row],[Department]]</f>
        <v>Research &amp; Development</v>
      </c>
      <c r="AM33" t="str">
        <f>IF(Lab_Data[[#This Row],[Attrition]]="Yes","Failed","Completed")</f>
        <v>Completed</v>
      </c>
      <c r="AN33">
        <f>Lab_Data[[#This Row],[YearsAtCompany]]</f>
        <v>4</v>
      </c>
      <c r="AO33" t="str">
        <f>IF(Lab_Data[[#This Row],[PerformanceRating]]&gt;=3,"Approved","Review Required")</f>
        <v>Approved</v>
      </c>
    </row>
    <row r="34" spans="1:41"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t="str">
        <f>"LAB-"&amp;Lab_Data[[#This Row],[EmployeeNumber]]</f>
        <v>LAB-41</v>
      </c>
      <c r="AK34" t="str">
        <f>Lab_Data[[#This Row],[JobRole]]</f>
        <v>Laboratory Technician</v>
      </c>
      <c r="AL34" t="str">
        <f>Lab_Data[[#This Row],[Department]]</f>
        <v>Research &amp; Development</v>
      </c>
      <c r="AM34" t="str">
        <f>IF(Lab_Data[[#This Row],[Attrition]]="Yes","Failed","Completed")</f>
        <v>Completed</v>
      </c>
      <c r="AN34">
        <f>Lab_Data[[#This Row],[YearsAtCompany]]</f>
        <v>10</v>
      </c>
      <c r="AO34" t="str">
        <f>IF(Lab_Data[[#This Row],[PerformanceRating]]&gt;=3,"Approved","Review Required")</f>
        <v>Approved</v>
      </c>
    </row>
    <row r="35" spans="1:41"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t="str">
        <f>"LAB-"&amp;Lab_Data[[#This Row],[EmployeeNumber]]</f>
        <v>LAB-42</v>
      </c>
      <c r="AK35" t="str">
        <f>Lab_Data[[#This Row],[JobRole]]</f>
        <v>Sales Representative</v>
      </c>
      <c r="AL35" t="str">
        <f>Lab_Data[[#This Row],[Department]]</f>
        <v>Sales</v>
      </c>
      <c r="AM35" t="str">
        <f>IF(Lab_Data[[#This Row],[Attrition]]="Yes","Failed","Completed")</f>
        <v>Failed</v>
      </c>
      <c r="AN35">
        <f>Lab_Data[[#This Row],[YearsAtCompany]]</f>
        <v>1</v>
      </c>
      <c r="AO35" t="str">
        <f>IF(Lab_Data[[#This Row],[PerformanceRating]]&gt;=3,"Approved","Review Required")</f>
        <v>Approved</v>
      </c>
    </row>
    <row r="36" spans="1:41"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t="str">
        <f>"LAB-"&amp;Lab_Data[[#This Row],[EmployeeNumber]]</f>
        <v>LAB-45</v>
      </c>
      <c r="AK36" t="str">
        <f>Lab_Data[[#This Row],[JobRole]]</f>
        <v>Research Scientist</v>
      </c>
      <c r="AL36" t="str">
        <f>Lab_Data[[#This Row],[Department]]</f>
        <v>Research &amp; Development</v>
      </c>
      <c r="AM36" t="str">
        <f>IF(Lab_Data[[#This Row],[Attrition]]="Yes","Failed","Completed")</f>
        <v>Failed</v>
      </c>
      <c r="AN36">
        <f>Lab_Data[[#This Row],[YearsAtCompany]]</f>
        <v>2</v>
      </c>
      <c r="AO36" t="str">
        <f>IF(Lab_Data[[#This Row],[PerformanceRating]]&gt;=3,"Approved","Review Required")</f>
        <v>Approved</v>
      </c>
    </row>
    <row r="37" spans="1:41"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t="str">
        <f>"LAB-"&amp;Lab_Data[[#This Row],[EmployeeNumber]]</f>
        <v>LAB-46</v>
      </c>
      <c r="AK37" t="str">
        <f>Lab_Data[[#This Row],[JobRole]]</f>
        <v>Research Scientist</v>
      </c>
      <c r="AL37" t="str">
        <f>Lab_Data[[#This Row],[Department]]</f>
        <v>Research &amp; Development</v>
      </c>
      <c r="AM37" t="str">
        <f>IF(Lab_Data[[#This Row],[Attrition]]="Yes","Failed","Completed")</f>
        <v>Completed</v>
      </c>
      <c r="AN37">
        <f>Lab_Data[[#This Row],[YearsAtCompany]]</f>
        <v>5</v>
      </c>
      <c r="AO37" t="str">
        <f>IF(Lab_Data[[#This Row],[PerformanceRating]]&gt;=3,"Approved","Review Required")</f>
        <v>Approved</v>
      </c>
    </row>
    <row r="38" spans="1:41"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t="str">
        <f>"LAB-"&amp;Lab_Data[[#This Row],[EmployeeNumber]]</f>
        <v>LAB-47</v>
      </c>
      <c r="AK38" t="str">
        <f>Lab_Data[[#This Row],[JobRole]]</f>
        <v>Sales Representative</v>
      </c>
      <c r="AL38" t="str">
        <f>Lab_Data[[#This Row],[Department]]</f>
        <v>Sales</v>
      </c>
      <c r="AM38" t="str">
        <f>IF(Lab_Data[[#This Row],[Attrition]]="Yes","Failed","Completed")</f>
        <v>Failed</v>
      </c>
      <c r="AN38">
        <f>Lab_Data[[#This Row],[YearsAtCompany]]</f>
        <v>3</v>
      </c>
      <c r="AO38" t="str">
        <f>IF(Lab_Data[[#This Row],[PerformanceRating]]&gt;=3,"Approved","Review Required")</f>
        <v>Approved</v>
      </c>
    </row>
    <row r="39" spans="1:41"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t="str">
        <f>"LAB-"&amp;Lab_Data[[#This Row],[EmployeeNumber]]</f>
        <v>LAB-49</v>
      </c>
      <c r="AK39" t="str">
        <f>Lab_Data[[#This Row],[JobRole]]</f>
        <v>Sales Representative</v>
      </c>
      <c r="AL39" t="str">
        <f>Lab_Data[[#This Row],[Department]]</f>
        <v>Sales</v>
      </c>
      <c r="AM39" t="str">
        <f>IF(Lab_Data[[#This Row],[Attrition]]="Yes","Failed","Completed")</f>
        <v>Completed</v>
      </c>
      <c r="AN39">
        <f>Lab_Data[[#This Row],[YearsAtCompany]]</f>
        <v>2</v>
      </c>
      <c r="AO39" t="str">
        <f>IF(Lab_Data[[#This Row],[PerformanceRating]]&gt;=3,"Approved","Review Required")</f>
        <v>Approved</v>
      </c>
    </row>
    <row r="40" spans="1:41"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t="str">
        <f>"LAB-"&amp;Lab_Data[[#This Row],[EmployeeNumber]]</f>
        <v>LAB-51</v>
      </c>
      <c r="AK40" t="str">
        <f>Lab_Data[[#This Row],[JobRole]]</f>
        <v>Research Scientist</v>
      </c>
      <c r="AL40" t="str">
        <f>Lab_Data[[#This Row],[Department]]</f>
        <v>Research &amp; Development</v>
      </c>
      <c r="AM40" t="str">
        <f>IF(Lab_Data[[#This Row],[Attrition]]="Yes","Failed","Completed")</f>
        <v>Completed</v>
      </c>
      <c r="AN40">
        <f>Lab_Data[[#This Row],[YearsAtCompany]]</f>
        <v>1</v>
      </c>
      <c r="AO40" t="str">
        <f>IF(Lab_Data[[#This Row],[PerformanceRating]]&gt;=3,"Approved","Review Required")</f>
        <v>Approved</v>
      </c>
    </row>
    <row r="41" spans="1:41"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t="str">
        <f>"LAB-"&amp;Lab_Data[[#This Row],[EmployeeNumber]]</f>
        <v>LAB-52</v>
      </c>
      <c r="AK41" t="str">
        <f>Lab_Data[[#This Row],[JobRole]]</f>
        <v>Sales Executive</v>
      </c>
      <c r="AL41" t="str">
        <f>Lab_Data[[#This Row],[Department]]</f>
        <v>Sales</v>
      </c>
      <c r="AM41" t="str">
        <f>IF(Lab_Data[[#This Row],[Attrition]]="Yes","Failed","Completed")</f>
        <v>Completed</v>
      </c>
      <c r="AN41">
        <f>Lab_Data[[#This Row],[YearsAtCompany]]</f>
        <v>5</v>
      </c>
      <c r="AO41" t="str">
        <f>IF(Lab_Data[[#This Row],[PerformanceRating]]&gt;=3,"Approved","Review Required")</f>
        <v>Approved</v>
      </c>
    </row>
    <row r="42" spans="1:41"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t="str">
        <f>"LAB-"&amp;Lab_Data[[#This Row],[EmployeeNumber]]</f>
        <v>LAB-53</v>
      </c>
      <c r="AK42" t="str">
        <f>Lab_Data[[#This Row],[JobRole]]</f>
        <v>Laboratory Technician</v>
      </c>
      <c r="AL42" t="str">
        <f>Lab_Data[[#This Row],[Department]]</f>
        <v>Research &amp; Development</v>
      </c>
      <c r="AM42" t="str">
        <f>IF(Lab_Data[[#This Row],[Attrition]]="Yes","Failed","Completed")</f>
        <v>Completed</v>
      </c>
      <c r="AN42">
        <f>Lab_Data[[#This Row],[YearsAtCompany]]</f>
        <v>1</v>
      </c>
      <c r="AO42" t="str">
        <f>IF(Lab_Data[[#This Row],[PerformanceRating]]&gt;=3,"Approved","Review Required")</f>
        <v>Approved</v>
      </c>
    </row>
    <row r="43" spans="1:41"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t="str">
        <f>"LAB-"&amp;Lab_Data[[#This Row],[EmployeeNumber]]</f>
        <v>LAB-54</v>
      </c>
      <c r="AK43" t="str">
        <f>Lab_Data[[#This Row],[JobRole]]</f>
        <v>Laboratory Technician</v>
      </c>
      <c r="AL43" t="str">
        <f>Lab_Data[[#This Row],[Department]]</f>
        <v>Research &amp; Development</v>
      </c>
      <c r="AM43" t="str">
        <f>IF(Lab_Data[[#This Row],[Attrition]]="Yes","Failed","Completed")</f>
        <v>Completed</v>
      </c>
      <c r="AN43">
        <f>Lab_Data[[#This Row],[YearsAtCompany]]</f>
        <v>1</v>
      </c>
      <c r="AO43" t="str">
        <f>IF(Lab_Data[[#This Row],[PerformanceRating]]&gt;=3,"Approved","Review Required")</f>
        <v>Approved</v>
      </c>
    </row>
    <row r="44" spans="1:41"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t="str">
        <f>"LAB-"&amp;Lab_Data[[#This Row],[EmployeeNumber]]</f>
        <v>LAB-55</v>
      </c>
      <c r="AK44" t="str">
        <f>Lab_Data[[#This Row],[JobRole]]</f>
        <v>Laboratory Technician</v>
      </c>
      <c r="AL44" t="str">
        <f>Lab_Data[[#This Row],[Department]]</f>
        <v>Research &amp; Development</v>
      </c>
      <c r="AM44" t="str">
        <f>IF(Lab_Data[[#This Row],[Attrition]]="Yes","Failed","Completed")</f>
        <v>Failed</v>
      </c>
      <c r="AN44">
        <f>Lab_Data[[#This Row],[YearsAtCompany]]</f>
        <v>1</v>
      </c>
      <c r="AO44" t="str">
        <f>IF(Lab_Data[[#This Row],[PerformanceRating]]&gt;=3,"Approved","Review Required")</f>
        <v>Approved</v>
      </c>
    </row>
    <row r="45" spans="1:41"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t="str">
        <f>"LAB-"&amp;Lab_Data[[#This Row],[EmployeeNumber]]</f>
        <v>LAB-56</v>
      </c>
      <c r="AK45" t="str">
        <f>Lab_Data[[#This Row],[JobRole]]</f>
        <v>Sales Executive</v>
      </c>
      <c r="AL45" t="str">
        <f>Lab_Data[[#This Row],[Department]]</f>
        <v>Sales</v>
      </c>
      <c r="AM45" t="str">
        <f>IF(Lab_Data[[#This Row],[Attrition]]="Yes","Failed","Completed")</f>
        <v>Completed</v>
      </c>
      <c r="AN45">
        <f>Lab_Data[[#This Row],[YearsAtCompany]]</f>
        <v>9</v>
      </c>
      <c r="AO45" t="str">
        <f>IF(Lab_Data[[#This Row],[PerformanceRating]]&gt;=3,"Approved","Review Required")</f>
        <v>Approved</v>
      </c>
    </row>
    <row r="46" spans="1:41"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t="str">
        <f>"LAB-"&amp;Lab_Data[[#This Row],[EmployeeNumber]]</f>
        <v>LAB-57</v>
      </c>
      <c r="AK46" t="str">
        <f>Lab_Data[[#This Row],[JobRole]]</f>
        <v>Laboratory Technician</v>
      </c>
      <c r="AL46" t="str">
        <f>Lab_Data[[#This Row],[Department]]</f>
        <v>Research &amp; Development</v>
      </c>
      <c r="AM46" t="str">
        <f>IF(Lab_Data[[#This Row],[Attrition]]="Yes","Failed","Completed")</f>
        <v>Completed</v>
      </c>
      <c r="AN46">
        <f>Lab_Data[[#This Row],[YearsAtCompany]]</f>
        <v>12</v>
      </c>
      <c r="AO46" t="str">
        <f>IF(Lab_Data[[#This Row],[PerformanceRating]]&gt;=3,"Approved","Review Required")</f>
        <v>Approved</v>
      </c>
    </row>
    <row r="47" spans="1:41"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t="str">
        <f>"LAB-"&amp;Lab_Data[[#This Row],[EmployeeNumber]]</f>
        <v>LAB-58</v>
      </c>
      <c r="AK47" t="str">
        <f>Lab_Data[[#This Row],[JobRole]]</f>
        <v>Research Director</v>
      </c>
      <c r="AL47" t="str">
        <f>Lab_Data[[#This Row],[Department]]</f>
        <v>Research &amp; Development</v>
      </c>
      <c r="AM47" t="str">
        <f>IF(Lab_Data[[#This Row],[Attrition]]="Yes","Failed","Completed")</f>
        <v>Failed</v>
      </c>
      <c r="AN47">
        <f>Lab_Data[[#This Row],[YearsAtCompany]]</f>
        <v>22</v>
      </c>
      <c r="AO47" t="str">
        <f>IF(Lab_Data[[#This Row],[PerformanceRating]]&gt;=3,"Approved","Review Required")</f>
        <v>Approved</v>
      </c>
    </row>
    <row r="48" spans="1:41"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t="str">
        <f>"LAB-"&amp;Lab_Data[[#This Row],[EmployeeNumber]]</f>
        <v>LAB-60</v>
      </c>
      <c r="AK48" t="str">
        <f>Lab_Data[[#This Row],[JobRole]]</f>
        <v>Sales Executive</v>
      </c>
      <c r="AL48" t="str">
        <f>Lab_Data[[#This Row],[Department]]</f>
        <v>Sales</v>
      </c>
      <c r="AM48" t="str">
        <f>IF(Lab_Data[[#This Row],[Attrition]]="Yes","Failed","Completed")</f>
        <v>Completed</v>
      </c>
      <c r="AN48">
        <f>Lab_Data[[#This Row],[YearsAtCompany]]</f>
        <v>9</v>
      </c>
      <c r="AO48" t="str">
        <f>IF(Lab_Data[[#This Row],[PerformanceRating]]&gt;=3,"Approved","Review Required")</f>
        <v>Approved</v>
      </c>
    </row>
    <row r="49" spans="1:41"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t="str">
        <f>"LAB-"&amp;Lab_Data[[#This Row],[EmployeeNumber]]</f>
        <v>LAB-61</v>
      </c>
      <c r="AK49" t="str">
        <f>Lab_Data[[#This Row],[JobRole]]</f>
        <v>Research Scientist</v>
      </c>
      <c r="AL49" t="str">
        <f>Lab_Data[[#This Row],[Department]]</f>
        <v>Research &amp; Development</v>
      </c>
      <c r="AM49" t="str">
        <f>IF(Lab_Data[[#This Row],[Attrition]]="Yes","Failed","Completed")</f>
        <v>Completed</v>
      </c>
      <c r="AN49">
        <f>Lab_Data[[#This Row],[YearsAtCompany]]</f>
        <v>1</v>
      </c>
      <c r="AO49" t="str">
        <f>IF(Lab_Data[[#This Row],[PerformanceRating]]&gt;=3,"Approved","Review Required")</f>
        <v>Approved</v>
      </c>
    </row>
    <row r="50" spans="1:41"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t="str">
        <f>"LAB-"&amp;Lab_Data[[#This Row],[EmployeeNumber]]</f>
        <v>LAB-62</v>
      </c>
      <c r="AK50" t="str">
        <f>Lab_Data[[#This Row],[JobRole]]</f>
        <v>Sales Executive</v>
      </c>
      <c r="AL50" t="str">
        <f>Lab_Data[[#This Row],[Department]]</f>
        <v>Sales</v>
      </c>
      <c r="AM50" t="str">
        <f>IF(Lab_Data[[#This Row],[Attrition]]="Yes","Failed","Completed")</f>
        <v>Completed</v>
      </c>
      <c r="AN50">
        <f>Lab_Data[[#This Row],[YearsAtCompany]]</f>
        <v>9</v>
      </c>
      <c r="AO50" t="str">
        <f>IF(Lab_Data[[#This Row],[PerformanceRating]]&gt;=3,"Approved","Review Required")</f>
        <v>Approved</v>
      </c>
    </row>
    <row r="51" spans="1:41"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t="str">
        <f>"LAB-"&amp;Lab_Data[[#This Row],[EmployeeNumber]]</f>
        <v>LAB-63</v>
      </c>
      <c r="AK51" t="str">
        <f>Lab_Data[[#This Row],[JobRole]]</f>
        <v>Laboratory Technician</v>
      </c>
      <c r="AL51" t="str">
        <f>Lab_Data[[#This Row],[Department]]</f>
        <v>Research &amp; Development</v>
      </c>
      <c r="AM51" t="str">
        <f>IF(Lab_Data[[#This Row],[Attrition]]="Yes","Failed","Completed")</f>
        <v>Completed</v>
      </c>
      <c r="AN51">
        <f>Lab_Data[[#This Row],[YearsAtCompany]]</f>
        <v>1</v>
      </c>
      <c r="AO51" t="str">
        <f>IF(Lab_Data[[#This Row],[PerformanceRating]]&gt;=3,"Approved","Review Required")</f>
        <v>Approved</v>
      </c>
    </row>
    <row r="52" spans="1:41"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t="str">
        <f>"LAB-"&amp;Lab_Data[[#This Row],[EmployeeNumber]]</f>
        <v>LAB-64</v>
      </c>
      <c r="AK52" t="str">
        <f>Lab_Data[[#This Row],[JobRole]]</f>
        <v>Laboratory Technician</v>
      </c>
      <c r="AL52" t="str">
        <f>Lab_Data[[#This Row],[Department]]</f>
        <v>Research &amp; Development</v>
      </c>
      <c r="AM52" t="str">
        <f>IF(Lab_Data[[#This Row],[Attrition]]="Yes","Failed","Completed")</f>
        <v>Failed</v>
      </c>
      <c r="AN52">
        <f>Lab_Data[[#This Row],[YearsAtCompany]]</f>
        <v>1</v>
      </c>
      <c r="AO52" t="str">
        <f>IF(Lab_Data[[#This Row],[PerformanceRating]]&gt;=3,"Approved","Review Required")</f>
        <v>Approved</v>
      </c>
    </row>
    <row r="53" spans="1:41"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t="str">
        <f>"LAB-"&amp;Lab_Data[[#This Row],[EmployeeNumber]]</f>
        <v>LAB-65</v>
      </c>
      <c r="AK53" t="str">
        <f>Lab_Data[[#This Row],[JobRole]]</f>
        <v>Laboratory Technician</v>
      </c>
      <c r="AL53" t="str">
        <f>Lab_Data[[#This Row],[Department]]</f>
        <v>Research &amp; Development</v>
      </c>
      <c r="AM53" t="str">
        <f>IF(Lab_Data[[#This Row],[Attrition]]="Yes","Failed","Completed")</f>
        <v>Failed</v>
      </c>
      <c r="AN53">
        <f>Lab_Data[[#This Row],[YearsAtCompany]]</f>
        <v>2</v>
      </c>
      <c r="AO53" t="str">
        <f>IF(Lab_Data[[#This Row],[PerformanceRating]]&gt;=3,"Approved","Review Required")</f>
        <v>Approved</v>
      </c>
    </row>
    <row r="54" spans="1:41"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t="str">
        <f>"LAB-"&amp;Lab_Data[[#This Row],[EmployeeNumber]]</f>
        <v>LAB-68</v>
      </c>
      <c r="AK54" t="str">
        <f>Lab_Data[[#This Row],[JobRole]]</f>
        <v>Sales Executive</v>
      </c>
      <c r="AL54" t="str">
        <f>Lab_Data[[#This Row],[Department]]</f>
        <v>Sales</v>
      </c>
      <c r="AM54" t="str">
        <f>IF(Lab_Data[[#This Row],[Attrition]]="Yes","Failed","Completed")</f>
        <v>Completed</v>
      </c>
      <c r="AN54">
        <f>Lab_Data[[#This Row],[YearsAtCompany]]</f>
        <v>4</v>
      </c>
      <c r="AO54" t="str">
        <f>IF(Lab_Data[[#This Row],[PerformanceRating]]&gt;=3,"Approved","Review Required")</f>
        <v>Approved</v>
      </c>
    </row>
    <row r="55" spans="1:41"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t="str">
        <f>"LAB-"&amp;Lab_Data[[#This Row],[EmployeeNumber]]</f>
        <v>LAB-70</v>
      </c>
      <c r="AK55" t="str">
        <f>Lab_Data[[#This Row],[JobRole]]</f>
        <v>Healthcare Representative</v>
      </c>
      <c r="AL55" t="str">
        <f>Lab_Data[[#This Row],[Department]]</f>
        <v>Research &amp; Development</v>
      </c>
      <c r="AM55" t="str">
        <f>IF(Lab_Data[[#This Row],[Attrition]]="Yes","Failed","Completed")</f>
        <v>Completed</v>
      </c>
      <c r="AN55">
        <f>Lab_Data[[#This Row],[YearsAtCompany]]</f>
        <v>4</v>
      </c>
      <c r="AO55" t="str">
        <f>IF(Lab_Data[[#This Row],[PerformanceRating]]&gt;=3,"Approved","Review Required")</f>
        <v>Approved</v>
      </c>
    </row>
    <row r="56" spans="1:41"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t="str">
        <f>"LAB-"&amp;Lab_Data[[#This Row],[EmployeeNumber]]</f>
        <v>LAB-72</v>
      </c>
      <c r="AK56" t="str">
        <f>Lab_Data[[#This Row],[JobRole]]</f>
        <v>Sales Executive</v>
      </c>
      <c r="AL56" t="str">
        <f>Lab_Data[[#This Row],[Department]]</f>
        <v>Sales</v>
      </c>
      <c r="AM56" t="str">
        <f>IF(Lab_Data[[#This Row],[Attrition]]="Yes","Failed","Completed")</f>
        <v>Completed</v>
      </c>
      <c r="AN56">
        <f>Lab_Data[[#This Row],[YearsAtCompany]]</f>
        <v>2</v>
      </c>
      <c r="AO56" t="str">
        <f>IF(Lab_Data[[#This Row],[PerformanceRating]]&gt;=3,"Approved","Review Required")</f>
        <v>Approved</v>
      </c>
    </row>
    <row r="57" spans="1:41"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t="str">
        <f>"LAB-"&amp;Lab_Data[[#This Row],[EmployeeNumber]]</f>
        <v>LAB-73</v>
      </c>
      <c r="AK57" t="str">
        <f>Lab_Data[[#This Row],[JobRole]]</f>
        <v>Research Director</v>
      </c>
      <c r="AL57" t="str">
        <f>Lab_Data[[#This Row],[Department]]</f>
        <v>Research &amp; Development</v>
      </c>
      <c r="AM57" t="str">
        <f>IF(Lab_Data[[#This Row],[Attrition]]="Yes","Failed","Completed")</f>
        <v>Completed</v>
      </c>
      <c r="AN57">
        <f>Lab_Data[[#This Row],[YearsAtCompany]]</f>
        <v>15</v>
      </c>
      <c r="AO57" t="str">
        <f>IF(Lab_Data[[#This Row],[PerformanceRating]]&gt;=3,"Approved","Review Required")</f>
        <v>Approved</v>
      </c>
    </row>
    <row r="58" spans="1:41"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t="str">
        <f>"LAB-"&amp;Lab_Data[[#This Row],[EmployeeNumber]]</f>
        <v>LAB-74</v>
      </c>
      <c r="AK58" t="str">
        <f>Lab_Data[[#This Row],[JobRole]]</f>
        <v>Sales Executive</v>
      </c>
      <c r="AL58" t="str">
        <f>Lab_Data[[#This Row],[Department]]</f>
        <v>Sales</v>
      </c>
      <c r="AM58" t="str">
        <f>IF(Lab_Data[[#This Row],[Attrition]]="Yes","Failed","Completed")</f>
        <v>Completed</v>
      </c>
      <c r="AN58">
        <f>Lab_Data[[#This Row],[YearsAtCompany]]</f>
        <v>9</v>
      </c>
      <c r="AO58" t="str">
        <f>IF(Lab_Data[[#This Row],[PerformanceRating]]&gt;=3,"Approved","Review Required")</f>
        <v>Approved</v>
      </c>
    </row>
    <row r="59" spans="1:41"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t="str">
        <f>"LAB-"&amp;Lab_Data[[#This Row],[EmployeeNumber]]</f>
        <v>LAB-75</v>
      </c>
      <c r="AK59" t="str">
        <f>Lab_Data[[#This Row],[JobRole]]</f>
        <v>Laboratory Technician</v>
      </c>
      <c r="AL59" t="str">
        <f>Lab_Data[[#This Row],[Department]]</f>
        <v>Research &amp; Development</v>
      </c>
      <c r="AM59" t="str">
        <f>IF(Lab_Data[[#This Row],[Attrition]]="Yes","Failed","Completed")</f>
        <v>Completed</v>
      </c>
      <c r="AN59">
        <f>Lab_Data[[#This Row],[YearsAtCompany]]</f>
        <v>2</v>
      </c>
      <c r="AO59" t="str">
        <f>IF(Lab_Data[[#This Row],[PerformanceRating]]&gt;=3,"Approved","Review Required")</f>
        <v>Approved</v>
      </c>
    </row>
    <row r="60" spans="1:41"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t="str">
        <f>"LAB-"&amp;Lab_Data[[#This Row],[EmployeeNumber]]</f>
        <v>LAB-76</v>
      </c>
      <c r="AK60" t="str">
        <f>Lab_Data[[#This Row],[JobRole]]</f>
        <v>Laboratory Technician</v>
      </c>
      <c r="AL60" t="str">
        <f>Lab_Data[[#This Row],[Department]]</f>
        <v>Research &amp; Development</v>
      </c>
      <c r="AM60" t="str">
        <f>IF(Lab_Data[[#This Row],[Attrition]]="Yes","Failed","Completed")</f>
        <v>Completed</v>
      </c>
      <c r="AN60">
        <f>Lab_Data[[#This Row],[YearsAtCompany]]</f>
        <v>7</v>
      </c>
      <c r="AO60" t="str">
        <f>IF(Lab_Data[[#This Row],[PerformanceRating]]&gt;=3,"Approved","Review Required")</f>
        <v>Approved</v>
      </c>
    </row>
    <row r="61" spans="1:41"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t="str">
        <f>"LAB-"&amp;Lab_Data[[#This Row],[EmployeeNumber]]</f>
        <v>LAB-77</v>
      </c>
      <c r="AK61" t="str">
        <f>Lab_Data[[#This Row],[JobRole]]</f>
        <v>Manufacturing Director</v>
      </c>
      <c r="AL61" t="str">
        <f>Lab_Data[[#This Row],[Department]]</f>
        <v>Research &amp; Development</v>
      </c>
      <c r="AM61" t="str">
        <f>IF(Lab_Data[[#This Row],[Attrition]]="Yes","Failed","Completed")</f>
        <v>Completed</v>
      </c>
      <c r="AN61">
        <f>Lab_Data[[#This Row],[YearsAtCompany]]</f>
        <v>7</v>
      </c>
      <c r="AO61" t="str">
        <f>IF(Lab_Data[[#This Row],[PerformanceRating]]&gt;=3,"Approved","Review Required")</f>
        <v>Approved</v>
      </c>
    </row>
    <row r="62" spans="1:41"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t="str">
        <f>"LAB-"&amp;Lab_Data[[#This Row],[EmployeeNumber]]</f>
        <v>LAB-78</v>
      </c>
      <c r="AK62" t="str">
        <f>Lab_Data[[#This Row],[JobRole]]</f>
        <v>Manufacturing Director</v>
      </c>
      <c r="AL62" t="str">
        <f>Lab_Data[[#This Row],[Department]]</f>
        <v>Research &amp; Development</v>
      </c>
      <c r="AM62" t="str">
        <f>IF(Lab_Data[[#This Row],[Attrition]]="Yes","Failed","Completed")</f>
        <v>Completed</v>
      </c>
      <c r="AN62">
        <f>Lab_Data[[#This Row],[YearsAtCompany]]</f>
        <v>9</v>
      </c>
      <c r="AO62" t="str">
        <f>IF(Lab_Data[[#This Row],[PerformanceRating]]&gt;=3,"Approved","Review Required")</f>
        <v>Approved</v>
      </c>
    </row>
    <row r="63" spans="1:41"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t="str">
        <f>"LAB-"&amp;Lab_Data[[#This Row],[EmployeeNumber]]</f>
        <v>LAB-79</v>
      </c>
      <c r="AK63" t="str">
        <f>Lab_Data[[#This Row],[JobRole]]</f>
        <v>Laboratory Technician</v>
      </c>
      <c r="AL63" t="str">
        <f>Lab_Data[[#This Row],[Department]]</f>
        <v>Research &amp; Development</v>
      </c>
      <c r="AM63" t="str">
        <f>IF(Lab_Data[[#This Row],[Attrition]]="Yes","Failed","Completed")</f>
        <v>Completed</v>
      </c>
      <c r="AN63">
        <f>Lab_Data[[#This Row],[YearsAtCompany]]</f>
        <v>10</v>
      </c>
      <c r="AO63" t="str">
        <f>IF(Lab_Data[[#This Row],[PerformanceRating]]&gt;=3,"Approved","Review Required")</f>
        <v>Approved</v>
      </c>
    </row>
    <row r="64" spans="1:41"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t="str">
        <f>"LAB-"&amp;Lab_Data[[#This Row],[EmployeeNumber]]</f>
        <v>LAB-80</v>
      </c>
      <c r="AK64" t="str">
        <f>Lab_Data[[#This Row],[JobRole]]</f>
        <v>Research Director</v>
      </c>
      <c r="AL64" t="str">
        <f>Lab_Data[[#This Row],[Department]]</f>
        <v>Research &amp; Development</v>
      </c>
      <c r="AM64" t="str">
        <f>IF(Lab_Data[[#This Row],[Attrition]]="Yes","Failed","Completed")</f>
        <v>Completed</v>
      </c>
      <c r="AN64">
        <f>Lab_Data[[#This Row],[YearsAtCompany]]</f>
        <v>27</v>
      </c>
      <c r="AO64" t="str">
        <f>IF(Lab_Data[[#This Row],[PerformanceRating]]&gt;=3,"Approved","Review Required")</f>
        <v>Approved</v>
      </c>
    </row>
    <row r="65" spans="1:41"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t="str">
        <f>"LAB-"&amp;Lab_Data[[#This Row],[EmployeeNumber]]</f>
        <v>LAB-81</v>
      </c>
      <c r="AK65" t="str">
        <f>Lab_Data[[#This Row],[JobRole]]</f>
        <v>Sales Executive</v>
      </c>
      <c r="AL65" t="str">
        <f>Lab_Data[[#This Row],[Department]]</f>
        <v>Sales</v>
      </c>
      <c r="AM65" t="str">
        <f>IF(Lab_Data[[#This Row],[Attrition]]="Yes","Failed","Completed")</f>
        <v>Completed</v>
      </c>
      <c r="AN65">
        <f>Lab_Data[[#This Row],[YearsAtCompany]]</f>
        <v>21</v>
      </c>
      <c r="AO65" t="str">
        <f>IF(Lab_Data[[#This Row],[PerformanceRating]]&gt;=3,"Approved","Review Required")</f>
        <v>Approved</v>
      </c>
    </row>
    <row r="66" spans="1:41"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t="str">
        <f>"LAB-"&amp;Lab_Data[[#This Row],[EmployeeNumber]]</f>
        <v>LAB-83</v>
      </c>
      <c r="AK66" t="str">
        <f>Lab_Data[[#This Row],[JobRole]]</f>
        <v>Healthcare Representative</v>
      </c>
      <c r="AL66" t="str">
        <f>Lab_Data[[#This Row],[Department]]</f>
        <v>Research &amp; Development</v>
      </c>
      <c r="AM66" t="str">
        <f>IF(Lab_Data[[#This Row],[Attrition]]="Yes","Failed","Completed")</f>
        <v>Completed</v>
      </c>
      <c r="AN66">
        <f>Lab_Data[[#This Row],[YearsAtCompany]]</f>
        <v>17</v>
      </c>
      <c r="AO66" t="str">
        <f>IF(Lab_Data[[#This Row],[PerformanceRating]]&gt;=3,"Approved","Review Required")</f>
        <v>Approved</v>
      </c>
    </row>
    <row r="67" spans="1:41"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t="str">
        <f>"LAB-"&amp;Lab_Data[[#This Row],[EmployeeNumber]]</f>
        <v>LAB-84</v>
      </c>
      <c r="AK67" t="str">
        <f>Lab_Data[[#This Row],[JobRole]]</f>
        <v>Manager</v>
      </c>
      <c r="AL67" t="str">
        <f>Lab_Data[[#This Row],[Department]]</f>
        <v>Research &amp; Development</v>
      </c>
      <c r="AM67" t="str">
        <f>IF(Lab_Data[[#This Row],[Attrition]]="Yes","Failed","Completed")</f>
        <v>Completed</v>
      </c>
      <c r="AN67">
        <f>Lab_Data[[#This Row],[YearsAtCompany]]</f>
        <v>5</v>
      </c>
      <c r="AO67" t="str">
        <f>IF(Lab_Data[[#This Row],[PerformanceRating]]&gt;=3,"Approved","Review Required")</f>
        <v>Approved</v>
      </c>
    </row>
    <row r="68" spans="1:41"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t="str">
        <f>"LAB-"&amp;Lab_Data[[#This Row],[EmployeeNumber]]</f>
        <v>LAB-85</v>
      </c>
      <c r="AK68" t="str">
        <f>Lab_Data[[#This Row],[JobRole]]</f>
        <v>Manufacturing Director</v>
      </c>
      <c r="AL68" t="str">
        <f>Lab_Data[[#This Row],[Department]]</f>
        <v>Research &amp; Development</v>
      </c>
      <c r="AM68" t="str">
        <f>IF(Lab_Data[[#This Row],[Attrition]]="Yes","Failed","Completed")</f>
        <v>Completed</v>
      </c>
      <c r="AN68">
        <f>Lab_Data[[#This Row],[YearsAtCompany]]</f>
        <v>6</v>
      </c>
      <c r="AO68" t="str">
        <f>IF(Lab_Data[[#This Row],[PerformanceRating]]&gt;=3,"Approved","Review Required")</f>
        <v>Approved</v>
      </c>
    </row>
    <row r="69" spans="1:41"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t="str">
        <f>"LAB-"&amp;Lab_Data[[#This Row],[EmployeeNumber]]</f>
        <v>LAB-86</v>
      </c>
      <c r="AK69" t="str">
        <f>Lab_Data[[#This Row],[JobRole]]</f>
        <v>Research Scientist</v>
      </c>
      <c r="AL69" t="str">
        <f>Lab_Data[[#This Row],[Department]]</f>
        <v>Research &amp; Development</v>
      </c>
      <c r="AM69" t="str">
        <f>IF(Lab_Data[[#This Row],[Attrition]]="Yes","Failed","Completed")</f>
        <v>Completed</v>
      </c>
      <c r="AN69">
        <f>Lab_Data[[#This Row],[YearsAtCompany]]</f>
        <v>1</v>
      </c>
      <c r="AO69" t="str">
        <f>IF(Lab_Data[[#This Row],[PerformanceRating]]&gt;=3,"Approved","Review Required")</f>
        <v>Approved</v>
      </c>
    </row>
    <row r="70" spans="1:41"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t="str">
        <f>"LAB-"&amp;Lab_Data[[#This Row],[EmployeeNumber]]</f>
        <v>LAB-88</v>
      </c>
      <c r="AK70" t="str">
        <f>Lab_Data[[#This Row],[JobRole]]</f>
        <v>Research Scientist</v>
      </c>
      <c r="AL70" t="str">
        <f>Lab_Data[[#This Row],[Department]]</f>
        <v>Research &amp; Development</v>
      </c>
      <c r="AM70" t="str">
        <f>IF(Lab_Data[[#This Row],[Attrition]]="Yes","Failed","Completed")</f>
        <v>Completed</v>
      </c>
      <c r="AN70">
        <f>Lab_Data[[#This Row],[YearsAtCompany]]</f>
        <v>3</v>
      </c>
      <c r="AO70" t="str">
        <f>IF(Lab_Data[[#This Row],[PerformanceRating]]&gt;=3,"Approved","Review Required")</f>
        <v>Approved</v>
      </c>
    </row>
    <row r="71" spans="1:41"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t="str">
        <f>"LAB-"&amp;Lab_Data[[#This Row],[EmployeeNumber]]</f>
        <v>LAB-90</v>
      </c>
      <c r="AK71" t="str">
        <f>Lab_Data[[#This Row],[JobRole]]</f>
        <v>Research Scientist</v>
      </c>
      <c r="AL71" t="str">
        <f>Lab_Data[[#This Row],[Department]]</f>
        <v>Research &amp; Development</v>
      </c>
      <c r="AM71" t="str">
        <f>IF(Lab_Data[[#This Row],[Attrition]]="Yes","Failed","Completed")</f>
        <v>Failed</v>
      </c>
      <c r="AN71">
        <f>Lab_Data[[#This Row],[YearsAtCompany]]</f>
        <v>1</v>
      </c>
      <c r="AO71" t="str">
        <f>IF(Lab_Data[[#This Row],[PerformanceRating]]&gt;=3,"Approved","Review Required")</f>
        <v>Approved</v>
      </c>
    </row>
    <row r="72" spans="1:41"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t="str">
        <f>"LAB-"&amp;Lab_Data[[#This Row],[EmployeeNumber]]</f>
        <v>LAB-91</v>
      </c>
      <c r="AK72" t="str">
        <f>Lab_Data[[#This Row],[JobRole]]</f>
        <v>Sales Executive</v>
      </c>
      <c r="AL72" t="str">
        <f>Lab_Data[[#This Row],[Department]]</f>
        <v>Sales</v>
      </c>
      <c r="AM72" t="str">
        <f>IF(Lab_Data[[#This Row],[Attrition]]="Yes","Failed","Completed")</f>
        <v>Completed</v>
      </c>
      <c r="AN72">
        <f>Lab_Data[[#This Row],[YearsAtCompany]]</f>
        <v>4</v>
      </c>
      <c r="AO72" t="str">
        <f>IF(Lab_Data[[#This Row],[PerformanceRating]]&gt;=3,"Approved","Review Required")</f>
        <v>Approved</v>
      </c>
    </row>
    <row r="73" spans="1:41"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t="str">
        <f>"LAB-"&amp;Lab_Data[[#This Row],[EmployeeNumber]]</f>
        <v>LAB-94</v>
      </c>
      <c r="AK73" t="str">
        <f>Lab_Data[[#This Row],[JobRole]]</f>
        <v>Research Scientist</v>
      </c>
      <c r="AL73" t="str">
        <f>Lab_Data[[#This Row],[Department]]</f>
        <v>Research &amp; Development</v>
      </c>
      <c r="AM73" t="str">
        <f>IF(Lab_Data[[#This Row],[Attrition]]="Yes","Failed","Completed")</f>
        <v>Completed</v>
      </c>
      <c r="AN73">
        <f>Lab_Data[[#This Row],[YearsAtCompany]]</f>
        <v>5</v>
      </c>
      <c r="AO73" t="str">
        <f>IF(Lab_Data[[#This Row],[PerformanceRating]]&gt;=3,"Approved","Review Required")</f>
        <v>Approved</v>
      </c>
    </row>
    <row r="74" spans="1:41"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t="str">
        <f>"LAB-"&amp;Lab_Data[[#This Row],[EmployeeNumber]]</f>
        <v>LAB-95</v>
      </c>
      <c r="AK74" t="str">
        <f>Lab_Data[[#This Row],[JobRole]]</f>
        <v>Research Scientist</v>
      </c>
      <c r="AL74" t="str">
        <f>Lab_Data[[#This Row],[Department]]</f>
        <v>Research &amp; Development</v>
      </c>
      <c r="AM74" t="str">
        <f>IF(Lab_Data[[#This Row],[Attrition]]="Yes","Failed","Completed")</f>
        <v>Completed</v>
      </c>
      <c r="AN74">
        <f>Lab_Data[[#This Row],[YearsAtCompany]]</f>
        <v>1</v>
      </c>
      <c r="AO74" t="str">
        <f>IF(Lab_Data[[#This Row],[PerformanceRating]]&gt;=3,"Approved","Review Required")</f>
        <v>Approved</v>
      </c>
    </row>
    <row r="75" spans="1:41"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t="str">
        <f>"LAB-"&amp;Lab_Data[[#This Row],[EmployeeNumber]]</f>
        <v>LAB-96</v>
      </c>
      <c r="AK75" t="str">
        <f>Lab_Data[[#This Row],[JobRole]]</f>
        <v>Research Scientist</v>
      </c>
      <c r="AL75" t="str">
        <f>Lab_Data[[#This Row],[Department]]</f>
        <v>Research &amp; Development</v>
      </c>
      <c r="AM75" t="str">
        <f>IF(Lab_Data[[#This Row],[Attrition]]="Yes","Failed","Completed")</f>
        <v>Completed</v>
      </c>
      <c r="AN75">
        <f>Lab_Data[[#This Row],[YearsAtCompany]]</f>
        <v>10</v>
      </c>
      <c r="AO75" t="str">
        <f>IF(Lab_Data[[#This Row],[PerformanceRating]]&gt;=3,"Approved","Review Required")</f>
        <v>Approved</v>
      </c>
    </row>
    <row r="76" spans="1:41"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t="str">
        <f>"LAB-"&amp;Lab_Data[[#This Row],[EmployeeNumber]]</f>
        <v>LAB-97</v>
      </c>
      <c r="AK76" t="str">
        <f>Lab_Data[[#This Row],[JobRole]]</f>
        <v>Laboratory Technician</v>
      </c>
      <c r="AL76" t="str">
        <f>Lab_Data[[#This Row],[Department]]</f>
        <v>Research &amp; Development</v>
      </c>
      <c r="AM76" t="str">
        <f>IF(Lab_Data[[#This Row],[Attrition]]="Yes","Failed","Completed")</f>
        <v>Completed</v>
      </c>
      <c r="AN76">
        <f>Lab_Data[[#This Row],[YearsAtCompany]]</f>
        <v>1</v>
      </c>
      <c r="AO76" t="str">
        <f>IF(Lab_Data[[#This Row],[PerformanceRating]]&gt;=3,"Approved","Review Required")</f>
        <v>Approved</v>
      </c>
    </row>
    <row r="77" spans="1:41"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t="str">
        <f>"LAB-"&amp;Lab_Data[[#This Row],[EmployeeNumber]]</f>
        <v>LAB-98</v>
      </c>
      <c r="AK77" t="str">
        <f>Lab_Data[[#This Row],[JobRole]]</f>
        <v>Manufacturing Director</v>
      </c>
      <c r="AL77" t="str">
        <f>Lab_Data[[#This Row],[Department]]</f>
        <v>Research &amp; Development</v>
      </c>
      <c r="AM77" t="str">
        <f>IF(Lab_Data[[#This Row],[Attrition]]="Yes","Failed","Completed")</f>
        <v>Completed</v>
      </c>
      <c r="AN77">
        <f>Lab_Data[[#This Row],[YearsAtCompany]]</f>
        <v>11</v>
      </c>
      <c r="AO77" t="str">
        <f>IF(Lab_Data[[#This Row],[PerformanceRating]]&gt;=3,"Approved","Review Required")</f>
        <v>Approved</v>
      </c>
    </row>
    <row r="78" spans="1:41"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t="str">
        <f>"LAB-"&amp;Lab_Data[[#This Row],[EmployeeNumber]]</f>
        <v>LAB-100</v>
      </c>
      <c r="AK78" t="str">
        <f>Lab_Data[[#This Row],[JobRole]]</f>
        <v>Sales Executive</v>
      </c>
      <c r="AL78" t="str">
        <f>Lab_Data[[#This Row],[Department]]</f>
        <v>Sales</v>
      </c>
      <c r="AM78" t="str">
        <f>IF(Lab_Data[[#This Row],[Attrition]]="Yes","Failed","Completed")</f>
        <v>Completed</v>
      </c>
      <c r="AN78">
        <f>Lab_Data[[#This Row],[YearsAtCompany]]</f>
        <v>15</v>
      </c>
      <c r="AO78" t="str">
        <f>IF(Lab_Data[[#This Row],[PerformanceRating]]&gt;=3,"Approved","Review Required")</f>
        <v>Approved</v>
      </c>
    </row>
    <row r="79" spans="1:41"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t="str">
        <f>"LAB-"&amp;Lab_Data[[#This Row],[EmployeeNumber]]</f>
        <v>LAB-101</v>
      </c>
      <c r="AK79" t="str">
        <f>Lab_Data[[#This Row],[JobRole]]</f>
        <v>Research Director</v>
      </c>
      <c r="AL79" t="str">
        <f>Lab_Data[[#This Row],[Department]]</f>
        <v>Research &amp; Development</v>
      </c>
      <c r="AM79" t="str">
        <f>IF(Lab_Data[[#This Row],[Attrition]]="Yes","Failed","Completed")</f>
        <v>Completed</v>
      </c>
      <c r="AN79">
        <f>Lab_Data[[#This Row],[YearsAtCompany]]</f>
        <v>0</v>
      </c>
      <c r="AO79" t="str">
        <f>IF(Lab_Data[[#This Row],[PerformanceRating]]&gt;=3,"Approved","Review Required")</f>
        <v>Approved</v>
      </c>
    </row>
    <row r="80" spans="1:41"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t="str">
        <f>"LAB-"&amp;Lab_Data[[#This Row],[EmployeeNumber]]</f>
        <v>LAB-102</v>
      </c>
      <c r="AK80" t="str">
        <f>Lab_Data[[#This Row],[JobRole]]</f>
        <v>Research Director</v>
      </c>
      <c r="AL80" t="str">
        <f>Lab_Data[[#This Row],[Department]]</f>
        <v>Research &amp; Development</v>
      </c>
      <c r="AM80" t="str">
        <f>IF(Lab_Data[[#This Row],[Attrition]]="Yes","Failed","Completed")</f>
        <v>Completed</v>
      </c>
      <c r="AN80">
        <f>Lab_Data[[#This Row],[YearsAtCompany]]</f>
        <v>5</v>
      </c>
      <c r="AO80" t="str">
        <f>IF(Lab_Data[[#This Row],[PerformanceRating]]&gt;=3,"Approved","Review Required")</f>
        <v>Approved</v>
      </c>
    </row>
    <row r="81" spans="1:41"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t="str">
        <f>"LAB-"&amp;Lab_Data[[#This Row],[EmployeeNumber]]</f>
        <v>LAB-103</v>
      </c>
      <c r="AK81" t="str">
        <f>Lab_Data[[#This Row],[JobRole]]</f>
        <v>Human Resources</v>
      </c>
      <c r="AL81" t="str">
        <f>Lab_Data[[#This Row],[Department]]</f>
        <v>Human Resources</v>
      </c>
      <c r="AM81" t="str">
        <f>IF(Lab_Data[[#This Row],[Attrition]]="Yes","Failed","Completed")</f>
        <v>Completed</v>
      </c>
      <c r="AN81">
        <f>Lab_Data[[#This Row],[YearsAtCompany]]</f>
        <v>4</v>
      </c>
      <c r="AO81" t="str">
        <f>IF(Lab_Data[[#This Row],[PerformanceRating]]&gt;=3,"Approved","Review Required")</f>
        <v>Approved</v>
      </c>
    </row>
    <row r="82" spans="1:41"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t="str">
        <f>"LAB-"&amp;Lab_Data[[#This Row],[EmployeeNumber]]</f>
        <v>LAB-104</v>
      </c>
      <c r="AK82" t="str">
        <f>Lab_Data[[#This Row],[JobRole]]</f>
        <v>Laboratory Technician</v>
      </c>
      <c r="AL82" t="str">
        <f>Lab_Data[[#This Row],[Department]]</f>
        <v>Research &amp; Development</v>
      </c>
      <c r="AM82" t="str">
        <f>IF(Lab_Data[[#This Row],[Attrition]]="Yes","Failed","Completed")</f>
        <v>Completed</v>
      </c>
      <c r="AN82">
        <f>Lab_Data[[#This Row],[YearsAtCompany]]</f>
        <v>10</v>
      </c>
      <c r="AO82" t="str">
        <f>IF(Lab_Data[[#This Row],[PerformanceRating]]&gt;=3,"Approved","Review Required")</f>
        <v>Approved</v>
      </c>
    </row>
    <row r="83" spans="1:41"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t="str">
        <f>"LAB-"&amp;Lab_Data[[#This Row],[EmployeeNumber]]</f>
        <v>LAB-105</v>
      </c>
      <c r="AK83" t="str">
        <f>Lab_Data[[#This Row],[JobRole]]</f>
        <v>Research Scientist</v>
      </c>
      <c r="AL83" t="str">
        <f>Lab_Data[[#This Row],[Department]]</f>
        <v>Research &amp; Development</v>
      </c>
      <c r="AM83" t="str">
        <f>IF(Lab_Data[[#This Row],[Attrition]]="Yes","Failed","Completed")</f>
        <v>Completed</v>
      </c>
      <c r="AN83">
        <f>Lab_Data[[#This Row],[YearsAtCompany]]</f>
        <v>6</v>
      </c>
      <c r="AO83" t="str">
        <f>IF(Lab_Data[[#This Row],[PerformanceRating]]&gt;=3,"Approved","Review Required")</f>
        <v>Approved</v>
      </c>
    </row>
    <row r="84" spans="1:41"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t="str">
        <f>"LAB-"&amp;Lab_Data[[#This Row],[EmployeeNumber]]</f>
        <v>LAB-106</v>
      </c>
      <c r="AK84" t="str">
        <f>Lab_Data[[#This Row],[JobRole]]</f>
        <v>Sales Executive</v>
      </c>
      <c r="AL84" t="str">
        <f>Lab_Data[[#This Row],[Department]]</f>
        <v>Sales</v>
      </c>
      <c r="AM84" t="str">
        <f>IF(Lab_Data[[#This Row],[Attrition]]="Yes","Failed","Completed")</f>
        <v>Completed</v>
      </c>
      <c r="AN84">
        <f>Lab_Data[[#This Row],[YearsAtCompany]]</f>
        <v>1</v>
      </c>
      <c r="AO84" t="str">
        <f>IF(Lab_Data[[#This Row],[PerformanceRating]]&gt;=3,"Approved","Review Required")</f>
        <v>Approved</v>
      </c>
    </row>
    <row r="85" spans="1:41"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t="str">
        <f>"LAB-"&amp;Lab_Data[[#This Row],[EmployeeNumber]]</f>
        <v>LAB-107</v>
      </c>
      <c r="AK85" t="str">
        <f>Lab_Data[[#This Row],[JobRole]]</f>
        <v>Research Scientist</v>
      </c>
      <c r="AL85" t="str">
        <f>Lab_Data[[#This Row],[Department]]</f>
        <v>Research &amp; Development</v>
      </c>
      <c r="AM85" t="str">
        <f>IF(Lab_Data[[#This Row],[Attrition]]="Yes","Failed","Completed")</f>
        <v>Completed</v>
      </c>
      <c r="AN85">
        <f>Lab_Data[[#This Row],[YearsAtCompany]]</f>
        <v>13</v>
      </c>
      <c r="AO85" t="str">
        <f>IF(Lab_Data[[#This Row],[PerformanceRating]]&gt;=3,"Approved","Review Required")</f>
        <v>Approved</v>
      </c>
    </row>
    <row r="86" spans="1:41"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t="str">
        <f>"LAB-"&amp;Lab_Data[[#This Row],[EmployeeNumber]]</f>
        <v>LAB-110</v>
      </c>
      <c r="AK86" t="str">
        <f>Lab_Data[[#This Row],[JobRole]]</f>
        <v>Manufacturing Director</v>
      </c>
      <c r="AL86" t="str">
        <f>Lab_Data[[#This Row],[Department]]</f>
        <v>Research &amp; Development</v>
      </c>
      <c r="AM86" t="str">
        <f>IF(Lab_Data[[#This Row],[Attrition]]="Yes","Failed","Completed")</f>
        <v>Completed</v>
      </c>
      <c r="AN86">
        <f>Lab_Data[[#This Row],[YearsAtCompany]]</f>
        <v>5</v>
      </c>
      <c r="AO86" t="str">
        <f>IF(Lab_Data[[#This Row],[PerformanceRating]]&gt;=3,"Approved","Review Required")</f>
        <v>Approved</v>
      </c>
    </row>
    <row r="87" spans="1:41"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t="str">
        <f>"LAB-"&amp;Lab_Data[[#This Row],[EmployeeNumber]]</f>
        <v>LAB-112</v>
      </c>
      <c r="AK87" t="str">
        <f>Lab_Data[[#This Row],[JobRole]]</f>
        <v>Manufacturing Director</v>
      </c>
      <c r="AL87" t="str">
        <f>Lab_Data[[#This Row],[Department]]</f>
        <v>Research &amp; Development</v>
      </c>
      <c r="AM87" t="str">
        <f>IF(Lab_Data[[#This Row],[Attrition]]="Yes","Failed","Completed")</f>
        <v>Completed</v>
      </c>
      <c r="AN87">
        <f>Lab_Data[[#This Row],[YearsAtCompany]]</f>
        <v>6</v>
      </c>
      <c r="AO87" t="str">
        <f>IF(Lab_Data[[#This Row],[PerformanceRating]]&gt;=3,"Approved","Review Required")</f>
        <v>Approved</v>
      </c>
    </row>
    <row r="88" spans="1:41"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t="str">
        <f>"LAB-"&amp;Lab_Data[[#This Row],[EmployeeNumber]]</f>
        <v>LAB-113</v>
      </c>
      <c r="AK88" t="str">
        <f>Lab_Data[[#This Row],[JobRole]]</f>
        <v>Sales Representative</v>
      </c>
      <c r="AL88" t="str">
        <f>Lab_Data[[#This Row],[Department]]</f>
        <v>Sales</v>
      </c>
      <c r="AM88" t="str">
        <f>IF(Lab_Data[[#This Row],[Attrition]]="Yes","Failed","Completed")</f>
        <v>Completed</v>
      </c>
      <c r="AN88">
        <f>Lab_Data[[#This Row],[YearsAtCompany]]</f>
        <v>0</v>
      </c>
      <c r="AO88" t="str">
        <f>IF(Lab_Data[[#This Row],[PerformanceRating]]&gt;=3,"Approved","Review Required")</f>
        <v>Approved</v>
      </c>
    </row>
    <row r="89" spans="1:41"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t="str">
        <f>"LAB-"&amp;Lab_Data[[#This Row],[EmployeeNumber]]</f>
        <v>LAB-116</v>
      </c>
      <c r="AK89" t="str">
        <f>Lab_Data[[#This Row],[JobRole]]</f>
        <v>Laboratory Technician</v>
      </c>
      <c r="AL89" t="str">
        <f>Lab_Data[[#This Row],[Department]]</f>
        <v>Research &amp; Development</v>
      </c>
      <c r="AM89" t="str">
        <f>IF(Lab_Data[[#This Row],[Attrition]]="Yes","Failed","Completed")</f>
        <v>Completed</v>
      </c>
      <c r="AN89">
        <f>Lab_Data[[#This Row],[YearsAtCompany]]</f>
        <v>4</v>
      </c>
      <c r="AO89" t="str">
        <f>IF(Lab_Data[[#This Row],[PerformanceRating]]&gt;=3,"Approved","Review Required")</f>
        <v>Approved</v>
      </c>
    </row>
    <row r="90" spans="1:41"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t="str">
        <f>"LAB-"&amp;Lab_Data[[#This Row],[EmployeeNumber]]</f>
        <v>LAB-117</v>
      </c>
      <c r="AK90" t="str">
        <f>Lab_Data[[#This Row],[JobRole]]</f>
        <v>Healthcare Representative</v>
      </c>
      <c r="AL90" t="str">
        <f>Lab_Data[[#This Row],[Department]]</f>
        <v>Research &amp; Development</v>
      </c>
      <c r="AM90" t="str">
        <f>IF(Lab_Data[[#This Row],[Attrition]]="Yes","Failed","Completed")</f>
        <v>Completed</v>
      </c>
      <c r="AN90">
        <f>Lab_Data[[#This Row],[YearsAtCompany]]</f>
        <v>11</v>
      </c>
      <c r="AO90" t="str">
        <f>IF(Lab_Data[[#This Row],[PerformanceRating]]&gt;=3,"Approved","Review Required")</f>
        <v>Approved</v>
      </c>
    </row>
    <row r="91" spans="1:41"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t="str">
        <f>"LAB-"&amp;Lab_Data[[#This Row],[EmployeeNumber]]</f>
        <v>LAB-118</v>
      </c>
      <c r="AK91" t="str">
        <f>Lab_Data[[#This Row],[JobRole]]</f>
        <v>Sales Executive</v>
      </c>
      <c r="AL91" t="str">
        <f>Lab_Data[[#This Row],[Department]]</f>
        <v>Sales</v>
      </c>
      <c r="AM91" t="str">
        <f>IF(Lab_Data[[#This Row],[Attrition]]="Yes","Failed","Completed")</f>
        <v>Failed</v>
      </c>
      <c r="AN91">
        <f>Lab_Data[[#This Row],[YearsAtCompany]]</f>
        <v>9</v>
      </c>
      <c r="AO91" t="str">
        <f>IF(Lab_Data[[#This Row],[PerformanceRating]]&gt;=3,"Approved","Review Required")</f>
        <v>Approved</v>
      </c>
    </row>
    <row r="92" spans="1:41"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t="str">
        <f>"LAB-"&amp;Lab_Data[[#This Row],[EmployeeNumber]]</f>
        <v>LAB-119</v>
      </c>
      <c r="AK92" t="str">
        <f>Lab_Data[[#This Row],[JobRole]]</f>
        <v>Healthcare Representative</v>
      </c>
      <c r="AL92" t="str">
        <f>Lab_Data[[#This Row],[Department]]</f>
        <v>Research &amp; Development</v>
      </c>
      <c r="AM92" t="str">
        <f>IF(Lab_Data[[#This Row],[Attrition]]="Yes","Failed","Completed")</f>
        <v>Completed</v>
      </c>
      <c r="AN92">
        <f>Lab_Data[[#This Row],[YearsAtCompany]]</f>
        <v>22</v>
      </c>
      <c r="AO92" t="str">
        <f>IF(Lab_Data[[#This Row],[PerformanceRating]]&gt;=3,"Approved","Review Required")</f>
        <v>Approved</v>
      </c>
    </row>
    <row r="93" spans="1:41"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t="str">
        <f>"LAB-"&amp;Lab_Data[[#This Row],[EmployeeNumber]]</f>
        <v>LAB-120</v>
      </c>
      <c r="AK93" t="str">
        <f>Lab_Data[[#This Row],[JobRole]]</f>
        <v>Sales Executive</v>
      </c>
      <c r="AL93" t="str">
        <f>Lab_Data[[#This Row],[Department]]</f>
        <v>Sales</v>
      </c>
      <c r="AM93" t="str">
        <f>IF(Lab_Data[[#This Row],[Attrition]]="Yes","Failed","Completed")</f>
        <v>Completed</v>
      </c>
      <c r="AN93">
        <f>Lab_Data[[#This Row],[YearsAtCompany]]</f>
        <v>10</v>
      </c>
      <c r="AO93" t="str">
        <f>IF(Lab_Data[[#This Row],[PerformanceRating]]&gt;=3,"Approved","Review Required")</f>
        <v>Approved</v>
      </c>
    </row>
    <row r="94" spans="1:41"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t="str">
        <f>"LAB-"&amp;Lab_Data[[#This Row],[EmployeeNumber]]</f>
        <v>LAB-121</v>
      </c>
      <c r="AK94" t="str">
        <f>Lab_Data[[#This Row],[JobRole]]</f>
        <v>Sales Executive</v>
      </c>
      <c r="AL94" t="str">
        <f>Lab_Data[[#This Row],[Department]]</f>
        <v>Sales</v>
      </c>
      <c r="AM94" t="str">
        <f>IF(Lab_Data[[#This Row],[Attrition]]="Yes","Failed","Completed")</f>
        <v>Completed</v>
      </c>
      <c r="AN94">
        <f>Lab_Data[[#This Row],[YearsAtCompany]]</f>
        <v>11</v>
      </c>
      <c r="AO94" t="str">
        <f>IF(Lab_Data[[#This Row],[PerformanceRating]]&gt;=3,"Approved","Review Required")</f>
        <v>Approved</v>
      </c>
    </row>
    <row r="95" spans="1:41"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t="str">
        <f>"LAB-"&amp;Lab_Data[[#This Row],[EmployeeNumber]]</f>
        <v>LAB-124</v>
      </c>
      <c r="AK95" t="str">
        <f>Lab_Data[[#This Row],[JobRole]]</f>
        <v>Healthcare Representative</v>
      </c>
      <c r="AL95" t="str">
        <f>Lab_Data[[#This Row],[Department]]</f>
        <v>Research &amp; Development</v>
      </c>
      <c r="AM95" t="str">
        <f>IF(Lab_Data[[#This Row],[Attrition]]="Yes","Failed","Completed")</f>
        <v>Completed</v>
      </c>
      <c r="AN95">
        <f>Lab_Data[[#This Row],[YearsAtCompany]]</f>
        <v>10</v>
      </c>
      <c r="AO95" t="str">
        <f>IF(Lab_Data[[#This Row],[PerformanceRating]]&gt;=3,"Approved","Review Required")</f>
        <v>Approved</v>
      </c>
    </row>
    <row r="96" spans="1:41"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t="str">
        <f>"LAB-"&amp;Lab_Data[[#This Row],[EmployeeNumber]]</f>
        <v>LAB-125</v>
      </c>
      <c r="AK96" t="str">
        <f>Lab_Data[[#This Row],[JobRole]]</f>
        <v>Sales Executive</v>
      </c>
      <c r="AL96" t="str">
        <f>Lab_Data[[#This Row],[Department]]</f>
        <v>Sales</v>
      </c>
      <c r="AM96" t="str">
        <f>IF(Lab_Data[[#This Row],[Attrition]]="Yes","Failed","Completed")</f>
        <v>Completed</v>
      </c>
      <c r="AN96">
        <f>Lab_Data[[#This Row],[YearsAtCompany]]</f>
        <v>11</v>
      </c>
      <c r="AO96" t="str">
        <f>IF(Lab_Data[[#This Row],[PerformanceRating]]&gt;=3,"Approved","Review Required")</f>
        <v>Approved</v>
      </c>
    </row>
    <row r="97" spans="1:41"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t="str">
        <f>"LAB-"&amp;Lab_Data[[#This Row],[EmployeeNumber]]</f>
        <v>LAB-126</v>
      </c>
      <c r="AK97" t="str">
        <f>Lab_Data[[#This Row],[JobRole]]</f>
        <v>Research Director</v>
      </c>
      <c r="AL97" t="str">
        <f>Lab_Data[[#This Row],[Department]]</f>
        <v>Research &amp; Development</v>
      </c>
      <c r="AM97" t="str">
        <f>IF(Lab_Data[[#This Row],[Attrition]]="Yes","Failed","Completed")</f>
        <v>Completed</v>
      </c>
      <c r="AN97">
        <f>Lab_Data[[#This Row],[YearsAtCompany]]</f>
        <v>4</v>
      </c>
      <c r="AO97" t="str">
        <f>IF(Lab_Data[[#This Row],[PerformanceRating]]&gt;=3,"Approved","Review Required")</f>
        <v>Approved</v>
      </c>
    </row>
    <row r="98" spans="1:41"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t="str">
        <f>"LAB-"&amp;Lab_Data[[#This Row],[EmployeeNumber]]</f>
        <v>LAB-128</v>
      </c>
      <c r="AK98" t="str">
        <f>Lab_Data[[#This Row],[JobRole]]</f>
        <v>Sales Executive</v>
      </c>
      <c r="AL98" t="str">
        <f>Lab_Data[[#This Row],[Department]]</f>
        <v>Sales</v>
      </c>
      <c r="AM98" t="str">
        <f>IF(Lab_Data[[#This Row],[Attrition]]="Yes","Failed","Completed")</f>
        <v>Completed</v>
      </c>
      <c r="AN98">
        <f>Lab_Data[[#This Row],[YearsAtCompany]]</f>
        <v>3</v>
      </c>
      <c r="AO98" t="str">
        <f>IF(Lab_Data[[#This Row],[PerformanceRating]]&gt;=3,"Approved","Review Required")</f>
        <v>Approved</v>
      </c>
    </row>
    <row r="99" spans="1:41"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t="str">
        <f>"LAB-"&amp;Lab_Data[[#This Row],[EmployeeNumber]]</f>
        <v>LAB-129</v>
      </c>
      <c r="AK99" t="str">
        <f>Lab_Data[[#This Row],[JobRole]]</f>
        <v>Sales Executive</v>
      </c>
      <c r="AL99" t="str">
        <f>Lab_Data[[#This Row],[Department]]</f>
        <v>Sales</v>
      </c>
      <c r="AM99" t="str">
        <f>IF(Lab_Data[[#This Row],[Attrition]]="Yes","Failed","Completed")</f>
        <v>Completed</v>
      </c>
      <c r="AN99">
        <f>Lab_Data[[#This Row],[YearsAtCompany]]</f>
        <v>5</v>
      </c>
      <c r="AO99" t="str">
        <f>IF(Lab_Data[[#This Row],[PerformanceRating]]&gt;=3,"Approved","Review Required")</f>
        <v>Approved</v>
      </c>
    </row>
    <row r="100" spans="1:41"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t="str">
        <f>"LAB-"&amp;Lab_Data[[#This Row],[EmployeeNumber]]</f>
        <v>LAB-131</v>
      </c>
      <c r="AK100" t="str">
        <f>Lab_Data[[#This Row],[JobRole]]</f>
        <v>Sales Executive</v>
      </c>
      <c r="AL100" t="str">
        <f>Lab_Data[[#This Row],[Department]]</f>
        <v>Sales</v>
      </c>
      <c r="AM100" t="str">
        <f>IF(Lab_Data[[#This Row],[Attrition]]="Yes","Failed","Completed")</f>
        <v>Completed</v>
      </c>
      <c r="AN100">
        <f>Lab_Data[[#This Row],[YearsAtCompany]]</f>
        <v>37</v>
      </c>
      <c r="AO100" t="str">
        <f>IF(Lab_Data[[#This Row],[PerformanceRating]]&gt;=3,"Approved","Review Required")</f>
        <v>Approved</v>
      </c>
    </row>
    <row r="101" spans="1:41"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t="str">
        <f>"LAB-"&amp;Lab_Data[[#This Row],[EmployeeNumber]]</f>
        <v>LAB-132</v>
      </c>
      <c r="AK101" t="str">
        <f>Lab_Data[[#This Row],[JobRole]]</f>
        <v>Laboratory Technician</v>
      </c>
      <c r="AL101" t="str">
        <f>Lab_Data[[#This Row],[Department]]</f>
        <v>Research &amp; Development</v>
      </c>
      <c r="AM101" t="str">
        <f>IF(Lab_Data[[#This Row],[Attrition]]="Yes","Failed","Completed")</f>
        <v>Completed</v>
      </c>
      <c r="AN101">
        <f>Lab_Data[[#This Row],[YearsAtCompany]]</f>
        <v>3</v>
      </c>
      <c r="AO101" t="str">
        <f>IF(Lab_Data[[#This Row],[PerformanceRating]]&gt;=3,"Approved","Review Required")</f>
        <v>Approved</v>
      </c>
    </row>
    <row r="102" spans="1:41"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t="str">
        <f>"LAB-"&amp;Lab_Data[[#This Row],[EmployeeNumber]]</f>
        <v>LAB-133</v>
      </c>
      <c r="AK102" t="str">
        <f>Lab_Data[[#This Row],[JobRole]]</f>
        <v>Human Resources</v>
      </c>
      <c r="AL102" t="str">
        <f>Lab_Data[[#This Row],[Department]]</f>
        <v>Human Resources</v>
      </c>
      <c r="AM102" t="str">
        <f>IF(Lab_Data[[#This Row],[Attrition]]="Yes","Failed","Completed")</f>
        <v>Failed</v>
      </c>
      <c r="AN102">
        <f>Lab_Data[[#This Row],[YearsAtCompany]]</f>
        <v>3</v>
      </c>
      <c r="AO102" t="str">
        <f>IF(Lab_Data[[#This Row],[PerformanceRating]]&gt;=3,"Approved","Review Required")</f>
        <v>Approved</v>
      </c>
    </row>
    <row r="103" spans="1:41"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t="str">
        <f>"LAB-"&amp;Lab_Data[[#This Row],[EmployeeNumber]]</f>
        <v>LAB-134</v>
      </c>
      <c r="AK103" t="str">
        <f>Lab_Data[[#This Row],[JobRole]]</f>
        <v>Research Scientist</v>
      </c>
      <c r="AL103" t="str">
        <f>Lab_Data[[#This Row],[Department]]</f>
        <v>Research &amp; Development</v>
      </c>
      <c r="AM103" t="str">
        <f>IF(Lab_Data[[#This Row],[Attrition]]="Yes","Failed","Completed")</f>
        <v>Completed</v>
      </c>
      <c r="AN103">
        <f>Lab_Data[[#This Row],[YearsAtCompany]]</f>
        <v>1</v>
      </c>
      <c r="AO103" t="str">
        <f>IF(Lab_Data[[#This Row],[PerformanceRating]]&gt;=3,"Approved","Review Required")</f>
        <v>Approved</v>
      </c>
    </row>
    <row r="104" spans="1:41"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t="str">
        <f>"LAB-"&amp;Lab_Data[[#This Row],[EmployeeNumber]]</f>
        <v>LAB-137</v>
      </c>
      <c r="AK104" t="str">
        <f>Lab_Data[[#This Row],[JobRole]]</f>
        <v>Laboratory Technician</v>
      </c>
      <c r="AL104" t="str">
        <f>Lab_Data[[#This Row],[Department]]</f>
        <v>Research &amp; Development</v>
      </c>
      <c r="AM104" t="str">
        <f>IF(Lab_Data[[#This Row],[Attrition]]="Yes","Failed","Completed")</f>
        <v>Failed</v>
      </c>
      <c r="AN104">
        <f>Lab_Data[[#This Row],[YearsAtCompany]]</f>
        <v>1</v>
      </c>
      <c r="AO104" t="str">
        <f>IF(Lab_Data[[#This Row],[PerformanceRating]]&gt;=3,"Approved","Review Required")</f>
        <v>Approved</v>
      </c>
    </row>
    <row r="105" spans="1:41"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t="str">
        <f>"LAB-"&amp;Lab_Data[[#This Row],[EmployeeNumber]]</f>
        <v>LAB-138</v>
      </c>
      <c r="AK105" t="str">
        <f>Lab_Data[[#This Row],[JobRole]]</f>
        <v>Research Scientist</v>
      </c>
      <c r="AL105" t="str">
        <f>Lab_Data[[#This Row],[Department]]</f>
        <v>Research &amp; Development</v>
      </c>
      <c r="AM105" t="str">
        <f>IF(Lab_Data[[#This Row],[Attrition]]="Yes","Failed","Completed")</f>
        <v>Completed</v>
      </c>
      <c r="AN105">
        <f>Lab_Data[[#This Row],[YearsAtCompany]]</f>
        <v>16</v>
      </c>
      <c r="AO105" t="str">
        <f>IF(Lab_Data[[#This Row],[PerformanceRating]]&gt;=3,"Approved","Review Required")</f>
        <v>Approved</v>
      </c>
    </row>
    <row r="106" spans="1:41"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t="str">
        <f>"LAB-"&amp;Lab_Data[[#This Row],[EmployeeNumber]]</f>
        <v>LAB-139</v>
      </c>
      <c r="AK106" t="str">
        <f>Lab_Data[[#This Row],[JobRole]]</f>
        <v>Healthcare Representative</v>
      </c>
      <c r="AL106" t="str">
        <f>Lab_Data[[#This Row],[Department]]</f>
        <v>Research &amp; Development</v>
      </c>
      <c r="AM106" t="str">
        <f>IF(Lab_Data[[#This Row],[Attrition]]="Yes","Failed","Completed")</f>
        <v>Completed</v>
      </c>
      <c r="AN106">
        <f>Lab_Data[[#This Row],[YearsAtCompany]]</f>
        <v>1</v>
      </c>
      <c r="AO106" t="str">
        <f>IF(Lab_Data[[#This Row],[PerformanceRating]]&gt;=3,"Approved","Review Required")</f>
        <v>Approved</v>
      </c>
    </row>
    <row r="107" spans="1:41"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t="str">
        <f>"LAB-"&amp;Lab_Data[[#This Row],[EmployeeNumber]]</f>
        <v>LAB-140</v>
      </c>
      <c r="AK107" t="str">
        <f>Lab_Data[[#This Row],[JobRole]]</f>
        <v>Manager</v>
      </c>
      <c r="AL107" t="str">
        <f>Lab_Data[[#This Row],[Department]]</f>
        <v>Human Resources</v>
      </c>
      <c r="AM107" t="str">
        <f>IF(Lab_Data[[#This Row],[Attrition]]="Yes","Failed","Completed")</f>
        <v>Completed</v>
      </c>
      <c r="AN107">
        <f>Lab_Data[[#This Row],[YearsAtCompany]]</f>
        <v>3</v>
      </c>
      <c r="AO107" t="str">
        <f>IF(Lab_Data[[#This Row],[PerformanceRating]]&gt;=3,"Approved","Review Required")</f>
        <v>Approved</v>
      </c>
    </row>
    <row r="108" spans="1:41"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t="str">
        <f>"LAB-"&amp;Lab_Data[[#This Row],[EmployeeNumber]]</f>
        <v>LAB-141</v>
      </c>
      <c r="AK108" t="str">
        <f>Lab_Data[[#This Row],[JobRole]]</f>
        <v>Research Director</v>
      </c>
      <c r="AL108" t="str">
        <f>Lab_Data[[#This Row],[Department]]</f>
        <v>Research &amp; Development</v>
      </c>
      <c r="AM108" t="str">
        <f>IF(Lab_Data[[#This Row],[Attrition]]="Yes","Failed","Completed")</f>
        <v>Completed</v>
      </c>
      <c r="AN108">
        <f>Lab_Data[[#This Row],[YearsAtCompany]]</f>
        <v>8</v>
      </c>
      <c r="AO108" t="str">
        <f>IF(Lab_Data[[#This Row],[PerformanceRating]]&gt;=3,"Approved","Review Required")</f>
        <v>Approved</v>
      </c>
    </row>
    <row r="109" spans="1:41"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t="str">
        <f>"LAB-"&amp;Lab_Data[[#This Row],[EmployeeNumber]]</f>
        <v>LAB-142</v>
      </c>
      <c r="AK109" t="str">
        <f>Lab_Data[[#This Row],[JobRole]]</f>
        <v>Sales Executive</v>
      </c>
      <c r="AL109" t="str">
        <f>Lab_Data[[#This Row],[Department]]</f>
        <v>Sales</v>
      </c>
      <c r="AM109" t="str">
        <f>IF(Lab_Data[[#This Row],[Attrition]]="Yes","Failed","Completed")</f>
        <v>Failed</v>
      </c>
      <c r="AN109">
        <f>Lab_Data[[#This Row],[YearsAtCompany]]</f>
        <v>6</v>
      </c>
      <c r="AO109" t="str">
        <f>IF(Lab_Data[[#This Row],[PerformanceRating]]&gt;=3,"Approved","Review Required")</f>
        <v>Approved</v>
      </c>
    </row>
    <row r="110" spans="1:41"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t="str">
        <f>"LAB-"&amp;Lab_Data[[#This Row],[EmployeeNumber]]</f>
        <v>LAB-143</v>
      </c>
      <c r="AK110" t="str">
        <f>Lab_Data[[#This Row],[JobRole]]</f>
        <v>Research Scientist</v>
      </c>
      <c r="AL110" t="str">
        <f>Lab_Data[[#This Row],[Department]]</f>
        <v>Research &amp; Development</v>
      </c>
      <c r="AM110" t="str">
        <f>IF(Lab_Data[[#This Row],[Attrition]]="Yes","Failed","Completed")</f>
        <v>Completed</v>
      </c>
      <c r="AN110">
        <f>Lab_Data[[#This Row],[YearsAtCompany]]</f>
        <v>2</v>
      </c>
      <c r="AO110" t="str">
        <f>IF(Lab_Data[[#This Row],[PerformanceRating]]&gt;=3,"Approved","Review Required")</f>
        <v>Approved</v>
      </c>
    </row>
    <row r="111" spans="1:41"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t="str">
        <f>"LAB-"&amp;Lab_Data[[#This Row],[EmployeeNumber]]</f>
        <v>LAB-144</v>
      </c>
      <c r="AK111" t="str">
        <f>Lab_Data[[#This Row],[JobRole]]</f>
        <v>Laboratory Technician</v>
      </c>
      <c r="AL111" t="str">
        <f>Lab_Data[[#This Row],[Department]]</f>
        <v>Research &amp; Development</v>
      </c>
      <c r="AM111" t="str">
        <f>IF(Lab_Data[[#This Row],[Attrition]]="Yes","Failed","Completed")</f>
        <v>Completed</v>
      </c>
      <c r="AN111">
        <f>Lab_Data[[#This Row],[YearsAtCompany]]</f>
        <v>0</v>
      </c>
      <c r="AO111" t="str">
        <f>IF(Lab_Data[[#This Row],[PerformanceRating]]&gt;=3,"Approved","Review Required")</f>
        <v>Approved</v>
      </c>
    </row>
    <row r="112" spans="1:41"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t="str">
        <f>"LAB-"&amp;Lab_Data[[#This Row],[EmployeeNumber]]</f>
        <v>LAB-145</v>
      </c>
      <c r="AK112" t="str">
        <f>Lab_Data[[#This Row],[JobRole]]</f>
        <v>Healthcare Representative</v>
      </c>
      <c r="AL112" t="str">
        <f>Lab_Data[[#This Row],[Department]]</f>
        <v>Research &amp; Development</v>
      </c>
      <c r="AM112" t="str">
        <f>IF(Lab_Data[[#This Row],[Attrition]]="Yes","Failed","Completed")</f>
        <v>Completed</v>
      </c>
      <c r="AN112">
        <f>Lab_Data[[#This Row],[YearsAtCompany]]</f>
        <v>13</v>
      </c>
      <c r="AO112" t="str">
        <f>IF(Lab_Data[[#This Row],[PerformanceRating]]&gt;=3,"Approved","Review Required")</f>
        <v>Approved</v>
      </c>
    </row>
    <row r="113" spans="1:41"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t="str">
        <f>"LAB-"&amp;Lab_Data[[#This Row],[EmployeeNumber]]</f>
        <v>LAB-147</v>
      </c>
      <c r="AK113" t="str">
        <f>Lab_Data[[#This Row],[JobRole]]</f>
        <v>Laboratory Technician</v>
      </c>
      <c r="AL113" t="str">
        <f>Lab_Data[[#This Row],[Department]]</f>
        <v>Research &amp; Development</v>
      </c>
      <c r="AM113" t="str">
        <f>IF(Lab_Data[[#This Row],[Attrition]]="Yes","Failed","Completed")</f>
        <v>Failed</v>
      </c>
      <c r="AN113">
        <f>Lab_Data[[#This Row],[YearsAtCompany]]</f>
        <v>9</v>
      </c>
      <c r="AO113" t="str">
        <f>IF(Lab_Data[[#This Row],[PerformanceRating]]&gt;=3,"Approved","Review Required")</f>
        <v>Approved</v>
      </c>
    </row>
    <row r="114" spans="1:41"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t="str">
        <f>"LAB-"&amp;Lab_Data[[#This Row],[EmployeeNumber]]</f>
        <v>LAB-148</v>
      </c>
      <c r="AK114" t="str">
        <f>Lab_Data[[#This Row],[JobRole]]</f>
        <v>Manager</v>
      </c>
      <c r="AL114" t="str">
        <f>Lab_Data[[#This Row],[Department]]</f>
        <v>Human Resources</v>
      </c>
      <c r="AM114" t="str">
        <f>IF(Lab_Data[[#This Row],[Attrition]]="Yes","Failed","Completed")</f>
        <v>Completed</v>
      </c>
      <c r="AN114">
        <f>Lab_Data[[#This Row],[YearsAtCompany]]</f>
        <v>5</v>
      </c>
      <c r="AO114" t="str">
        <f>IF(Lab_Data[[#This Row],[PerformanceRating]]&gt;=3,"Approved","Review Required")</f>
        <v>Approved</v>
      </c>
    </row>
    <row r="115" spans="1:41"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t="str">
        <f>"LAB-"&amp;Lab_Data[[#This Row],[EmployeeNumber]]</f>
        <v>LAB-150</v>
      </c>
      <c r="AK115" t="str">
        <f>Lab_Data[[#This Row],[JobRole]]</f>
        <v>Laboratory Technician</v>
      </c>
      <c r="AL115" t="str">
        <f>Lab_Data[[#This Row],[Department]]</f>
        <v>Research &amp; Development</v>
      </c>
      <c r="AM115" t="str">
        <f>IF(Lab_Data[[#This Row],[Attrition]]="Yes","Failed","Completed")</f>
        <v>Completed</v>
      </c>
      <c r="AN115">
        <f>Lab_Data[[#This Row],[YearsAtCompany]]</f>
        <v>5</v>
      </c>
      <c r="AO115" t="str">
        <f>IF(Lab_Data[[#This Row],[PerformanceRating]]&gt;=3,"Approved","Review Required")</f>
        <v>Approved</v>
      </c>
    </row>
    <row r="116" spans="1:41"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t="str">
        <f>"LAB-"&amp;Lab_Data[[#This Row],[EmployeeNumber]]</f>
        <v>LAB-151</v>
      </c>
      <c r="AK116" t="str">
        <f>Lab_Data[[#This Row],[JobRole]]</f>
        <v>Research Scientist</v>
      </c>
      <c r="AL116" t="str">
        <f>Lab_Data[[#This Row],[Department]]</f>
        <v>Research &amp; Development</v>
      </c>
      <c r="AM116" t="str">
        <f>IF(Lab_Data[[#This Row],[Attrition]]="Yes","Failed","Completed")</f>
        <v>Completed</v>
      </c>
      <c r="AN116">
        <f>Lab_Data[[#This Row],[YearsAtCompany]]</f>
        <v>1</v>
      </c>
      <c r="AO116" t="str">
        <f>IF(Lab_Data[[#This Row],[PerformanceRating]]&gt;=3,"Approved","Review Required")</f>
        <v>Approved</v>
      </c>
    </row>
    <row r="117" spans="1:41"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t="str">
        <f>"LAB-"&amp;Lab_Data[[#This Row],[EmployeeNumber]]</f>
        <v>LAB-152</v>
      </c>
      <c r="AK117" t="str">
        <f>Lab_Data[[#This Row],[JobRole]]</f>
        <v>Sales Executive</v>
      </c>
      <c r="AL117" t="str">
        <f>Lab_Data[[#This Row],[Department]]</f>
        <v>Sales</v>
      </c>
      <c r="AM117" t="str">
        <f>IF(Lab_Data[[#This Row],[Attrition]]="Yes","Failed","Completed")</f>
        <v>Completed</v>
      </c>
      <c r="AN117">
        <f>Lab_Data[[#This Row],[YearsAtCompany]]</f>
        <v>5</v>
      </c>
      <c r="AO117" t="str">
        <f>IF(Lab_Data[[#This Row],[PerformanceRating]]&gt;=3,"Approved","Review Required")</f>
        <v>Approved</v>
      </c>
    </row>
    <row r="118" spans="1:41"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t="str">
        <f>"LAB-"&amp;Lab_Data[[#This Row],[EmployeeNumber]]</f>
        <v>LAB-153</v>
      </c>
      <c r="AK118" t="str">
        <f>Lab_Data[[#This Row],[JobRole]]</f>
        <v>Manager</v>
      </c>
      <c r="AL118" t="str">
        <f>Lab_Data[[#This Row],[Department]]</f>
        <v>Research &amp; Development</v>
      </c>
      <c r="AM118" t="str">
        <f>IF(Lab_Data[[#This Row],[Attrition]]="Yes","Failed","Completed")</f>
        <v>Completed</v>
      </c>
      <c r="AN118">
        <f>Lab_Data[[#This Row],[YearsAtCompany]]</f>
        <v>11</v>
      </c>
      <c r="AO118" t="str">
        <f>IF(Lab_Data[[#This Row],[PerformanceRating]]&gt;=3,"Approved","Review Required")</f>
        <v>Approved</v>
      </c>
    </row>
    <row r="119" spans="1:41"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t="str">
        <f>"LAB-"&amp;Lab_Data[[#This Row],[EmployeeNumber]]</f>
        <v>LAB-154</v>
      </c>
      <c r="AK119" t="str">
        <f>Lab_Data[[#This Row],[JobRole]]</f>
        <v>Sales Executive</v>
      </c>
      <c r="AL119" t="str">
        <f>Lab_Data[[#This Row],[Department]]</f>
        <v>Sales</v>
      </c>
      <c r="AM119" t="str">
        <f>IF(Lab_Data[[#This Row],[Attrition]]="Yes","Failed","Completed")</f>
        <v>Completed</v>
      </c>
      <c r="AN119">
        <f>Lab_Data[[#This Row],[YearsAtCompany]]</f>
        <v>9</v>
      </c>
      <c r="AO119" t="str">
        <f>IF(Lab_Data[[#This Row],[PerformanceRating]]&gt;=3,"Approved","Review Required")</f>
        <v>Approved</v>
      </c>
    </row>
    <row r="120" spans="1:41"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t="str">
        <f>"LAB-"&amp;Lab_Data[[#This Row],[EmployeeNumber]]</f>
        <v>LAB-155</v>
      </c>
      <c r="AK120" t="str">
        <f>Lab_Data[[#This Row],[JobRole]]</f>
        <v>Laboratory Technician</v>
      </c>
      <c r="AL120" t="str">
        <f>Lab_Data[[#This Row],[Department]]</f>
        <v>Research &amp; Development</v>
      </c>
      <c r="AM120" t="str">
        <f>IF(Lab_Data[[#This Row],[Attrition]]="Yes","Failed","Completed")</f>
        <v>Completed</v>
      </c>
      <c r="AN120">
        <f>Lab_Data[[#This Row],[YearsAtCompany]]</f>
        <v>1</v>
      </c>
      <c r="AO120" t="str">
        <f>IF(Lab_Data[[#This Row],[PerformanceRating]]&gt;=3,"Approved","Review Required")</f>
        <v>Approved</v>
      </c>
    </row>
    <row r="121" spans="1:41"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t="str">
        <f>"LAB-"&amp;Lab_Data[[#This Row],[EmployeeNumber]]</f>
        <v>LAB-158</v>
      </c>
      <c r="AK121" t="str">
        <f>Lab_Data[[#This Row],[JobRole]]</f>
        <v>Manager</v>
      </c>
      <c r="AL121" t="str">
        <f>Lab_Data[[#This Row],[Department]]</f>
        <v>Sales</v>
      </c>
      <c r="AM121" t="str">
        <f>IF(Lab_Data[[#This Row],[Attrition]]="Yes","Failed","Completed")</f>
        <v>Completed</v>
      </c>
      <c r="AN121">
        <f>Lab_Data[[#This Row],[YearsAtCompany]]</f>
        <v>25</v>
      </c>
      <c r="AO121" t="str">
        <f>IF(Lab_Data[[#This Row],[PerformanceRating]]&gt;=3,"Approved","Review Required")</f>
        <v>Approved</v>
      </c>
    </row>
    <row r="122" spans="1:41"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t="str">
        <f>"LAB-"&amp;Lab_Data[[#This Row],[EmployeeNumber]]</f>
        <v>LAB-159</v>
      </c>
      <c r="AK122" t="str">
        <f>Lab_Data[[#This Row],[JobRole]]</f>
        <v>Research Scientist</v>
      </c>
      <c r="AL122" t="str">
        <f>Lab_Data[[#This Row],[Department]]</f>
        <v>Research &amp; Development</v>
      </c>
      <c r="AM122" t="str">
        <f>IF(Lab_Data[[#This Row],[Attrition]]="Yes","Failed","Completed")</f>
        <v>Completed</v>
      </c>
      <c r="AN122">
        <f>Lab_Data[[#This Row],[YearsAtCompany]]</f>
        <v>10</v>
      </c>
      <c r="AO122" t="str">
        <f>IF(Lab_Data[[#This Row],[PerformanceRating]]&gt;=3,"Approved","Review Required")</f>
        <v>Approved</v>
      </c>
    </row>
    <row r="123" spans="1:41"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t="str">
        <f>"LAB-"&amp;Lab_Data[[#This Row],[EmployeeNumber]]</f>
        <v>LAB-160</v>
      </c>
      <c r="AK123" t="str">
        <f>Lab_Data[[#This Row],[JobRole]]</f>
        <v>Sales Executive</v>
      </c>
      <c r="AL123" t="str">
        <f>Lab_Data[[#This Row],[Department]]</f>
        <v>Sales</v>
      </c>
      <c r="AM123" t="str">
        <f>IF(Lab_Data[[#This Row],[Attrition]]="Yes","Failed","Completed")</f>
        <v>Completed</v>
      </c>
      <c r="AN123">
        <f>Lab_Data[[#This Row],[YearsAtCompany]]</f>
        <v>7</v>
      </c>
      <c r="AO123" t="str">
        <f>IF(Lab_Data[[#This Row],[PerformanceRating]]&gt;=3,"Approved","Review Required")</f>
        <v>Approved</v>
      </c>
    </row>
    <row r="124" spans="1:41"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t="str">
        <f>"LAB-"&amp;Lab_Data[[#This Row],[EmployeeNumber]]</f>
        <v>LAB-161</v>
      </c>
      <c r="AK124" t="str">
        <f>Lab_Data[[#This Row],[JobRole]]</f>
        <v>Research Scientist</v>
      </c>
      <c r="AL124" t="str">
        <f>Lab_Data[[#This Row],[Department]]</f>
        <v>Research &amp; Development</v>
      </c>
      <c r="AM124" t="str">
        <f>IF(Lab_Data[[#This Row],[Attrition]]="Yes","Failed","Completed")</f>
        <v>Failed</v>
      </c>
      <c r="AN124">
        <f>Lab_Data[[#This Row],[YearsAtCompany]]</f>
        <v>5</v>
      </c>
      <c r="AO124" t="str">
        <f>IF(Lab_Data[[#This Row],[PerformanceRating]]&gt;=3,"Approved","Review Required")</f>
        <v>Approved</v>
      </c>
    </row>
    <row r="125" spans="1:41"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t="str">
        <f>"LAB-"&amp;Lab_Data[[#This Row],[EmployeeNumber]]</f>
        <v>LAB-162</v>
      </c>
      <c r="AK125" t="str">
        <f>Lab_Data[[#This Row],[JobRole]]</f>
        <v>Research Director</v>
      </c>
      <c r="AL125" t="str">
        <f>Lab_Data[[#This Row],[Department]]</f>
        <v>Research &amp; Development</v>
      </c>
      <c r="AM125" t="str">
        <f>IF(Lab_Data[[#This Row],[Attrition]]="Yes","Failed","Completed")</f>
        <v>Completed</v>
      </c>
      <c r="AN125">
        <f>Lab_Data[[#This Row],[YearsAtCompany]]</f>
        <v>20</v>
      </c>
      <c r="AO125" t="str">
        <f>IF(Lab_Data[[#This Row],[PerformanceRating]]&gt;=3,"Approved","Review Required")</f>
        <v>Approved</v>
      </c>
    </row>
    <row r="126" spans="1:41"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t="str">
        <f>"LAB-"&amp;Lab_Data[[#This Row],[EmployeeNumber]]</f>
        <v>LAB-163</v>
      </c>
      <c r="AK126" t="str">
        <f>Lab_Data[[#This Row],[JobRole]]</f>
        <v>Sales Executive</v>
      </c>
      <c r="AL126" t="str">
        <f>Lab_Data[[#This Row],[Department]]</f>
        <v>Sales</v>
      </c>
      <c r="AM126" t="str">
        <f>IF(Lab_Data[[#This Row],[Attrition]]="Yes","Failed","Completed")</f>
        <v>Failed</v>
      </c>
      <c r="AN126">
        <f>Lab_Data[[#This Row],[YearsAtCompany]]</f>
        <v>7</v>
      </c>
      <c r="AO126" t="str">
        <f>IF(Lab_Data[[#This Row],[PerformanceRating]]&gt;=3,"Approved","Review Required")</f>
        <v>Approved</v>
      </c>
    </row>
    <row r="127" spans="1:41"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t="str">
        <f>"LAB-"&amp;Lab_Data[[#This Row],[EmployeeNumber]]</f>
        <v>LAB-164</v>
      </c>
      <c r="AK127" t="str">
        <f>Lab_Data[[#This Row],[JobRole]]</f>
        <v>Research Scientist</v>
      </c>
      <c r="AL127" t="str">
        <f>Lab_Data[[#This Row],[Department]]</f>
        <v>Research &amp; Development</v>
      </c>
      <c r="AM127" t="str">
        <f>IF(Lab_Data[[#This Row],[Attrition]]="Yes","Failed","Completed")</f>
        <v>Completed</v>
      </c>
      <c r="AN127">
        <f>Lab_Data[[#This Row],[YearsAtCompany]]</f>
        <v>5</v>
      </c>
      <c r="AO127" t="str">
        <f>IF(Lab_Data[[#This Row],[PerformanceRating]]&gt;=3,"Approved","Review Required")</f>
        <v>Approved</v>
      </c>
    </row>
    <row r="128" spans="1:41"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t="str">
        <f>"LAB-"&amp;Lab_Data[[#This Row],[EmployeeNumber]]</f>
        <v>LAB-165</v>
      </c>
      <c r="AK128" t="str">
        <f>Lab_Data[[#This Row],[JobRole]]</f>
        <v>Healthcare Representative</v>
      </c>
      <c r="AL128" t="str">
        <f>Lab_Data[[#This Row],[Department]]</f>
        <v>Research &amp; Development</v>
      </c>
      <c r="AM128" t="str">
        <f>IF(Lab_Data[[#This Row],[Attrition]]="Yes","Failed","Completed")</f>
        <v>Failed</v>
      </c>
      <c r="AN128">
        <f>Lab_Data[[#This Row],[YearsAtCompany]]</f>
        <v>40</v>
      </c>
      <c r="AO128" t="str">
        <f>IF(Lab_Data[[#This Row],[PerformanceRating]]&gt;=3,"Approved","Review Required")</f>
        <v>Approved</v>
      </c>
    </row>
    <row r="129" spans="1:41"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t="str">
        <f>"LAB-"&amp;Lab_Data[[#This Row],[EmployeeNumber]]</f>
        <v>LAB-167</v>
      </c>
      <c r="AK129" t="str">
        <f>Lab_Data[[#This Row],[JobRole]]</f>
        <v>Sales Representative</v>
      </c>
      <c r="AL129" t="str">
        <f>Lab_Data[[#This Row],[Department]]</f>
        <v>Sales</v>
      </c>
      <c r="AM129" t="str">
        <f>IF(Lab_Data[[#This Row],[Attrition]]="Yes","Failed","Completed")</f>
        <v>Failed</v>
      </c>
      <c r="AN129">
        <f>Lab_Data[[#This Row],[YearsAtCompany]]</f>
        <v>0</v>
      </c>
      <c r="AO129" t="str">
        <f>IF(Lab_Data[[#This Row],[PerformanceRating]]&gt;=3,"Approved","Review Required")</f>
        <v>Approved</v>
      </c>
    </row>
    <row r="130" spans="1:41"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t="str">
        <f>"LAB-"&amp;Lab_Data[[#This Row],[EmployeeNumber]]</f>
        <v>LAB-169</v>
      </c>
      <c r="AK130" t="str">
        <f>Lab_Data[[#This Row],[JobRole]]</f>
        <v>Laboratory Technician</v>
      </c>
      <c r="AL130" t="str">
        <f>Lab_Data[[#This Row],[Department]]</f>
        <v>Research &amp; Development</v>
      </c>
      <c r="AM130" t="str">
        <f>IF(Lab_Data[[#This Row],[Attrition]]="Yes","Failed","Completed")</f>
        <v>Completed</v>
      </c>
      <c r="AN130">
        <f>Lab_Data[[#This Row],[YearsAtCompany]]</f>
        <v>2</v>
      </c>
      <c r="AO130" t="str">
        <f>IF(Lab_Data[[#This Row],[PerformanceRating]]&gt;=3,"Approved","Review Required")</f>
        <v>Approved</v>
      </c>
    </row>
    <row r="131" spans="1:41"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t="str">
        <f>"LAB-"&amp;Lab_Data[[#This Row],[EmployeeNumber]]</f>
        <v>LAB-170</v>
      </c>
      <c r="AK131" t="str">
        <f>Lab_Data[[#This Row],[JobRole]]</f>
        <v>Manufacturing Director</v>
      </c>
      <c r="AL131" t="str">
        <f>Lab_Data[[#This Row],[Department]]</f>
        <v>Research &amp; Development</v>
      </c>
      <c r="AM131" t="str">
        <f>IF(Lab_Data[[#This Row],[Attrition]]="Yes","Failed","Completed")</f>
        <v>Completed</v>
      </c>
      <c r="AN131">
        <f>Lab_Data[[#This Row],[YearsAtCompany]]</f>
        <v>15</v>
      </c>
      <c r="AO131" t="str">
        <f>IF(Lab_Data[[#This Row],[PerformanceRating]]&gt;=3,"Approved","Review Required")</f>
        <v>Approved</v>
      </c>
    </row>
    <row r="132" spans="1:41"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t="str">
        <f>"LAB-"&amp;Lab_Data[[#This Row],[EmployeeNumber]]</f>
        <v>LAB-171</v>
      </c>
      <c r="AK132" t="str">
        <f>Lab_Data[[#This Row],[JobRole]]</f>
        <v>Research Scientist</v>
      </c>
      <c r="AL132" t="str">
        <f>Lab_Data[[#This Row],[Department]]</f>
        <v>Research &amp; Development</v>
      </c>
      <c r="AM132" t="str">
        <f>IF(Lab_Data[[#This Row],[Attrition]]="Yes","Failed","Completed")</f>
        <v>Completed</v>
      </c>
      <c r="AN132">
        <f>Lab_Data[[#This Row],[YearsAtCompany]]</f>
        <v>3</v>
      </c>
      <c r="AO132" t="str">
        <f>IF(Lab_Data[[#This Row],[PerformanceRating]]&gt;=3,"Approved","Review Required")</f>
        <v>Approved</v>
      </c>
    </row>
    <row r="133" spans="1:41"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t="str">
        <f>"LAB-"&amp;Lab_Data[[#This Row],[EmployeeNumber]]</f>
        <v>LAB-174</v>
      </c>
      <c r="AK133" t="str">
        <f>Lab_Data[[#This Row],[JobRole]]</f>
        <v>Sales Executive</v>
      </c>
      <c r="AL133" t="str">
        <f>Lab_Data[[#This Row],[Department]]</f>
        <v>Sales</v>
      </c>
      <c r="AM133" t="str">
        <f>IF(Lab_Data[[#This Row],[Attrition]]="Yes","Failed","Completed")</f>
        <v>Completed</v>
      </c>
      <c r="AN133">
        <f>Lab_Data[[#This Row],[YearsAtCompany]]</f>
        <v>2</v>
      </c>
      <c r="AO133" t="str">
        <f>IF(Lab_Data[[#This Row],[PerformanceRating]]&gt;=3,"Approved","Review Required")</f>
        <v>Approved</v>
      </c>
    </row>
    <row r="134" spans="1:41"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t="str">
        <f>"LAB-"&amp;Lab_Data[[#This Row],[EmployeeNumber]]</f>
        <v>LAB-175</v>
      </c>
      <c r="AK134" t="str">
        <f>Lab_Data[[#This Row],[JobRole]]</f>
        <v>Sales Executive</v>
      </c>
      <c r="AL134" t="str">
        <f>Lab_Data[[#This Row],[Department]]</f>
        <v>Sales</v>
      </c>
      <c r="AM134" t="str">
        <f>IF(Lab_Data[[#This Row],[Attrition]]="Yes","Failed","Completed")</f>
        <v>Failed</v>
      </c>
      <c r="AN134">
        <f>Lab_Data[[#This Row],[YearsAtCompany]]</f>
        <v>2</v>
      </c>
      <c r="AO134" t="str">
        <f>IF(Lab_Data[[#This Row],[PerformanceRating]]&gt;=3,"Approved","Review Required")</f>
        <v>Approved</v>
      </c>
    </row>
    <row r="135" spans="1:41"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t="str">
        <f>"LAB-"&amp;Lab_Data[[#This Row],[EmployeeNumber]]</f>
        <v>LAB-176</v>
      </c>
      <c r="AK135" t="str">
        <f>Lab_Data[[#This Row],[JobRole]]</f>
        <v>Sales Executive</v>
      </c>
      <c r="AL135" t="str">
        <f>Lab_Data[[#This Row],[Department]]</f>
        <v>Sales</v>
      </c>
      <c r="AM135" t="str">
        <f>IF(Lab_Data[[#This Row],[Attrition]]="Yes","Failed","Completed")</f>
        <v>Completed</v>
      </c>
      <c r="AN135">
        <f>Lab_Data[[#This Row],[YearsAtCompany]]</f>
        <v>9</v>
      </c>
      <c r="AO135" t="str">
        <f>IF(Lab_Data[[#This Row],[PerformanceRating]]&gt;=3,"Approved","Review Required")</f>
        <v>Approved</v>
      </c>
    </row>
    <row r="136" spans="1:41"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t="str">
        <f>"LAB-"&amp;Lab_Data[[#This Row],[EmployeeNumber]]</f>
        <v>LAB-177</v>
      </c>
      <c r="AK136" t="str">
        <f>Lab_Data[[#This Row],[JobRole]]</f>
        <v>Human Resources</v>
      </c>
      <c r="AL136" t="str">
        <f>Lab_Data[[#This Row],[Department]]</f>
        <v>Human Resources</v>
      </c>
      <c r="AM136" t="str">
        <f>IF(Lab_Data[[#This Row],[Attrition]]="Yes","Failed","Completed")</f>
        <v>Completed</v>
      </c>
      <c r="AN136">
        <f>Lab_Data[[#This Row],[YearsAtCompany]]</f>
        <v>8</v>
      </c>
      <c r="AO136" t="str">
        <f>IF(Lab_Data[[#This Row],[PerformanceRating]]&gt;=3,"Approved","Review Required")</f>
        <v>Approved</v>
      </c>
    </row>
    <row r="137" spans="1:41"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t="str">
        <f>"LAB-"&amp;Lab_Data[[#This Row],[EmployeeNumber]]</f>
        <v>LAB-178</v>
      </c>
      <c r="AK137" t="str">
        <f>Lab_Data[[#This Row],[JobRole]]</f>
        <v>Manufacturing Director</v>
      </c>
      <c r="AL137" t="str">
        <f>Lab_Data[[#This Row],[Department]]</f>
        <v>Research &amp; Development</v>
      </c>
      <c r="AM137" t="str">
        <f>IF(Lab_Data[[#This Row],[Attrition]]="Yes","Failed","Completed")</f>
        <v>Completed</v>
      </c>
      <c r="AN137">
        <f>Lab_Data[[#This Row],[YearsAtCompany]]</f>
        <v>3</v>
      </c>
      <c r="AO137" t="str">
        <f>IF(Lab_Data[[#This Row],[PerformanceRating]]&gt;=3,"Approved","Review Required")</f>
        <v>Approved</v>
      </c>
    </row>
    <row r="138" spans="1:41"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t="str">
        <f>"LAB-"&amp;Lab_Data[[#This Row],[EmployeeNumber]]</f>
        <v>LAB-179</v>
      </c>
      <c r="AK138" t="str">
        <f>Lab_Data[[#This Row],[JobRole]]</f>
        <v>Manufacturing Director</v>
      </c>
      <c r="AL138" t="str">
        <f>Lab_Data[[#This Row],[Department]]</f>
        <v>Research &amp; Development</v>
      </c>
      <c r="AM138" t="str">
        <f>IF(Lab_Data[[#This Row],[Attrition]]="Yes","Failed","Completed")</f>
        <v>Failed</v>
      </c>
      <c r="AN138">
        <f>Lab_Data[[#This Row],[YearsAtCompany]]</f>
        <v>4</v>
      </c>
      <c r="AO138" t="str">
        <f>IF(Lab_Data[[#This Row],[PerformanceRating]]&gt;=3,"Approved","Review Required")</f>
        <v>Approved</v>
      </c>
    </row>
    <row r="139" spans="1:41"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t="str">
        <f>"LAB-"&amp;Lab_Data[[#This Row],[EmployeeNumber]]</f>
        <v>LAB-182</v>
      </c>
      <c r="AK139" t="str">
        <f>Lab_Data[[#This Row],[JobRole]]</f>
        <v>Sales Executive</v>
      </c>
      <c r="AL139" t="str">
        <f>Lab_Data[[#This Row],[Department]]</f>
        <v>Sales</v>
      </c>
      <c r="AM139" t="str">
        <f>IF(Lab_Data[[#This Row],[Attrition]]="Yes","Failed","Completed")</f>
        <v>Completed</v>
      </c>
      <c r="AN139">
        <f>Lab_Data[[#This Row],[YearsAtCompany]]</f>
        <v>15</v>
      </c>
      <c r="AO139" t="str">
        <f>IF(Lab_Data[[#This Row],[PerformanceRating]]&gt;=3,"Approved","Review Required")</f>
        <v>Approved</v>
      </c>
    </row>
    <row r="140" spans="1:41"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t="str">
        <f>"LAB-"&amp;Lab_Data[[#This Row],[EmployeeNumber]]</f>
        <v>LAB-183</v>
      </c>
      <c r="AK140" t="str">
        <f>Lab_Data[[#This Row],[JobRole]]</f>
        <v>Sales Executive</v>
      </c>
      <c r="AL140" t="str">
        <f>Lab_Data[[#This Row],[Department]]</f>
        <v>Sales</v>
      </c>
      <c r="AM140" t="str">
        <f>IF(Lab_Data[[#This Row],[Attrition]]="Yes","Failed","Completed")</f>
        <v>Completed</v>
      </c>
      <c r="AN140">
        <f>Lab_Data[[#This Row],[YearsAtCompany]]</f>
        <v>2</v>
      </c>
      <c r="AO140" t="str">
        <f>IF(Lab_Data[[#This Row],[PerformanceRating]]&gt;=3,"Approved","Review Required")</f>
        <v>Approved</v>
      </c>
    </row>
    <row r="141" spans="1:41"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t="str">
        <f>"LAB-"&amp;Lab_Data[[#This Row],[EmployeeNumber]]</f>
        <v>LAB-184</v>
      </c>
      <c r="AK141" t="str">
        <f>Lab_Data[[#This Row],[JobRole]]</f>
        <v>Human Resources</v>
      </c>
      <c r="AL141" t="str">
        <f>Lab_Data[[#This Row],[Department]]</f>
        <v>Human Resources</v>
      </c>
      <c r="AM141" t="str">
        <f>IF(Lab_Data[[#This Row],[Attrition]]="Yes","Failed","Completed")</f>
        <v>Completed</v>
      </c>
      <c r="AN141">
        <f>Lab_Data[[#This Row],[YearsAtCompany]]</f>
        <v>11</v>
      </c>
      <c r="AO141" t="str">
        <f>IF(Lab_Data[[#This Row],[PerformanceRating]]&gt;=3,"Approved","Review Required")</f>
        <v>Approved</v>
      </c>
    </row>
    <row r="142" spans="1:41"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t="str">
        <f>"LAB-"&amp;Lab_Data[[#This Row],[EmployeeNumber]]</f>
        <v>LAB-190</v>
      </c>
      <c r="AK142" t="str">
        <f>Lab_Data[[#This Row],[JobRole]]</f>
        <v>Laboratory Technician</v>
      </c>
      <c r="AL142" t="str">
        <f>Lab_Data[[#This Row],[Department]]</f>
        <v>Research &amp; Development</v>
      </c>
      <c r="AM142" t="str">
        <f>IF(Lab_Data[[#This Row],[Attrition]]="Yes","Failed","Completed")</f>
        <v>Failed</v>
      </c>
      <c r="AN142">
        <f>Lab_Data[[#This Row],[YearsAtCompany]]</f>
        <v>5</v>
      </c>
      <c r="AO142" t="str">
        <f>IF(Lab_Data[[#This Row],[PerformanceRating]]&gt;=3,"Approved","Review Required")</f>
        <v>Approved</v>
      </c>
    </row>
    <row r="143" spans="1:41"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t="str">
        <f>"LAB-"&amp;Lab_Data[[#This Row],[EmployeeNumber]]</f>
        <v>LAB-192</v>
      </c>
      <c r="AK143" t="str">
        <f>Lab_Data[[#This Row],[JobRole]]</f>
        <v>Research Scientist</v>
      </c>
      <c r="AL143" t="str">
        <f>Lab_Data[[#This Row],[Department]]</f>
        <v>Research &amp; Development</v>
      </c>
      <c r="AM143" t="str">
        <f>IF(Lab_Data[[#This Row],[Attrition]]="Yes","Failed","Completed")</f>
        <v>Completed</v>
      </c>
      <c r="AN143">
        <f>Lab_Data[[#This Row],[YearsAtCompany]]</f>
        <v>6</v>
      </c>
      <c r="AO143" t="str">
        <f>IF(Lab_Data[[#This Row],[PerformanceRating]]&gt;=3,"Approved","Review Required")</f>
        <v>Approved</v>
      </c>
    </row>
    <row r="144" spans="1:41"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t="str">
        <f>"LAB-"&amp;Lab_Data[[#This Row],[EmployeeNumber]]</f>
        <v>LAB-193</v>
      </c>
      <c r="AK144" t="str">
        <f>Lab_Data[[#This Row],[JobRole]]</f>
        <v>Research Scientist</v>
      </c>
      <c r="AL144" t="str">
        <f>Lab_Data[[#This Row],[Department]]</f>
        <v>Research &amp; Development</v>
      </c>
      <c r="AM144" t="str">
        <f>IF(Lab_Data[[#This Row],[Attrition]]="Yes","Failed","Completed")</f>
        <v>Completed</v>
      </c>
      <c r="AN144">
        <f>Lab_Data[[#This Row],[YearsAtCompany]]</f>
        <v>3</v>
      </c>
      <c r="AO144" t="str">
        <f>IF(Lab_Data[[#This Row],[PerformanceRating]]&gt;=3,"Approved","Review Required")</f>
        <v>Approved</v>
      </c>
    </row>
    <row r="145" spans="1:41"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t="str">
        <f>"LAB-"&amp;Lab_Data[[#This Row],[EmployeeNumber]]</f>
        <v>LAB-194</v>
      </c>
      <c r="AK145" t="str">
        <f>Lab_Data[[#This Row],[JobRole]]</f>
        <v>Research Scientist</v>
      </c>
      <c r="AL145" t="str">
        <f>Lab_Data[[#This Row],[Department]]</f>
        <v>Research &amp; Development</v>
      </c>
      <c r="AM145" t="str">
        <f>IF(Lab_Data[[#This Row],[Attrition]]="Yes","Failed","Completed")</f>
        <v>Completed</v>
      </c>
      <c r="AN145">
        <f>Lab_Data[[#This Row],[YearsAtCompany]]</f>
        <v>5</v>
      </c>
      <c r="AO145" t="str">
        <f>IF(Lab_Data[[#This Row],[PerformanceRating]]&gt;=3,"Approved","Review Required")</f>
        <v>Approved</v>
      </c>
    </row>
    <row r="146" spans="1:41"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t="str">
        <f>"LAB-"&amp;Lab_Data[[#This Row],[EmployeeNumber]]</f>
        <v>LAB-195</v>
      </c>
      <c r="AK146" t="str">
        <f>Lab_Data[[#This Row],[JobRole]]</f>
        <v>Sales Executive</v>
      </c>
      <c r="AL146" t="str">
        <f>Lab_Data[[#This Row],[Department]]</f>
        <v>Sales</v>
      </c>
      <c r="AM146" t="str">
        <f>IF(Lab_Data[[#This Row],[Attrition]]="Yes","Failed","Completed")</f>
        <v>Completed</v>
      </c>
      <c r="AN146">
        <f>Lab_Data[[#This Row],[YearsAtCompany]]</f>
        <v>8</v>
      </c>
      <c r="AO146" t="str">
        <f>IF(Lab_Data[[#This Row],[PerformanceRating]]&gt;=3,"Approved","Review Required")</f>
        <v>Approved</v>
      </c>
    </row>
    <row r="147" spans="1:41"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t="str">
        <f>"LAB-"&amp;Lab_Data[[#This Row],[EmployeeNumber]]</f>
        <v>LAB-197</v>
      </c>
      <c r="AK147" t="str">
        <f>Lab_Data[[#This Row],[JobRole]]</f>
        <v>Research Scientist</v>
      </c>
      <c r="AL147" t="str">
        <f>Lab_Data[[#This Row],[Department]]</f>
        <v>Research &amp; Development</v>
      </c>
      <c r="AM147" t="str">
        <f>IF(Lab_Data[[#This Row],[Attrition]]="Yes","Failed","Completed")</f>
        <v>Completed</v>
      </c>
      <c r="AN147">
        <f>Lab_Data[[#This Row],[YearsAtCompany]]</f>
        <v>3</v>
      </c>
      <c r="AO147" t="str">
        <f>IF(Lab_Data[[#This Row],[PerformanceRating]]&gt;=3,"Approved","Review Required")</f>
        <v>Approved</v>
      </c>
    </row>
    <row r="148" spans="1:41"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t="str">
        <f>"LAB-"&amp;Lab_Data[[#This Row],[EmployeeNumber]]</f>
        <v>LAB-198</v>
      </c>
      <c r="AK148" t="str">
        <f>Lab_Data[[#This Row],[JobRole]]</f>
        <v>Laboratory Technician</v>
      </c>
      <c r="AL148" t="str">
        <f>Lab_Data[[#This Row],[Department]]</f>
        <v>Research &amp; Development</v>
      </c>
      <c r="AM148" t="str">
        <f>IF(Lab_Data[[#This Row],[Attrition]]="Yes","Failed","Completed")</f>
        <v>Completed</v>
      </c>
      <c r="AN148">
        <f>Lab_Data[[#This Row],[YearsAtCompany]]</f>
        <v>5</v>
      </c>
      <c r="AO148" t="str">
        <f>IF(Lab_Data[[#This Row],[PerformanceRating]]&gt;=3,"Approved","Review Required")</f>
        <v>Approved</v>
      </c>
    </row>
    <row r="149" spans="1:41"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t="str">
        <f>"LAB-"&amp;Lab_Data[[#This Row],[EmployeeNumber]]</f>
        <v>LAB-199</v>
      </c>
      <c r="AK149" t="str">
        <f>Lab_Data[[#This Row],[JobRole]]</f>
        <v>Manager</v>
      </c>
      <c r="AL149" t="str">
        <f>Lab_Data[[#This Row],[Department]]</f>
        <v>Research &amp; Development</v>
      </c>
      <c r="AM149" t="str">
        <f>IF(Lab_Data[[#This Row],[Attrition]]="Yes","Failed","Completed")</f>
        <v>Completed</v>
      </c>
      <c r="AN149">
        <f>Lab_Data[[#This Row],[YearsAtCompany]]</f>
        <v>7</v>
      </c>
      <c r="AO149" t="str">
        <f>IF(Lab_Data[[#This Row],[PerformanceRating]]&gt;=3,"Approved","Review Required")</f>
        <v>Approved</v>
      </c>
    </row>
    <row r="150" spans="1:41"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t="str">
        <f>"LAB-"&amp;Lab_Data[[#This Row],[EmployeeNumber]]</f>
        <v>LAB-200</v>
      </c>
      <c r="AK150" t="str">
        <f>Lab_Data[[#This Row],[JobRole]]</f>
        <v>Laboratory Technician</v>
      </c>
      <c r="AL150" t="str">
        <f>Lab_Data[[#This Row],[Department]]</f>
        <v>Research &amp; Development</v>
      </c>
      <c r="AM150" t="str">
        <f>IF(Lab_Data[[#This Row],[Attrition]]="Yes","Failed","Completed")</f>
        <v>Completed</v>
      </c>
      <c r="AN150">
        <f>Lab_Data[[#This Row],[YearsAtCompany]]</f>
        <v>5</v>
      </c>
      <c r="AO150" t="str">
        <f>IF(Lab_Data[[#This Row],[PerformanceRating]]&gt;=3,"Approved","Review Required")</f>
        <v>Approved</v>
      </c>
    </row>
    <row r="151" spans="1:41"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t="str">
        <f>"LAB-"&amp;Lab_Data[[#This Row],[EmployeeNumber]]</f>
        <v>LAB-201</v>
      </c>
      <c r="AK151" t="str">
        <f>Lab_Data[[#This Row],[JobRole]]</f>
        <v>Laboratory Technician</v>
      </c>
      <c r="AL151" t="str">
        <f>Lab_Data[[#This Row],[Department]]</f>
        <v>Research &amp; Development</v>
      </c>
      <c r="AM151" t="str">
        <f>IF(Lab_Data[[#This Row],[Attrition]]="Yes","Failed","Completed")</f>
        <v>Completed</v>
      </c>
      <c r="AN151">
        <f>Lab_Data[[#This Row],[YearsAtCompany]]</f>
        <v>1</v>
      </c>
      <c r="AO151" t="str">
        <f>IF(Lab_Data[[#This Row],[PerformanceRating]]&gt;=3,"Approved","Review Required")</f>
        <v>Approved</v>
      </c>
    </row>
    <row r="152" spans="1:41"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t="str">
        <f>"LAB-"&amp;Lab_Data[[#This Row],[EmployeeNumber]]</f>
        <v>LAB-202</v>
      </c>
      <c r="AK152" t="str">
        <f>Lab_Data[[#This Row],[JobRole]]</f>
        <v>Research Scientist</v>
      </c>
      <c r="AL152" t="str">
        <f>Lab_Data[[#This Row],[Department]]</f>
        <v>Research &amp; Development</v>
      </c>
      <c r="AM152" t="str">
        <f>IF(Lab_Data[[#This Row],[Attrition]]="Yes","Failed","Completed")</f>
        <v>Completed</v>
      </c>
      <c r="AN152">
        <f>Lab_Data[[#This Row],[YearsAtCompany]]</f>
        <v>20</v>
      </c>
      <c r="AO152" t="str">
        <f>IF(Lab_Data[[#This Row],[PerformanceRating]]&gt;=3,"Approved","Review Required")</f>
        <v>Approved</v>
      </c>
    </row>
    <row r="153" spans="1:41"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t="str">
        <f>"LAB-"&amp;Lab_Data[[#This Row],[EmployeeNumber]]</f>
        <v>LAB-204</v>
      </c>
      <c r="AK153" t="str">
        <f>Lab_Data[[#This Row],[JobRole]]</f>
        <v>Sales Executive</v>
      </c>
      <c r="AL153" t="str">
        <f>Lab_Data[[#This Row],[Department]]</f>
        <v>Sales</v>
      </c>
      <c r="AM153" t="str">
        <f>IF(Lab_Data[[#This Row],[Attrition]]="Yes","Failed","Completed")</f>
        <v>Completed</v>
      </c>
      <c r="AN153">
        <f>Lab_Data[[#This Row],[YearsAtCompany]]</f>
        <v>10</v>
      </c>
      <c r="AO153" t="str">
        <f>IF(Lab_Data[[#This Row],[PerformanceRating]]&gt;=3,"Approved","Review Required")</f>
        <v>Approved</v>
      </c>
    </row>
    <row r="154" spans="1:41"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t="str">
        <f>"LAB-"&amp;Lab_Data[[#This Row],[EmployeeNumber]]</f>
        <v>LAB-205</v>
      </c>
      <c r="AK154" t="str">
        <f>Lab_Data[[#This Row],[JobRole]]</f>
        <v>Sales Representative</v>
      </c>
      <c r="AL154" t="str">
        <f>Lab_Data[[#This Row],[Department]]</f>
        <v>Sales</v>
      </c>
      <c r="AM154" t="str">
        <f>IF(Lab_Data[[#This Row],[Attrition]]="Yes","Failed","Completed")</f>
        <v>Completed</v>
      </c>
      <c r="AN154">
        <f>Lab_Data[[#This Row],[YearsAtCompany]]</f>
        <v>7</v>
      </c>
      <c r="AO154" t="str">
        <f>IF(Lab_Data[[#This Row],[PerformanceRating]]&gt;=3,"Approved","Review Required")</f>
        <v>Approved</v>
      </c>
    </row>
    <row r="155" spans="1:41"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t="str">
        <f>"LAB-"&amp;Lab_Data[[#This Row],[EmployeeNumber]]</f>
        <v>LAB-206</v>
      </c>
      <c r="AK155" t="str">
        <f>Lab_Data[[#This Row],[JobRole]]</f>
        <v>Laboratory Technician</v>
      </c>
      <c r="AL155" t="str">
        <f>Lab_Data[[#This Row],[Department]]</f>
        <v>Research &amp; Development</v>
      </c>
      <c r="AM155" t="str">
        <f>IF(Lab_Data[[#This Row],[Attrition]]="Yes","Failed","Completed")</f>
        <v>Completed</v>
      </c>
      <c r="AN155">
        <f>Lab_Data[[#This Row],[YearsAtCompany]]</f>
        <v>17</v>
      </c>
      <c r="AO155" t="str">
        <f>IF(Lab_Data[[#This Row],[PerformanceRating]]&gt;=3,"Approved","Review Required")</f>
        <v>Approved</v>
      </c>
    </row>
    <row r="156" spans="1:41"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t="str">
        <f>"LAB-"&amp;Lab_Data[[#This Row],[EmployeeNumber]]</f>
        <v>LAB-207</v>
      </c>
      <c r="AK156" t="str">
        <f>Lab_Data[[#This Row],[JobRole]]</f>
        <v>Sales Executive</v>
      </c>
      <c r="AL156" t="str">
        <f>Lab_Data[[#This Row],[Department]]</f>
        <v>Sales</v>
      </c>
      <c r="AM156" t="str">
        <f>IF(Lab_Data[[#This Row],[Attrition]]="Yes","Failed","Completed")</f>
        <v>Completed</v>
      </c>
      <c r="AN156">
        <f>Lab_Data[[#This Row],[YearsAtCompany]]</f>
        <v>9</v>
      </c>
      <c r="AO156" t="str">
        <f>IF(Lab_Data[[#This Row],[PerformanceRating]]&gt;=3,"Approved","Review Required")</f>
        <v>Approved</v>
      </c>
    </row>
    <row r="157" spans="1:41"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t="str">
        <f>"LAB-"&amp;Lab_Data[[#This Row],[EmployeeNumber]]</f>
        <v>LAB-208</v>
      </c>
      <c r="AK157" t="str">
        <f>Lab_Data[[#This Row],[JobRole]]</f>
        <v>Manufacturing Director</v>
      </c>
      <c r="AL157" t="str">
        <f>Lab_Data[[#This Row],[Department]]</f>
        <v>Research &amp; Development</v>
      </c>
      <c r="AM157" t="str">
        <f>IF(Lab_Data[[#This Row],[Attrition]]="Yes","Failed","Completed")</f>
        <v>Completed</v>
      </c>
      <c r="AN157">
        <f>Lab_Data[[#This Row],[YearsAtCompany]]</f>
        <v>10</v>
      </c>
      <c r="AO157" t="str">
        <f>IF(Lab_Data[[#This Row],[PerformanceRating]]&gt;=3,"Approved","Review Required")</f>
        <v>Approved</v>
      </c>
    </row>
    <row r="158" spans="1:41"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t="str">
        <f>"LAB-"&amp;Lab_Data[[#This Row],[EmployeeNumber]]</f>
        <v>LAB-211</v>
      </c>
      <c r="AK158" t="str">
        <f>Lab_Data[[#This Row],[JobRole]]</f>
        <v>Manufacturing Director</v>
      </c>
      <c r="AL158" t="str">
        <f>Lab_Data[[#This Row],[Department]]</f>
        <v>Research &amp; Development</v>
      </c>
      <c r="AM158" t="str">
        <f>IF(Lab_Data[[#This Row],[Attrition]]="Yes","Failed","Completed")</f>
        <v>Completed</v>
      </c>
      <c r="AN158">
        <f>Lab_Data[[#This Row],[YearsAtCompany]]</f>
        <v>1</v>
      </c>
      <c r="AO158" t="str">
        <f>IF(Lab_Data[[#This Row],[PerformanceRating]]&gt;=3,"Approved","Review Required")</f>
        <v>Approved</v>
      </c>
    </row>
    <row r="159" spans="1:41"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t="str">
        <f>"LAB-"&amp;Lab_Data[[#This Row],[EmployeeNumber]]</f>
        <v>LAB-214</v>
      </c>
      <c r="AK159" t="str">
        <f>Lab_Data[[#This Row],[JobRole]]</f>
        <v>Research Scientist</v>
      </c>
      <c r="AL159" t="str">
        <f>Lab_Data[[#This Row],[Department]]</f>
        <v>Research &amp; Development</v>
      </c>
      <c r="AM159" t="str">
        <f>IF(Lab_Data[[#This Row],[Attrition]]="Yes","Failed","Completed")</f>
        <v>Completed</v>
      </c>
      <c r="AN159">
        <f>Lab_Data[[#This Row],[YearsAtCompany]]</f>
        <v>1</v>
      </c>
      <c r="AO159" t="str">
        <f>IF(Lab_Data[[#This Row],[PerformanceRating]]&gt;=3,"Approved","Review Required")</f>
        <v>Approved</v>
      </c>
    </row>
    <row r="160" spans="1:41"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t="str">
        <f>"LAB-"&amp;Lab_Data[[#This Row],[EmployeeNumber]]</f>
        <v>LAB-215</v>
      </c>
      <c r="AK160" t="str">
        <f>Lab_Data[[#This Row],[JobRole]]</f>
        <v>Sales Executive</v>
      </c>
      <c r="AL160" t="str">
        <f>Lab_Data[[#This Row],[Department]]</f>
        <v>Sales</v>
      </c>
      <c r="AM160" t="str">
        <f>IF(Lab_Data[[#This Row],[Attrition]]="Yes","Failed","Completed")</f>
        <v>Completed</v>
      </c>
      <c r="AN160">
        <f>Lab_Data[[#This Row],[YearsAtCompany]]</f>
        <v>12</v>
      </c>
      <c r="AO160" t="str">
        <f>IF(Lab_Data[[#This Row],[PerformanceRating]]&gt;=3,"Approved","Review Required")</f>
        <v>Approved</v>
      </c>
    </row>
    <row r="161" spans="1:41"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t="str">
        <f>"LAB-"&amp;Lab_Data[[#This Row],[EmployeeNumber]]</f>
        <v>LAB-216</v>
      </c>
      <c r="AK161" t="str">
        <f>Lab_Data[[#This Row],[JobRole]]</f>
        <v>Sales Representative</v>
      </c>
      <c r="AL161" t="str">
        <f>Lab_Data[[#This Row],[Department]]</f>
        <v>Sales</v>
      </c>
      <c r="AM161" t="str">
        <f>IF(Lab_Data[[#This Row],[Attrition]]="Yes","Failed","Completed")</f>
        <v>Completed</v>
      </c>
      <c r="AN161">
        <f>Lab_Data[[#This Row],[YearsAtCompany]]</f>
        <v>4</v>
      </c>
      <c r="AO161" t="str">
        <f>IF(Lab_Data[[#This Row],[PerformanceRating]]&gt;=3,"Approved","Review Required")</f>
        <v>Approved</v>
      </c>
    </row>
    <row r="162" spans="1:41"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t="str">
        <f>"LAB-"&amp;Lab_Data[[#This Row],[EmployeeNumber]]</f>
        <v>LAB-217</v>
      </c>
      <c r="AK162" t="str">
        <f>Lab_Data[[#This Row],[JobRole]]</f>
        <v>Research Scientist</v>
      </c>
      <c r="AL162" t="str">
        <f>Lab_Data[[#This Row],[Department]]</f>
        <v>Research &amp; Development</v>
      </c>
      <c r="AM162" t="str">
        <f>IF(Lab_Data[[#This Row],[Attrition]]="Yes","Failed","Completed")</f>
        <v>Completed</v>
      </c>
      <c r="AN162">
        <f>Lab_Data[[#This Row],[YearsAtCompany]]</f>
        <v>2</v>
      </c>
      <c r="AO162" t="str">
        <f>IF(Lab_Data[[#This Row],[PerformanceRating]]&gt;=3,"Approved","Review Required")</f>
        <v>Approved</v>
      </c>
    </row>
    <row r="163" spans="1:41"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t="str">
        <f>"LAB-"&amp;Lab_Data[[#This Row],[EmployeeNumber]]</f>
        <v>LAB-218</v>
      </c>
      <c r="AK163" t="str">
        <f>Lab_Data[[#This Row],[JobRole]]</f>
        <v>Research Scientist</v>
      </c>
      <c r="AL163" t="str">
        <f>Lab_Data[[#This Row],[Department]]</f>
        <v>Research &amp; Development</v>
      </c>
      <c r="AM163" t="str">
        <f>IF(Lab_Data[[#This Row],[Attrition]]="Yes","Failed","Completed")</f>
        <v>Completed</v>
      </c>
      <c r="AN163">
        <f>Lab_Data[[#This Row],[YearsAtCompany]]</f>
        <v>2</v>
      </c>
      <c r="AO163" t="str">
        <f>IF(Lab_Data[[#This Row],[PerformanceRating]]&gt;=3,"Approved","Review Required")</f>
        <v>Approved</v>
      </c>
    </row>
    <row r="164" spans="1:41"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t="str">
        <f>"LAB-"&amp;Lab_Data[[#This Row],[EmployeeNumber]]</f>
        <v>LAB-221</v>
      </c>
      <c r="AK164" t="str">
        <f>Lab_Data[[#This Row],[JobRole]]</f>
        <v>Research Scientist</v>
      </c>
      <c r="AL164" t="str">
        <f>Lab_Data[[#This Row],[Department]]</f>
        <v>Research &amp; Development</v>
      </c>
      <c r="AM164" t="str">
        <f>IF(Lab_Data[[#This Row],[Attrition]]="Yes","Failed","Completed")</f>
        <v>Completed</v>
      </c>
      <c r="AN164">
        <f>Lab_Data[[#This Row],[YearsAtCompany]]</f>
        <v>5</v>
      </c>
      <c r="AO164" t="str">
        <f>IF(Lab_Data[[#This Row],[PerformanceRating]]&gt;=3,"Approved","Review Required")</f>
        <v>Approved</v>
      </c>
    </row>
    <row r="165" spans="1:41"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t="str">
        <f>"LAB-"&amp;Lab_Data[[#This Row],[EmployeeNumber]]</f>
        <v>LAB-223</v>
      </c>
      <c r="AK165" t="str">
        <f>Lab_Data[[#This Row],[JobRole]]</f>
        <v>Healthcare Representative</v>
      </c>
      <c r="AL165" t="str">
        <f>Lab_Data[[#This Row],[Department]]</f>
        <v>Research &amp; Development</v>
      </c>
      <c r="AM165" t="str">
        <f>IF(Lab_Data[[#This Row],[Attrition]]="Yes","Failed","Completed")</f>
        <v>Completed</v>
      </c>
      <c r="AN165">
        <f>Lab_Data[[#This Row],[YearsAtCompany]]</f>
        <v>5</v>
      </c>
      <c r="AO165" t="str">
        <f>IF(Lab_Data[[#This Row],[PerformanceRating]]&gt;=3,"Approved","Review Required")</f>
        <v>Approved</v>
      </c>
    </row>
    <row r="166" spans="1:41"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t="str">
        <f>"LAB-"&amp;Lab_Data[[#This Row],[EmployeeNumber]]</f>
        <v>LAB-224</v>
      </c>
      <c r="AK166" t="str">
        <f>Lab_Data[[#This Row],[JobRole]]</f>
        <v>Research Scientist</v>
      </c>
      <c r="AL166" t="str">
        <f>Lab_Data[[#This Row],[Department]]</f>
        <v>Research &amp; Development</v>
      </c>
      <c r="AM166" t="str">
        <f>IF(Lab_Data[[#This Row],[Attrition]]="Yes","Failed","Completed")</f>
        <v>Completed</v>
      </c>
      <c r="AN166">
        <f>Lab_Data[[#This Row],[YearsAtCompany]]</f>
        <v>1</v>
      </c>
      <c r="AO166" t="str">
        <f>IF(Lab_Data[[#This Row],[PerformanceRating]]&gt;=3,"Approved","Review Required")</f>
        <v>Approved</v>
      </c>
    </row>
    <row r="167" spans="1:41"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t="str">
        <f>"LAB-"&amp;Lab_Data[[#This Row],[EmployeeNumber]]</f>
        <v>LAB-226</v>
      </c>
      <c r="AK167" t="str">
        <f>Lab_Data[[#This Row],[JobRole]]</f>
        <v>Manager</v>
      </c>
      <c r="AL167" t="str">
        <f>Lab_Data[[#This Row],[Department]]</f>
        <v>Research &amp; Development</v>
      </c>
      <c r="AM167" t="str">
        <f>IF(Lab_Data[[#This Row],[Attrition]]="Yes","Failed","Completed")</f>
        <v>Completed</v>
      </c>
      <c r="AN167">
        <f>Lab_Data[[#This Row],[YearsAtCompany]]</f>
        <v>5</v>
      </c>
      <c r="AO167" t="str">
        <f>IF(Lab_Data[[#This Row],[PerformanceRating]]&gt;=3,"Approved","Review Required")</f>
        <v>Approved</v>
      </c>
    </row>
    <row r="168" spans="1:41"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t="str">
        <f>"LAB-"&amp;Lab_Data[[#This Row],[EmployeeNumber]]</f>
        <v>LAB-227</v>
      </c>
      <c r="AK168" t="str">
        <f>Lab_Data[[#This Row],[JobRole]]</f>
        <v>Research Scientist</v>
      </c>
      <c r="AL168" t="str">
        <f>Lab_Data[[#This Row],[Department]]</f>
        <v>Research &amp; Development</v>
      </c>
      <c r="AM168" t="str">
        <f>IF(Lab_Data[[#This Row],[Attrition]]="Yes","Failed","Completed")</f>
        <v>Completed</v>
      </c>
      <c r="AN168">
        <f>Lab_Data[[#This Row],[YearsAtCompany]]</f>
        <v>9</v>
      </c>
      <c r="AO168" t="str">
        <f>IF(Lab_Data[[#This Row],[PerformanceRating]]&gt;=3,"Approved","Review Required")</f>
        <v>Approved</v>
      </c>
    </row>
    <row r="169" spans="1:41"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t="str">
        <f>"LAB-"&amp;Lab_Data[[#This Row],[EmployeeNumber]]</f>
        <v>LAB-228</v>
      </c>
      <c r="AK169" t="str">
        <f>Lab_Data[[#This Row],[JobRole]]</f>
        <v>Sales Executive</v>
      </c>
      <c r="AL169" t="str">
        <f>Lab_Data[[#This Row],[Department]]</f>
        <v>Sales</v>
      </c>
      <c r="AM169" t="str">
        <f>IF(Lab_Data[[#This Row],[Attrition]]="Yes","Failed","Completed")</f>
        <v>Completed</v>
      </c>
      <c r="AN169">
        <f>Lab_Data[[#This Row],[YearsAtCompany]]</f>
        <v>10</v>
      </c>
      <c r="AO169" t="str">
        <f>IF(Lab_Data[[#This Row],[PerformanceRating]]&gt;=3,"Approved","Review Required")</f>
        <v>Approved</v>
      </c>
    </row>
    <row r="170" spans="1:41"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t="str">
        <f>"LAB-"&amp;Lab_Data[[#This Row],[EmployeeNumber]]</f>
        <v>LAB-230</v>
      </c>
      <c r="AK170" t="str">
        <f>Lab_Data[[#This Row],[JobRole]]</f>
        <v>Sales Executive</v>
      </c>
      <c r="AL170" t="str">
        <f>Lab_Data[[#This Row],[Department]]</f>
        <v>Sales</v>
      </c>
      <c r="AM170" t="str">
        <f>IF(Lab_Data[[#This Row],[Attrition]]="Yes","Failed","Completed")</f>
        <v>Completed</v>
      </c>
      <c r="AN170">
        <f>Lab_Data[[#This Row],[YearsAtCompany]]</f>
        <v>8</v>
      </c>
      <c r="AO170" t="str">
        <f>IF(Lab_Data[[#This Row],[PerformanceRating]]&gt;=3,"Approved","Review Required")</f>
        <v>Approved</v>
      </c>
    </row>
    <row r="171" spans="1:41"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t="str">
        <f>"LAB-"&amp;Lab_Data[[#This Row],[EmployeeNumber]]</f>
        <v>LAB-231</v>
      </c>
      <c r="AK171" t="str">
        <f>Lab_Data[[#This Row],[JobRole]]</f>
        <v>Research Scientist</v>
      </c>
      <c r="AL171" t="str">
        <f>Lab_Data[[#This Row],[Department]]</f>
        <v>Research &amp; Development</v>
      </c>
      <c r="AM171" t="str">
        <f>IF(Lab_Data[[#This Row],[Attrition]]="Yes","Failed","Completed")</f>
        <v>Completed</v>
      </c>
      <c r="AN171">
        <f>Lab_Data[[#This Row],[YearsAtCompany]]</f>
        <v>5</v>
      </c>
      <c r="AO171" t="str">
        <f>IF(Lab_Data[[#This Row],[PerformanceRating]]&gt;=3,"Approved","Review Required")</f>
        <v>Approved</v>
      </c>
    </row>
    <row r="172" spans="1:41"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t="str">
        <f>"LAB-"&amp;Lab_Data[[#This Row],[EmployeeNumber]]</f>
        <v>LAB-233</v>
      </c>
      <c r="AK172" t="str">
        <f>Lab_Data[[#This Row],[JobRole]]</f>
        <v>Research Scientist</v>
      </c>
      <c r="AL172" t="str">
        <f>Lab_Data[[#This Row],[Department]]</f>
        <v>Research &amp; Development</v>
      </c>
      <c r="AM172" t="str">
        <f>IF(Lab_Data[[#This Row],[Attrition]]="Yes","Failed","Completed")</f>
        <v>Completed</v>
      </c>
      <c r="AN172">
        <f>Lab_Data[[#This Row],[YearsAtCompany]]</f>
        <v>5</v>
      </c>
      <c r="AO172" t="str">
        <f>IF(Lab_Data[[#This Row],[PerformanceRating]]&gt;=3,"Approved","Review Required")</f>
        <v>Approved</v>
      </c>
    </row>
    <row r="173" spans="1:41"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t="str">
        <f>"LAB-"&amp;Lab_Data[[#This Row],[EmployeeNumber]]</f>
        <v>LAB-235</v>
      </c>
      <c r="AK173" t="str">
        <f>Lab_Data[[#This Row],[JobRole]]</f>
        <v>Sales Representative</v>
      </c>
      <c r="AL173" t="str">
        <f>Lab_Data[[#This Row],[Department]]</f>
        <v>Sales</v>
      </c>
      <c r="AM173" t="str">
        <f>IF(Lab_Data[[#This Row],[Attrition]]="Yes","Failed","Completed")</f>
        <v>Failed</v>
      </c>
      <c r="AN173">
        <f>Lab_Data[[#This Row],[YearsAtCompany]]</f>
        <v>0</v>
      </c>
      <c r="AO173" t="str">
        <f>IF(Lab_Data[[#This Row],[PerformanceRating]]&gt;=3,"Approved","Review Required")</f>
        <v>Approved</v>
      </c>
    </row>
    <row r="174" spans="1:41"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t="str">
        <f>"LAB-"&amp;Lab_Data[[#This Row],[EmployeeNumber]]</f>
        <v>LAB-238</v>
      </c>
      <c r="AK174" t="str">
        <f>Lab_Data[[#This Row],[JobRole]]</f>
        <v>Laboratory Technician</v>
      </c>
      <c r="AL174" t="str">
        <f>Lab_Data[[#This Row],[Department]]</f>
        <v>Research &amp; Development</v>
      </c>
      <c r="AM174" t="str">
        <f>IF(Lab_Data[[#This Row],[Attrition]]="Yes","Failed","Completed")</f>
        <v>Completed</v>
      </c>
      <c r="AN174">
        <f>Lab_Data[[#This Row],[YearsAtCompany]]</f>
        <v>8</v>
      </c>
      <c r="AO174" t="str">
        <f>IF(Lab_Data[[#This Row],[PerformanceRating]]&gt;=3,"Approved","Review Required")</f>
        <v>Approved</v>
      </c>
    </row>
    <row r="175" spans="1:41"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t="str">
        <f>"LAB-"&amp;Lab_Data[[#This Row],[EmployeeNumber]]</f>
        <v>LAB-239</v>
      </c>
      <c r="AK175" t="str">
        <f>Lab_Data[[#This Row],[JobRole]]</f>
        <v>Laboratory Technician</v>
      </c>
      <c r="AL175" t="str">
        <f>Lab_Data[[#This Row],[Department]]</f>
        <v>Research &amp; Development</v>
      </c>
      <c r="AM175" t="str">
        <f>IF(Lab_Data[[#This Row],[Attrition]]="Yes","Failed","Completed")</f>
        <v>Completed</v>
      </c>
      <c r="AN175">
        <f>Lab_Data[[#This Row],[YearsAtCompany]]</f>
        <v>12</v>
      </c>
      <c r="AO175" t="str">
        <f>IF(Lab_Data[[#This Row],[PerformanceRating]]&gt;=3,"Approved","Review Required")</f>
        <v>Approved</v>
      </c>
    </row>
    <row r="176" spans="1:41"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t="str">
        <f>"LAB-"&amp;Lab_Data[[#This Row],[EmployeeNumber]]</f>
        <v>LAB-240</v>
      </c>
      <c r="AK176" t="str">
        <f>Lab_Data[[#This Row],[JobRole]]</f>
        <v>Sales Executive</v>
      </c>
      <c r="AL176" t="str">
        <f>Lab_Data[[#This Row],[Department]]</f>
        <v>Sales</v>
      </c>
      <c r="AM176" t="str">
        <f>IF(Lab_Data[[#This Row],[Attrition]]="Yes","Failed","Completed")</f>
        <v>Completed</v>
      </c>
      <c r="AN176">
        <f>Lab_Data[[#This Row],[YearsAtCompany]]</f>
        <v>5</v>
      </c>
      <c r="AO176" t="str">
        <f>IF(Lab_Data[[#This Row],[PerformanceRating]]&gt;=3,"Approved","Review Required")</f>
        <v>Approved</v>
      </c>
    </row>
    <row r="177" spans="1:41"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t="str">
        <f>"LAB-"&amp;Lab_Data[[#This Row],[EmployeeNumber]]</f>
        <v>LAB-241</v>
      </c>
      <c r="AK177" t="str">
        <f>Lab_Data[[#This Row],[JobRole]]</f>
        <v>Research Scientist</v>
      </c>
      <c r="AL177" t="str">
        <f>Lab_Data[[#This Row],[Department]]</f>
        <v>Research &amp; Development</v>
      </c>
      <c r="AM177" t="str">
        <f>IF(Lab_Data[[#This Row],[Attrition]]="Yes","Failed","Completed")</f>
        <v>Completed</v>
      </c>
      <c r="AN177">
        <f>Lab_Data[[#This Row],[YearsAtCompany]]</f>
        <v>2</v>
      </c>
      <c r="AO177" t="str">
        <f>IF(Lab_Data[[#This Row],[PerformanceRating]]&gt;=3,"Approved","Review Required")</f>
        <v>Approved</v>
      </c>
    </row>
    <row r="178" spans="1:41"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t="str">
        <f>"LAB-"&amp;Lab_Data[[#This Row],[EmployeeNumber]]</f>
        <v>LAB-242</v>
      </c>
      <c r="AK178" t="str">
        <f>Lab_Data[[#This Row],[JobRole]]</f>
        <v>Research Scientist</v>
      </c>
      <c r="AL178" t="str">
        <f>Lab_Data[[#This Row],[Department]]</f>
        <v>Research &amp; Development</v>
      </c>
      <c r="AM178" t="str">
        <f>IF(Lab_Data[[#This Row],[Attrition]]="Yes","Failed","Completed")</f>
        <v>Completed</v>
      </c>
      <c r="AN178">
        <f>Lab_Data[[#This Row],[YearsAtCompany]]</f>
        <v>3</v>
      </c>
      <c r="AO178" t="str">
        <f>IF(Lab_Data[[#This Row],[PerformanceRating]]&gt;=3,"Approved","Review Required")</f>
        <v>Approved</v>
      </c>
    </row>
    <row r="179" spans="1:41"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t="str">
        <f>"LAB-"&amp;Lab_Data[[#This Row],[EmployeeNumber]]</f>
        <v>LAB-243</v>
      </c>
      <c r="AK179" t="str">
        <f>Lab_Data[[#This Row],[JobRole]]</f>
        <v>Laboratory Technician</v>
      </c>
      <c r="AL179" t="str">
        <f>Lab_Data[[#This Row],[Department]]</f>
        <v>Research &amp; Development</v>
      </c>
      <c r="AM179" t="str">
        <f>IF(Lab_Data[[#This Row],[Attrition]]="Yes","Failed","Completed")</f>
        <v>Failed</v>
      </c>
      <c r="AN179">
        <f>Lab_Data[[#This Row],[YearsAtCompany]]</f>
        <v>1</v>
      </c>
      <c r="AO179" t="str">
        <f>IF(Lab_Data[[#This Row],[PerformanceRating]]&gt;=3,"Approved","Review Required")</f>
        <v>Approved</v>
      </c>
    </row>
    <row r="180" spans="1:41"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t="str">
        <f>"LAB-"&amp;Lab_Data[[#This Row],[EmployeeNumber]]</f>
        <v>LAB-244</v>
      </c>
      <c r="AK180" t="str">
        <f>Lab_Data[[#This Row],[JobRole]]</f>
        <v>Sales Executive</v>
      </c>
      <c r="AL180" t="str">
        <f>Lab_Data[[#This Row],[Department]]</f>
        <v>Sales</v>
      </c>
      <c r="AM180" t="str">
        <f>IF(Lab_Data[[#This Row],[Attrition]]="Yes","Failed","Completed")</f>
        <v>Completed</v>
      </c>
      <c r="AN180">
        <f>Lab_Data[[#This Row],[YearsAtCompany]]</f>
        <v>24</v>
      </c>
      <c r="AO180" t="str">
        <f>IF(Lab_Data[[#This Row],[PerformanceRating]]&gt;=3,"Approved","Review Required")</f>
        <v>Approved</v>
      </c>
    </row>
    <row r="181" spans="1:41"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t="str">
        <f>"LAB-"&amp;Lab_Data[[#This Row],[EmployeeNumber]]</f>
        <v>LAB-245</v>
      </c>
      <c r="AK181" t="str">
        <f>Lab_Data[[#This Row],[JobRole]]</f>
        <v>Laboratory Technician</v>
      </c>
      <c r="AL181" t="str">
        <f>Lab_Data[[#This Row],[Department]]</f>
        <v>Research &amp; Development</v>
      </c>
      <c r="AM181" t="str">
        <f>IF(Lab_Data[[#This Row],[Attrition]]="Yes","Failed","Completed")</f>
        <v>Completed</v>
      </c>
      <c r="AN181">
        <f>Lab_Data[[#This Row],[YearsAtCompany]]</f>
        <v>2</v>
      </c>
      <c r="AO181" t="str">
        <f>IF(Lab_Data[[#This Row],[PerformanceRating]]&gt;=3,"Approved","Review Required")</f>
        <v>Approved</v>
      </c>
    </row>
    <row r="182" spans="1:41"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t="str">
        <f>"LAB-"&amp;Lab_Data[[#This Row],[EmployeeNumber]]</f>
        <v>LAB-246</v>
      </c>
      <c r="AK182" t="str">
        <f>Lab_Data[[#This Row],[JobRole]]</f>
        <v>Research Scientist</v>
      </c>
      <c r="AL182" t="str">
        <f>Lab_Data[[#This Row],[Department]]</f>
        <v>Research &amp; Development</v>
      </c>
      <c r="AM182" t="str">
        <f>IF(Lab_Data[[#This Row],[Attrition]]="Yes","Failed","Completed")</f>
        <v>Completed</v>
      </c>
      <c r="AN182">
        <f>Lab_Data[[#This Row],[YearsAtCompany]]</f>
        <v>4</v>
      </c>
      <c r="AO182" t="str">
        <f>IF(Lab_Data[[#This Row],[PerformanceRating]]&gt;=3,"Approved","Review Required")</f>
        <v>Approved</v>
      </c>
    </row>
    <row r="183" spans="1:41"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t="str">
        <f>"LAB-"&amp;Lab_Data[[#This Row],[EmployeeNumber]]</f>
        <v>LAB-247</v>
      </c>
      <c r="AK183" t="str">
        <f>Lab_Data[[#This Row],[JobRole]]</f>
        <v>Research Scientist</v>
      </c>
      <c r="AL183" t="str">
        <f>Lab_Data[[#This Row],[Department]]</f>
        <v>Research &amp; Development</v>
      </c>
      <c r="AM183" t="str">
        <f>IF(Lab_Data[[#This Row],[Attrition]]="Yes","Failed","Completed")</f>
        <v>Completed</v>
      </c>
      <c r="AN183">
        <f>Lab_Data[[#This Row],[YearsAtCompany]]</f>
        <v>3</v>
      </c>
      <c r="AO183" t="str">
        <f>IF(Lab_Data[[#This Row],[PerformanceRating]]&gt;=3,"Approved","Review Required")</f>
        <v>Approved</v>
      </c>
    </row>
    <row r="184" spans="1:41"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t="str">
        <f>"LAB-"&amp;Lab_Data[[#This Row],[EmployeeNumber]]</f>
        <v>LAB-248</v>
      </c>
      <c r="AK184" t="str">
        <f>Lab_Data[[#This Row],[JobRole]]</f>
        <v>Sales Representative</v>
      </c>
      <c r="AL184" t="str">
        <f>Lab_Data[[#This Row],[Department]]</f>
        <v>Sales</v>
      </c>
      <c r="AM184" t="str">
        <f>IF(Lab_Data[[#This Row],[Attrition]]="Yes","Failed","Completed")</f>
        <v>Failed</v>
      </c>
      <c r="AN184">
        <f>Lab_Data[[#This Row],[YearsAtCompany]]</f>
        <v>4</v>
      </c>
      <c r="AO184" t="str">
        <f>IF(Lab_Data[[#This Row],[PerformanceRating]]&gt;=3,"Approved","Review Required")</f>
        <v>Approved</v>
      </c>
    </row>
    <row r="185" spans="1:41"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t="str">
        <f>"LAB-"&amp;Lab_Data[[#This Row],[EmployeeNumber]]</f>
        <v>LAB-249</v>
      </c>
      <c r="AK185" t="str">
        <f>Lab_Data[[#This Row],[JobRole]]</f>
        <v>Laboratory Technician</v>
      </c>
      <c r="AL185" t="str">
        <f>Lab_Data[[#This Row],[Department]]</f>
        <v>Research &amp; Development</v>
      </c>
      <c r="AM185" t="str">
        <f>IF(Lab_Data[[#This Row],[Attrition]]="Yes","Failed","Completed")</f>
        <v>Completed</v>
      </c>
      <c r="AN185">
        <f>Lab_Data[[#This Row],[YearsAtCompany]]</f>
        <v>3</v>
      </c>
      <c r="AO185" t="str">
        <f>IF(Lab_Data[[#This Row],[PerformanceRating]]&gt;=3,"Approved","Review Required")</f>
        <v>Approved</v>
      </c>
    </row>
    <row r="186" spans="1:41"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t="str">
        <f>"LAB-"&amp;Lab_Data[[#This Row],[EmployeeNumber]]</f>
        <v>LAB-250</v>
      </c>
      <c r="AK186" t="str">
        <f>Lab_Data[[#This Row],[JobRole]]</f>
        <v>Manufacturing Director</v>
      </c>
      <c r="AL186" t="str">
        <f>Lab_Data[[#This Row],[Department]]</f>
        <v>Research &amp; Development</v>
      </c>
      <c r="AM186" t="str">
        <f>IF(Lab_Data[[#This Row],[Attrition]]="Yes","Failed","Completed")</f>
        <v>Completed</v>
      </c>
      <c r="AN186">
        <f>Lab_Data[[#This Row],[YearsAtCompany]]</f>
        <v>4</v>
      </c>
      <c r="AO186" t="str">
        <f>IF(Lab_Data[[#This Row],[PerformanceRating]]&gt;=3,"Approved","Review Required")</f>
        <v>Approved</v>
      </c>
    </row>
    <row r="187" spans="1:41"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t="str">
        <f>"LAB-"&amp;Lab_Data[[#This Row],[EmployeeNumber]]</f>
        <v>LAB-252</v>
      </c>
      <c r="AK187" t="str">
        <f>Lab_Data[[#This Row],[JobRole]]</f>
        <v>Research Scientist</v>
      </c>
      <c r="AL187" t="str">
        <f>Lab_Data[[#This Row],[Department]]</f>
        <v>Research &amp; Development</v>
      </c>
      <c r="AM187" t="str">
        <f>IF(Lab_Data[[#This Row],[Attrition]]="Yes","Failed","Completed")</f>
        <v>Completed</v>
      </c>
      <c r="AN187">
        <f>Lab_Data[[#This Row],[YearsAtCompany]]</f>
        <v>8</v>
      </c>
      <c r="AO187" t="str">
        <f>IF(Lab_Data[[#This Row],[PerformanceRating]]&gt;=3,"Approved","Review Required")</f>
        <v>Approved</v>
      </c>
    </row>
    <row r="188" spans="1:41"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t="str">
        <f>"LAB-"&amp;Lab_Data[[#This Row],[EmployeeNumber]]</f>
        <v>LAB-253</v>
      </c>
      <c r="AK188" t="str">
        <f>Lab_Data[[#This Row],[JobRole]]</f>
        <v>Manager</v>
      </c>
      <c r="AL188" t="str">
        <f>Lab_Data[[#This Row],[Department]]</f>
        <v>Research &amp; Development</v>
      </c>
      <c r="AM188" t="str">
        <f>IF(Lab_Data[[#This Row],[Attrition]]="Yes","Failed","Completed")</f>
        <v>Completed</v>
      </c>
      <c r="AN188">
        <f>Lab_Data[[#This Row],[YearsAtCompany]]</f>
        <v>20</v>
      </c>
      <c r="AO188" t="str">
        <f>IF(Lab_Data[[#This Row],[PerformanceRating]]&gt;=3,"Approved","Review Required")</f>
        <v>Approved</v>
      </c>
    </row>
    <row r="189" spans="1:41"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t="str">
        <f>"LAB-"&amp;Lab_Data[[#This Row],[EmployeeNumber]]</f>
        <v>LAB-254</v>
      </c>
      <c r="AK189" t="str">
        <f>Lab_Data[[#This Row],[JobRole]]</f>
        <v>Research Director</v>
      </c>
      <c r="AL189" t="str">
        <f>Lab_Data[[#This Row],[Department]]</f>
        <v>Research &amp; Development</v>
      </c>
      <c r="AM189" t="str">
        <f>IF(Lab_Data[[#This Row],[Attrition]]="Yes","Failed","Completed")</f>
        <v>Completed</v>
      </c>
      <c r="AN189">
        <f>Lab_Data[[#This Row],[YearsAtCompany]]</f>
        <v>24</v>
      </c>
      <c r="AO189" t="str">
        <f>IF(Lab_Data[[#This Row],[PerformanceRating]]&gt;=3,"Approved","Review Required")</f>
        <v>Approved</v>
      </c>
    </row>
    <row r="190" spans="1:41"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t="str">
        <f>"LAB-"&amp;Lab_Data[[#This Row],[EmployeeNumber]]</f>
        <v>LAB-256</v>
      </c>
      <c r="AK190" t="str">
        <f>Lab_Data[[#This Row],[JobRole]]</f>
        <v>Manufacturing Director</v>
      </c>
      <c r="AL190" t="str">
        <f>Lab_Data[[#This Row],[Department]]</f>
        <v>Research &amp; Development</v>
      </c>
      <c r="AM190" t="str">
        <f>IF(Lab_Data[[#This Row],[Attrition]]="Yes","Failed","Completed")</f>
        <v>Completed</v>
      </c>
      <c r="AN190">
        <f>Lab_Data[[#This Row],[YearsAtCompany]]</f>
        <v>10</v>
      </c>
      <c r="AO190" t="str">
        <f>IF(Lab_Data[[#This Row],[PerformanceRating]]&gt;=3,"Approved","Review Required")</f>
        <v>Approved</v>
      </c>
    </row>
    <row r="191" spans="1:41"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t="str">
        <f>"LAB-"&amp;Lab_Data[[#This Row],[EmployeeNumber]]</f>
        <v>LAB-258</v>
      </c>
      <c r="AK191" t="str">
        <f>Lab_Data[[#This Row],[JobRole]]</f>
        <v>Healthcare Representative</v>
      </c>
      <c r="AL191" t="str">
        <f>Lab_Data[[#This Row],[Department]]</f>
        <v>Research &amp; Development</v>
      </c>
      <c r="AM191" t="str">
        <f>IF(Lab_Data[[#This Row],[Attrition]]="Yes","Failed","Completed")</f>
        <v>Completed</v>
      </c>
      <c r="AN191">
        <f>Lab_Data[[#This Row],[YearsAtCompany]]</f>
        <v>7</v>
      </c>
      <c r="AO191" t="str">
        <f>IF(Lab_Data[[#This Row],[PerformanceRating]]&gt;=3,"Approved","Review Required")</f>
        <v>Approved</v>
      </c>
    </row>
    <row r="192" spans="1:41"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t="str">
        <f>"LAB-"&amp;Lab_Data[[#This Row],[EmployeeNumber]]</f>
        <v>LAB-259</v>
      </c>
      <c r="AK192" t="str">
        <f>Lab_Data[[#This Row],[JobRole]]</f>
        <v>Manager</v>
      </c>
      <c r="AL192" t="str">
        <f>Lab_Data[[#This Row],[Department]]</f>
        <v>Research &amp; Development</v>
      </c>
      <c r="AM192" t="str">
        <f>IF(Lab_Data[[#This Row],[Attrition]]="Yes","Failed","Completed")</f>
        <v>Completed</v>
      </c>
      <c r="AN192">
        <f>Lab_Data[[#This Row],[YearsAtCompany]]</f>
        <v>33</v>
      </c>
      <c r="AO192" t="str">
        <f>IF(Lab_Data[[#This Row],[PerformanceRating]]&gt;=3,"Approved","Review Required")</f>
        <v>Approved</v>
      </c>
    </row>
    <row r="193" spans="1:41"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t="str">
        <f>"LAB-"&amp;Lab_Data[[#This Row],[EmployeeNumber]]</f>
        <v>LAB-260</v>
      </c>
      <c r="AK193" t="str">
        <f>Lab_Data[[#This Row],[JobRole]]</f>
        <v>Research Scientist</v>
      </c>
      <c r="AL193" t="str">
        <f>Lab_Data[[#This Row],[Department]]</f>
        <v>Research &amp; Development</v>
      </c>
      <c r="AM193" t="str">
        <f>IF(Lab_Data[[#This Row],[Attrition]]="Yes","Failed","Completed")</f>
        <v>Completed</v>
      </c>
      <c r="AN193">
        <f>Lab_Data[[#This Row],[YearsAtCompany]]</f>
        <v>7</v>
      </c>
      <c r="AO193" t="str">
        <f>IF(Lab_Data[[#This Row],[PerformanceRating]]&gt;=3,"Approved","Review Required")</f>
        <v>Approved</v>
      </c>
    </row>
    <row r="194" spans="1:41"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t="str">
        <f>"LAB-"&amp;Lab_Data[[#This Row],[EmployeeNumber]]</f>
        <v>LAB-261</v>
      </c>
      <c r="AK194" t="str">
        <f>Lab_Data[[#This Row],[JobRole]]</f>
        <v>Manufacturing Director</v>
      </c>
      <c r="AL194" t="str">
        <f>Lab_Data[[#This Row],[Department]]</f>
        <v>Research &amp; Development</v>
      </c>
      <c r="AM194" t="str">
        <f>IF(Lab_Data[[#This Row],[Attrition]]="Yes","Failed","Completed")</f>
        <v>Failed</v>
      </c>
      <c r="AN194">
        <f>Lab_Data[[#This Row],[YearsAtCompany]]</f>
        <v>1</v>
      </c>
      <c r="AO194" t="str">
        <f>IF(Lab_Data[[#This Row],[PerformanceRating]]&gt;=3,"Approved","Review Required")</f>
        <v>Approved</v>
      </c>
    </row>
    <row r="195" spans="1:41"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t="str">
        <f>"LAB-"&amp;Lab_Data[[#This Row],[EmployeeNumber]]</f>
        <v>LAB-262</v>
      </c>
      <c r="AK195" t="str">
        <f>Lab_Data[[#This Row],[JobRole]]</f>
        <v>Research Scientist</v>
      </c>
      <c r="AL195" t="str">
        <f>Lab_Data[[#This Row],[Department]]</f>
        <v>Research &amp; Development</v>
      </c>
      <c r="AM195" t="str">
        <f>IF(Lab_Data[[#This Row],[Attrition]]="Yes","Failed","Completed")</f>
        <v>Completed</v>
      </c>
      <c r="AN195">
        <f>Lab_Data[[#This Row],[YearsAtCompany]]</f>
        <v>5</v>
      </c>
      <c r="AO195" t="str">
        <f>IF(Lab_Data[[#This Row],[PerformanceRating]]&gt;=3,"Approved","Review Required")</f>
        <v>Approved</v>
      </c>
    </row>
    <row r="196" spans="1:41"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t="str">
        <f>"LAB-"&amp;Lab_Data[[#This Row],[EmployeeNumber]]</f>
        <v>LAB-264</v>
      </c>
      <c r="AK196" t="str">
        <f>Lab_Data[[#This Row],[JobRole]]</f>
        <v>Manager</v>
      </c>
      <c r="AL196" t="str">
        <f>Lab_Data[[#This Row],[Department]]</f>
        <v>Research &amp; Development</v>
      </c>
      <c r="AM196" t="str">
        <f>IF(Lab_Data[[#This Row],[Attrition]]="Yes","Failed","Completed")</f>
        <v>Completed</v>
      </c>
      <c r="AN196">
        <f>Lab_Data[[#This Row],[YearsAtCompany]]</f>
        <v>20</v>
      </c>
      <c r="AO196" t="str">
        <f>IF(Lab_Data[[#This Row],[PerformanceRating]]&gt;=3,"Approved","Review Required")</f>
        <v>Approved</v>
      </c>
    </row>
    <row r="197" spans="1:41"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t="str">
        <f>"LAB-"&amp;Lab_Data[[#This Row],[EmployeeNumber]]</f>
        <v>LAB-267</v>
      </c>
      <c r="AK197" t="str">
        <f>Lab_Data[[#This Row],[JobRole]]</f>
        <v>Research Scientist</v>
      </c>
      <c r="AL197" t="str">
        <f>Lab_Data[[#This Row],[Department]]</f>
        <v>Research &amp; Development</v>
      </c>
      <c r="AM197" t="str">
        <f>IF(Lab_Data[[#This Row],[Attrition]]="Yes","Failed","Completed")</f>
        <v>Completed</v>
      </c>
      <c r="AN197">
        <f>Lab_Data[[#This Row],[YearsAtCompany]]</f>
        <v>8</v>
      </c>
      <c r="AO197" t="str">
        <f>IF(Lab_Data[[#This Row],[PerformanceRating]]&gt;=3,"Approved","Review Required")</f>
        <v>Approved</v>
      </c>
    </row>
    <row r="198" spans="1:41"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t="str">
        <f>"LAB-"&amp;Lab_Data[[#This Row],[EmployeeNumber]]</f>
        <v>LAB-269</v>
      </c>
      <c r="AK198" t="str">
        <f>Lab_Data[[#This Row],[JobRole]]</f>
        <v>Laboratory Technician</v>
      </c>
      <c r="AL198" t="str">
        <f>Lab_Data[[#This Row],[Department]]</f>
        <v>Research &amp; Development</v>
      </c>
      <c r="AM198" t="str">
        <f>IF(Lab_Data[[#This Row],[Attrition]]="Yes","Failed","Completed")</f>
        <v>Completed</v>
      </c>
      <c r="AN198">
        <f>Lab_Data[[#This Row],[YearsAtCompany]]</f>
        <v>6</v>
      </c>
      <c r="AO198" t="str">
        <f>IF(Lab_Data[[#This Row],[PerformanceRating]]&gt;=3,"Approved","Review Required")</f>
        <v>Approved</v>
      </c>
    </row>
    <row r="199" spans="1:41"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t="str">
        <f>"LAB-"&amp;Lab_Data[[#This Row],[EmployeeNumber]]</f>
        <v>LAB-270</v>
      </c>
      <c r="AK199" t="str">
        <f>Lab_Data[[#This Row],[JobRole]]</f>
        <v>Manufacturing Director</v>
      </c>
      <c r="AL199" t="str">
        <f>Lab_Data[[#This Row],[Department]]</f>
        <v>Research &amp; Development</v>
      </c>
      <c r="AM199" t="str">
        <f>IF(Lab_Data[[#This Row],[Attrition]]="Yes","Failed","Completed")</f>
        <v>Completed</v>
      </c>
      <c r="AN199">
        <f>Lab_Data[[#This Row],[YearsAtCompany]]</f>
        <v>5</v>
      </c>
      <c r="AO199" t="str">
        <f>IF(Lab_Data[[#This Row],[PerformanceRating]]&gt;=3,"Approved","Review Required")</f>
        <v>Approved</v>
      </c>
    </row>
    <row r="200" spans="1:41"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t="str">
        <f>"LAB-"&amp;Lab_Data[[#This Row],[EmployeeNumber]]</f>
        <v>LAB-271</v>
      </c>
      <c r="AK200" t="str">
        <f>Lab_Data[[#This Row],[JobRole]]</f>
        <v>Manufacturing Director</v>
      </c>
      <c r="AL200" t="str">
        <f>Lab_Data[[#This Row],[Department]]</f>
        <v>Research &amp; Development</v>
      </c>
      <c r="AM200" t="str">
        <f>IF(Lab_Data[[#This Row],[Attrition]]="Yes","Failed","Completed")</f>
        <v>Completed</v>
      </c>
      <c r="AN200">
        <f>Lab_Data[[#This Row],[YearsAtCompany]]</f>
        <v>1</v>
      </c>
      <c r="AO200" t="str">
        <f>IF(Lab_Data[[#This Row],[PerformanceRating]]&gt;=3,"Approved","Review Required")</f>
        <v>Approved</v>
      </c>
    </row>
    <row r="201" spans="1:41"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t="str">
        <f>"LAB-"&amp;Lab_Data[[#This Row],[EmployeeNumber]]</f>
        <v>LAB-273</v>
      </c>
      <c r="AK201" t="str">
        <f>Lab_Data[[#This Row],[JobRole]]</f>
        <v>Manufacturing Director</v>
      </c>
      <c r="AL201" t="str">
        <f>Lab_Data[[#This Row],[Department]]</f>
        <v>Research &amp; Development</v>
      </c>
      <c r="AM201" t="str">
        <f>IF(Lab_Data[[#This Row],[Attrition]]="Yes","Failed","Completed")</f>
        <v>Completed</v>
      </c>
      <c r="AN201">
        <f>Lab_Data[[#This Row],[YearsAtCompany]]</f>
        <v>7</v>
      </c>
      <c r="AO201" t="str">
        <f>IF(Lab_Data[[#This Row],[PerformanceRating]]&gt;=3,"Approved","Review Required")</f>
        <v>Approved</v>
      </c>
    </row>
    <row r="202" spans="1:41"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t="str">
        <f>"LAB-"&amp;Lab_Data[[#This Row],[EmployeeNumber]]</f>
        <v>LAB-274</v>
      </c>
      <c r="AK202" t="str">
        <f>Lab_Data[[#This Row],[JobRole]]</f>
        <v>Manufacturing Director</v>
      </c>
      <c r="AL202" t="str">
        <f>Lab_Data[[#This Row],[Department]]</f>
        <v>Research &amp; Development</v>
      </c>
      <c r="AM202" t="str">
        <f>IF(Lab_Data[[#This Row],[Attrition]]="Yes","Failed","Completed")</f>
        <v>Completed</v>
      </c>
      <c r="AN202">
        <f>Lab_Data[[#This Row],[YearsAtCompany]]</f>
        <v>2</v>
      </c>
      <c r="AO202" t="str">
        <f>IF(Lab_Data[[#This Row],[PerformanceRating]]&gt;=3,"Approved","Review Required")</f>
        <v>Approved</v>
      </c>
    </row>
    <row r="203" spans="1:41"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t="str">
        <f>"LAB-"&amp;Lab_Data[[#This Row],[EmployeeNumber]]</f>
        <v>LAB-275</v>
      </c>
      <c r="AK203" t="str">
        <f>Lab_Data[[#This Row],[JobRole]]</f>
        <v>Manufacturing Director</v>
      </c>
      <c r="AL203" t="str">
        <f>Lab_Data[[#This Row],[Department]]</f>
        <v>Research &amp; Development</v>
      </c>
      <c r="AM203" t="str">
        <f>IF(Lab_Data[[#This Row],[Attrition]]="Yes","Failed","Completed")</f>
        <v>Completed</v>
      </c>
      <c r="AN203">
        <f>Lab_Data[[#This Row],[YearsAtCompany]]</f>
        <v>7</v>
      </c>
      <c r="AO203" t="str">
        <f>IF(Lab_Data[[#This Row],[PerformanceRating]]&gt;=3,"Approved","Review Required")</f>
        <v>Approved</v>
      </c>
    </row>
    <row r="204" spans="1:41"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t="str">
        <f>"LAB-"&amp;Lab_Data[[#This Row],[EmployeeNumber]]</f>
        <v>LAB-277</v>
      </c>
      <c r="AK204" t="str">
        <f>Lab_Data[[#This Row],[JobRole]]</f>
        <v>Research Scientist</v>
      </c>
      <c r="AL204" t="str">
        <f>Lab_Data[[#This Row],[Department]]</f>
        <v>Research &amp; Development</v>
      </c>
      <c r="AM204" t="str">
        <f>IF(Lab_Data[[#This Row],[Attrition]]="Yes","Failed","Completed")</f>
        <v>Completed</v>
      </c>
      <c r="AN204">
        <f>Lab_Data[[#This Row],[YearsAtCompany]]</f>
        <v>5</v>
      </c>
      <c r="AO204" t="str">
        <f>IF(Lab_Data[[#This Row],[PerformanceRating]]&gt;=3,"Approved","Review Required")</f>
        <v>Approved</v>
      </c>
    </row>
    <row r="205" spans="1:41"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t="str">
        <f>"LAB-"&amp;Lab_Data[[#This Row],[EmployeeNumber]]</f>
        <v>LAB-281</v>
      </c>
      <c r="AK205" t="str">
        <f>Lab_Data[[#This Row],[JobRole]]</f>
        <v>Laboratory Technician</v>
      </c>
      <c r="AL205" t="str">
        <f>Lab_Data[[#This Row],[Department]]</f>
        <v>Research &amp; Development</v>
      </c>
      <c r="AM205" t="str">
        <f>IF(Lab_Data[[#This Row],[Attrition]]="Yes","Failed","Completed")</f>
        <v>Completed</v>
      </c>
      <c r="AN205">
        <f>Lab_Data[[#This Row],[YearsAtCompany]]</f>
        <v>7</v>
      </c>
      <c r="AO205" t="str">
        <f>IF(Lab_Data[[#This Row],[PerformanceRating]]&gt;=3,"Approved","Review Required")</f>
        <v>Approved</v>
      </c>
    </row>
    <row r="206" spans="1:41"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t="str">
        <f>"LAB-"&amp;Lab_Data[[#This Row],[EmployeeNumber]]</f>
        <v>LAB-282</v>
      </c>
      <c r="AK206" t="str">
        <f>Lab_Data[[#This Row],[JobRole]]</f>
        <v>Healthcare Representative</v>
      </c>
      <c r="AL206" t="str">
        <f>Lab_Data[[#This Row],[Department]]</f>
        <v>Research &amp; Development</v>
      </c>
      <c r="AM206" t="str">
        <f>IF(Lab_Data[[#This Row],[Attrition]]="Yes","Failed","Completed")</f>
        <v>Failed</v>
      </c>
      <c r="AN206">
        <f>Lab_Data[[#This Row],[YearsAtCompany]]</f>
        <v>1</v>
      </c>
      <c r="AO206" t="str">
        <f>IF(Lab_Data[[#This Row],[PerformanceRating]]&gt;=3,"Approved","Review Required")</f>
        <v>Approved</v>
      </c>
    </row>
    <row r="207" spans="1:41"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t="str">
        <f>"LAB-"&amp;Lab_Data[[#This Row],[EmployeeNumber]]</f>
        <v>LAB-283</v>
      </c>
      <c r="AK207" t="str">
        <f>Lab_Data[[#This Row],[JobRole]]</f>
        <v>Sales Executive</v>
      </c>
      <c r="AL207" t="str">
        <f>Lab_Data[[#This Row],[Department]]</f>
        <v>Sales</v>
      </c>
      <c r="AM207" t="str">
        <f>IF(Lab_Data[[#This Row],[Attrition]]="Yes","Failed","Completed")</f>
        <v>Failed</v>
      </c>
      <c r="AN207">
        <f>Lab_Data[[#This Row],[YearsAtCompany]]</f>
        <v>10</v>
      </c>
      <c r="AO207" t="str">
        <f>IF(Lab_Data[[#This Row],[PerformanceRating]]&gt;=3,"Approved","Review Required")</f>
        <v>Approved</v>
      </c>
    </row>
    <row r="208" spans="1:41"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t="str">
        <f>"LAB-"&amp;Lab_Data[[#This Row],[EmployeeNumber]]</f>
        <v>LAB-284</v>
      </c>
      <c r="AK208" t="str">
        <f>Lab_Data[[#This Row],[JobRole]]</f>
        <v>Research Scientist</v>
      </c>
      <c r="AL208" t="str">
        <f>Lab_Data[[#This Row],[Department]]</f>
        <v>Research &amp; Development</v>
      </c>
      <c r="AM208" t="str">
        <f>IF(Lab_Data[[#This Row],[Attrition]]="Yes","Failed","Completed")</f>
        <v>Completed</v>
      </c>
      <c r="AN208">
        <f>Lab_Data[[#This Row],[YearsAtCompany]]</f>
        <v>4</v>
      </c>
      <c r="AO208" t="str">
        <f>IF(Lab_Data[[#This Row],[PerformanceRating]]&gt;=3,"Approved","Review Required")</f>
        <v>Approved</v>
      </c>
    </row>
    <row r="209" spans="1:41"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t="str">
        <f>"LAB-"&amp;Lab_Data[[#This Row],[EmployeeNumber]]</f>
        <v>LAB-286</v>
      </c>
      <c r="AK209" t="str">
        <f>Lab_Data[[#This Row],[JobRole]]</f>
        <v>Laboratory Technician</v>
      </c>
      <c r="AL209" t="str">
        <f>Lab_Data[[#This Row],[Department]]</f>
        <v>Research &amp; Development</v>
      </c>
      <c r="AM209" t="str">
        <f>IF(Lab_Data[[#This Row],[Attrition]]="Yes","Failed","Completed")</f>
        <v>Completed</v>
      </c>
      <c r="AN209">
        <f>Lab_Data[[#This Row],[YearsAtCompany]]</f>
        <v>8</v>
      </c>
      <c r="AO209" t="str">
        <f>IF(Lab_Data[[#This Row],[PerformanceRating]]&gt;=3,"Approved","Review Required")</f>
        <v>Approved</v>
      </c>
    </row>
    <row r="210" spans="1:41"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t="str">
        <f>"LAB-"&amp;Lab_Data[[#This Row],[EmployeeNumber]]</f>
        <v>LAB-287</v>
      </c>
      <c r="AK210" t="str">
        <f>Lab_Data[[#This Row],[JobRole]]</f>
        <v>Healthcare Representative</v>
      </c>
      <c r="AL210" t="str">
        <f>Lab_Data[[#This Row],[Department]]</f>
        <v>Research &amp; Development</v>
      </c>
      <c r="AM210" t="str">
        <f>IF(Lab_Data[[#This Row],[Attrition]]="Yes","Failed","Completed")</f>
        <v>Completed</v>
      </c>
      <c r="AN210">
        <f>Lab_Data[[#This Row],[YearsAtCompany]]</f>
        <v>3</v>
      </c>
      <c r="AO210" t="str">
        <f>IF(Lab_Data[[#This Row],[PerformanceRating]]&gt;=3,"Approved","Review Required")</f>
        <v>Approved</v>
      </c>
    </row>
    <row r="211" spans="1:41"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t="str">
        <f>"LAB-"&amp;Lab_Data[[#This Row],[EmployeeNumber]]</f>
        <v>LAB-288</v>
      </c>
      <c r="AK211" t="str">
        <f>Lab_Data[[#This Row],[JobRole]]</f>
        <v>Healthcare Representative</v>
      </c>
      <c r="AL211" t="str">
        <f>Lab_Data[[#This Row],[Department]]</f>
        <v>Research &amp; Development</v>
      </c>
      <c r="AM211" t="str">
        <f>IF(Lab_Data[[#This Row],[Attrition]]="Yes","Failed","Completed")</f>
        <v>Completed</v>
      </c>
      <c r="AN211">
        <f>Lab_Data[[#This Row],[YearsAtCompany]]</f>
        <v>4</v>
      </c>
      <c r="AO211" t="str">
        <f>IF(Lab_Data[[#This Row],[PerformanceRating]]&gt;=3,"Approved","Review Required")</f>
        <v>Approved</v>
      </c>
    </row>
    <row r="212" spans="1:41"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t="str">
        <f>"LAB-"&amp;Lab_Data[[#This Row],[EmployeeNumber]]</f>
        <v>LAB-291</v>
      </c>
      <c r="AK212" t="str">
        <f>Lab_Data[[#This Row],[JobRole]]</f>
        <v>Sales Executive</v>
      </c>
      <c r="AL212" t="str">
        <f>Lab_Data[[#This Row],[Department]]</f>
        <v>Sales</v>
      </c>
      <c r="AM212" t="str">
        <f>IF(Lab_Data[[#This Row],[Attrition]]="Yes","Failed","Completed")</f>
        <v>Failed</v>
      </c>
      <c r="AN212">
        <f>Lab_Data[[#This Row],[YearsAtCompany]]</f>
        <v>14</v>
      </c>
      <c r="AO212" t="str">
        <f>IF(Lab_Data[[#This Row],[PerformanceRating]]&gt;=3,"Approved","Review Required")</f>
        <v>Approved</v>
      </c>
    </row>
    <row r="213" spans="1:41"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t="str">
        <f>"LAB-"&amp;Lab_Data[[#This Row],[EmployeeNumber]]</f>
        <v>LAB-292</v>
      </c>
      <c r="AK213" t="str">
        <f>Lab_Data[[#This Row],[JobRole]]</f>
        <v>Manufacturing Director</v>
      </c>
      <c r="AL213" t="str">
        <f>Lab_Data[[#This Row],[Department]]</f>
        <v>Research &amp; Development</v>
      </c>
      <c r="AM213" t="str">
        <f>IF(Lab_Data[[#This Row],[Attrition]]="Yes","Failed","Completed")</f>
        <v>Completed</v>
      </c>
      <c r="AN213">
        <f>Lab_Data[[#This Row],[YearsAtCompany]]</f>
        <v>11</v>
      </c>
      <c r="AO213" t="str">
        <f>IF(Lab_Data[[#This Row],[PerformanceRating]]&gt;=3,"Approved","Review Required")</f>
        <v>Approved</v>
      </c>
    </row>
    <row r="214" spans="1:41"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t="str">
        <f>"LAB-"&amp;Lab_Data[[#This Row],[EmployeeNumber]]</f>
        <v>LAB-293</v>
      </c>
      <c r="AK214" t="str">
        <f>Lab_Data[[#This Row],[JobRole]]</f>
        <v>Sales Executive</v>
      </c>
      <c r="AL214" t="str">
        <f>Lab_Data[[#This Row],[Department]]</f>
        <v>Sales</v>
      </c>
      <c r="AM214" t="str">
        <f>IF(Lab_Data[[#This Row],[Attrition]]="Yes","Failed","Completed")</f>
        <v>Completed</v>
      </c>
      <c r="AN214">
        <f>Lab_Data[[#This Row],[YearsAtCompany]]</f>
        <v>7</v>
      </c>
      <c r="AO214" t="str">
        <f>IF(Lab_Data[[#This Row],[PerformanceRating]]&gt;=3,"Approved","Review Required")</f>
        <v>Approved</v>
      </c>
    </row>
    <row r="215" spans="1:41"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t="str">
        <f>"LAB-"&amp;Lab_Data[[#This Row],[EmployeeNumber]]</f>
        <v>LAB-296</v>
      </c>
      <c r="AK215" t="str">
        <f>Lab_Data[[#This Row],[JobRole]]</f>
        <v>Research Director</v>
      </c>
      <c r="AL215" t="str">
        <f>Lab_Data[[#This Row],[Department]]</f>
        <v>Research &amp; Development</v>
      </c>
      <c r="AM215" t="str">
        <f>IF(Lab_Data[[#This Row],[Attrition]]="Yes","Failed","Completed")</f>
        <v>Completed</v>
      </c>
      <c r="AN215">
        <f>Lab_Data[[#This Row],[YearsAtCompany]]</f>
        <v>10</v>
      </c>
      <c r="AO215" t="str">
        <f>IF(Lab_Data[[#This Row],[PerformanceRating]]&gt;=3,"Approved","Review Required")</f>
        <v>Approved</v>
      </c>
    </row>
    <row r="216" spans="1:41"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t="str">
        <f>"LAB-"&amp;Lab_Data[[#This Row],[EmployeeNumber]]</f>
        <v>LAB-297</v>
      </c>
      <c r="AK216" t="str">
        <f>Lab_Data[[#This Row],[JobRole]]</f>
        <v>Research Scientist</v>
      </c>
      <c r="AL216" t="str">
        <f>Lab_Data[[#This Row],[Department]]</f>
        <v>Research &amp; Development</v>
      </c>
      <c r="AM216" t="str">
        <f>IF(Lab_Data[[#This Row],[Attrition]]="Yes","Failed","Completed")</f>
        <v>Failed</v>
      </c>
      <c r="AN216">
        <f>Lab_Data[[#This Row],[YearsAtCompany]]</f>
        <v>5</v>
      </c>
      <c r="AO216" t="str">
        <f>IF(Lab_Data[[#This Row],[PerformanceRating]]&gt;=3,"Approved","Review Required")</f>
        <v>Approved</v>
      </c>
    </row>
    <row r="217" spans="1:41"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t="str">
        <f>"LAB-"&amp;Lab_Data[[#This Row],[EmployeeNumber]]</f>
        <v>LAB-298</v>
      </c>
      <c r="AK217" t="str">
        <f>Lab_Data[[#This Row],[JobRole]]</f>
        <v>Manager</v>
      </c>
      <c r="AL217" t="str">
        <f>Lab_Data[[#This Row],[Department]]</f>
        <v>Sales</v>
      </c>
      <c r="AM217" t="str">
        <f>IF(Lab_Data[[#This Row],[Attrition]]="Yes","Failed","Completed")</f>
        <v>Completed</v>
      </c>
      <c r="AN217">
        <f>Lab_Data[[#This Row],[YearsAtCompany]]</f>
        <v>1</v>
      </c>
      <c r="AO217" t="str">
        <f>IF(Lab_Data[[#This Row],[PerformanceRating]]&gt;=3,"Approved","Review Required")</f>
        <v>Approved</v>
      </c>
    </row>
    <row r="218" spans="1:41"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t="str">
        <f>"LAB-"&amp;Lab_Data[[#This Row],[EmployeeNumber]]</f>
        <v>LAB-299</v>
      </c>
      <c r="AK218" t="str">
        <f>Lab_Data[[#This Row],[JobRole]]</f>
        <v>Sales Executive</v>
      </c>
      <c r="AL218" t="str">
        <f>Lab_Data[[#This Row],[Department]]</f>
        <v>Sales</v>
      </c>
      <c r="AM218" t="str">
        <f>IF(Lab_Data[[#This Row],[Attrition]]="Yes","Failed","Completed")</f>
        <v>Failed</v>
      </c>
      <c r="AN218">
        <f>Lab_Data[[#This Row],[YearsAtCompany]]</f>
        <v>6</v>
      </c>
      <c r="AO218" t="str">
        <f>IF(Lab_Data[[#This Row],[PerformanceRating]]&gt;=3,"Approved","Review Required")</f>
        <v>Approved</v>
      </c>
    </row>
    <row r="219" spans="1:41"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t="str">
        <f>"LAB-"&amp;Lab_Data[[#This Row],[EmployeeNumber]]</f>
        <v>LAB-300</v>
      </c>
      <c r="AK219" t="str">
        <f>Lab_Data[[#This Row],[JobRole]]</f>
        <v>Research Scientist</v>
      </c>
      <c r="AL219" t="str">
        <f>Lab_Data[[#This Row],[Department]]</f>
        <v>Research &amp; Development</v>
      </c>
      <c r="AM219" t="str">
        <f>IF(Lab_Data[[#This Row],[Attrition]]="Yes","Failed","Completed")</f>
        <v>Failed</v>
      </c>
      <c r="AN219">
        <f>Lab_Data[[#This Row],[YearsAtCompany]]</f>
        <v>6</v>
      </c>
      <c r="AO219" t="str">
        <f>IF(Lab_Data[[#This Row],[PerformanceRating]]&gt;=3,"Approved","Review Required")</f>
        <v>Approved</v>
      </c>
    </row>
    <row r="220" spans="1:41"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t="str">
        <f>"LAB-"&amp;Lab_Data[[#This Row],[EmployeeNumber]]</f>
        <v>LAB-302</v>
      </c>
      <c r="AK220" t="str">
        <f>Lab_Data[[#This Row],[JobRole]]</f>
        <v>Sales Executive</v>
      </c>
      <c r="AL220" t="str">
        <f>Lab_Data[[#This Row],[Department]]</f>
        <v>Sales</v>
      </c>
      <c r="AM220" t="str">
        <f>IF(Lab_Data[[#This Row],[Attrition]]="Yes","Failed","Completed")</f>
        <v>Completed</v>
      </c>
      <c r="AN220">
        <f>Lab_Data[[#This Row],[YearsAtCompany]]</f>
        <v>19</v>
      </c>
      <c r="AO220" t="str">
        <f>IF(Lab_Data[[#This Row],[PerformanceRating]]&gt;=3,"Approved","Review Required")</f>
        <v>Approved</v>
      </c>
    </row>
    <row r="221" spans="1:41"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t="str">
        <f>"LAB-"&amp;Lab_Data[[#This Row],[EmployeeNumber]]</f>
        <v>LAB-303</v>
      </c>
      <c r="AK221" t="str">
        <f>Lab_Data[[#This Row],[JobRole]]</f>
        <v>Sales Executive</v>
      </c>
      <c r="AL221" t="str">
        <f>Lab_Data[[#This Row],[Department]]</f>
        <v>Sales</v>
      </c>
      <c r="AM221" t="str">
        <f>IF(Lab_Data[[#This Row],[Attrition]]="Yes","Failed","Completed")</f>
        <v>Completed</v>
      </c>
      <c r="AN221">
        <f>Lab_Data[[#This Row],[YearsAtCompany]]</f>
        <v>6</v>
      </c>
      <c r="AO221" t="str">
        <f>IF(Lab_Data[[#This Row],[PerformanceRating]]&gt;=3,"Approved","Review Required")</f>
        <v>Approved</v>
      </c>
    </row>
    <row r="222" spans="1:41"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t="str">
        <f>"LAB-"&amp;Lab_Data[[#This Row],[EmployeeNumber]]</f>
        <v>LAB-304</v>
      </c>
      <c r="AK222" t="str">
        <f>Lab_Data[[#This Row],[JobRole]]</f>
        <v>Laboratory Technician</v>
      </c>
      <c r="AL222" t="str">
        <f>Lab_Data[[#This Row],[Department]]</f>
        <v>Research &amp; Development</v>
      </c>
      <c r="AM222" t="str">
        <f>IF(Lab_Data[[#This Row],[Attrition]]="Yes","Failed","Completed")</f>
        <v>Completed</v>
      </c>
      <c r="AN222">
        <f>Lab_Data[[#This Row],[YearsAtCompany]]</f>
        <v>13</v>
      </c>
      <c r="AO222" t="str">
        <f>IF(Lab_Data[[#This Row],[PerformanceRating]]&gt;=3,"Approved","Review Required")</f>
        <v>Approved</v>
      </c>
    </row>
    <row r="223" spans="1:41"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t="str">
        <f>"LAB-"&amp;Lab_Data[[#This Row],[EmployeeNumber]]</f>
        <v>LAB-305</v>
      </c>
      <c r="AK223" t="str">
        <f>Lab_Data[[#This Row],[JobRole]]</f>
        <v>Research Scientist</v>
      </c>
      <c r="AL223" t="str">
        <f>Lab_Data[[#This Row],[Department]]</f>
        <v>Research &amp; Development</v>
      </c>
      <c r="AM223" t="str">
        <f>IF(Lab_Data[[#This Row],[Attrition]]="Yes","Failed","Completed")</f>
        <v>Completed</v>
      </c>
      <c r="AN223">
        <f>Lab_Data[[#This Row],[YearsAtCompany]]</f>
        <v>3</v>
      </c>
      <c r="AO223" t="str">
        <f>IF(Lab_Data[[#This Row],[PerformanceRating]]&gt;=3,"Approved","Review Required")</f>
        <v>Approved</v>
      </c>
    </row>
    <row r="224" spans="1:41"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t="str">
        <f>"LAB-"&amp;Lab_Data[[#This Row],[EmployeeNumber]]</f>
        <v>LAB-306</v>
      </c>
      <c r="AK224" t="str">
        <f>Lab_Data[[#This Row],[JobRole]]</f>
        <v>Research Director</v>
      </c>
      <c r="AL224" t="str">
        <f>Lab_Data[[#This Row],[Department]]</f>
        <v>Research &amp; Development</v>
      </c>
      <c r="AM224" t="str">
        <f>IF(Lab_Data[[#This Row],[Attrition]]="Yes","Failed","Completed")</f>
        <v>Completed</v>
      </c>
      <c r="AN224">
        <f>Lab_Data[[#This Row],[YearsAtCompany]]</f>
        <v>10</v>
      </c>
      <c r="AO224" t="str">
        <f>IF(Lab_Data[[#This Row],[PerformanceRating]]&gt;=3,"Approved","Review Required")</f>
        <v>Approved</v>
      </c>
    </row>
    <row r="225" spans="1:41"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t="str">
        <f>"LAB-"&amp;Lab_Data[[#This Row],[EmployeeNumber]]</f>
        <v>LAB-307</v>
      </c>
      <c r="AK225" t="str">
        <f>Lab_Data[[#This Row],[JobRole]]</f>
        <v>Sales Executive</v>
      </c>
      <c r="AL225" t="str">
        <f>Lab_Data[[#This Row],[Department]]</f>
        <v>Sales</v>
      </c>
      <c r="AM225" t="str">
        <f>IF(Lab_Data[[#This Row],[Attrition]]="Yes","Failed","Completed")</f>
        <v>Completed</v>
      </c>
      <c r="AN225">
        <f>Lab_Data[[#This Row],[YearsAtCompany]]</f>
        <v>16</v>
      </c>
      <c r="AO225" t="str">
        <f>IF(Lab_Data[[#This Row],[PerformanceRating]]&gt;=3,"Approved","Review Required")</f>
        <v>Approved</v>
      </c>
    </row>
    <row r="226" spans="1:41"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t="str">
        <f>"LAB-"&amp;Lab_Data[[#This Row],[EmployeeNumber]]</f>
        <v>LAB-308</v>
      </c>
      <c r="AK226" t="str">
        <f>Lab_Data[[#This Row],[JobRole]]</f>
        <v>Manufacturing Director</v>
      </c>
      <c r="AL226" t="str">
        <f>Lab_Data[[#This Row],[Department]]</f>
        <v>Research &amp; Development</v>
      </c>
      <c r="AM226" t="str">
        <f>IF(Lab_Data[[#This Row],[Attrition]]="Yes","Failed","Completed")</f>
        <v>Completed</v>
      </c>
      <c r="AN226">
        <f>Lab_Data[[#This Row],[YearsAtCompany]]</f>
        <v>5</v>
      </c>
      <c r="AO226" t="str">
        <f>IF(Lab_Data[[#This Row],[PerformanceRating]]&gt;=3,"Approved","Review Required")</f>
        <v>Approved</v>
      </c>
    </row>
    <row r="227" spans="1:41"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t="str">
        <f>"LAB-"&amp;Lab_Data[[#This Row],[EmployeeNumber]]</f>
        <v>LAB-309</v>
      </c>
      <c r="AK227" t="str">
        <f>Lab_Data[[#This Row],[JobRole]]</f>
        <v>Research Scientist</v>
      </c>
      <c r="AL227" t="str">
        <f>Lab_Data[[#This Row],[Department]]</f>
        <v>Research &amp; Development</v>
      </c>
      <c r="AM227" t="str">
        <f>IF(Lab_Data[[#This Row],[Attrition]]="Yes","Failed","Completed")</f>
        <v>Completed</v>
      </c>
      <c r="AN227">
        <f>Lab_Data[[#This Row],[YearsAtCompany]]</f>
        <v>1</v>
      </c>
      <c r="AO227" t="str">
        <f>IF(Lab_Data[[#This Row],[PerformanceRating]]&gt;=3,"Approved","Review Required")</f>
        <v>Approved</v>
      </c>
    </row>
    <row r="228" spans="1:41"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t="str">
        <f>"LAB-"&amp;Lab_Data[[#This Row],[EmployeeNumber]]</f>
        <v>LAB-311</v>
      </c>
      <c r="AK228" t="str">
        <f>Lab_Data[[#This Row],[JobRole]]</f>
        <v>Sales Representative</v>
      </c>
      <c r="AL228" t="str">
        <f>Lab_Data[[#This Row],[Department]]</f>
        <v>Sales</v>
      </c>
      <c r="AM228" t="str">
        <f>IF(Lab_Data[[#This Row],[Attrition]]="Yes","Failed","Completed")</f>
        <v>Completed</v>
      </c>
      <c r="AN228">
        <f>Lab_Data[[#This Row],[YearsAtCompany]]</f>
        <v>9</v>
      </c>
      <c r="AO228" t="str">
        <f>IF(Lab_Data[[#This Row],[PerformanceRating]]&gt;=3,"Approved","Review Required")</f>
        <v>Approved</v>
      </c>
    </row>
    <row r="229" spans="1:41"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t="str">
        <f>"LAB-"&amp;Lab_Data[[#This Row],[EmployeeNumber]]</f>
        <v>LAB-312</v>
      </c>
      <c r="AK229" t="str">
        <f>Lab_Data[[#This Row],[JobRole]]</f>
        <v>Sales Executive</v>
      </c>
      <c r="AL229" t="str">
        <f>Lab_Data[[#This Row],[Department]]</f>
        <v>Sales</v>
      </c>
      <c r="AM229" t="str">
        <f>IF(Lab_Data[[#This Row],[Attrition]]="Yes","Failed","Completed")</f>
        <v>Completed</v>
      </c>
      <c r="AN229">
        <f>Lab_Data[[#This Row],[YearsAtCompany]]</f>
        <v>11</v>
      </c>
      <c r="AO229" t="str">
        <f>IF(Lab_Data[[#This Row],[PerformanceRating]]&gt;=3,"Approved","Review Required")</f>
        <v>Approved</v>
      </c>
    </row>
    <row r="230" spans="1:41"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t="str">
        <f>"LAB-"&amp;Lab_Data[[#This Row],[EmployeeNumber]]</f>
        <v>LAB-314</v>
      </c>
      <c r="AK230" t="str">
        <f>Lab_Data[[#This Row],[JobRole]]</f>
        <v>Sales Executive</v>
      </c>
      <c r="AL230" t="str">
        <f>Lab_Data[[#This Row],[Department]]</f>
        <v>Sales</v>
      </c>
      <c r="AM230" t="str">
        <f>IF(Lab_Data[[#This Row],[Attrition]]="Yes","Failed","Completed")</f>
        <v>Completed</v>
      </c>
      <c r="AN230">
        <f>Lab_Data[[#This Row],[YearsAtCompany]]</f>
        <v>10</v>
      </c>
      <c r="AO230" t="str">
        <f>IF(Lab_Data[[#This Row],[PerformanceRating]]&gt;=3,"Approved","Review Required")</f>
        <v>Approved</v>
      </c>
    </row>
    <row r="231" spans="1:41"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t="str">
        <f>"LAB-"&amp;Lab_Data[[#This Row],[EmployeeNumber]]</f>
        <v>LAB-315</v>
      </c>
      <c r="AK231" t="str">
        <f>Lab_Data[[#This Row],[JobRole]]</f>
        <v>Research Scientist</v>
      </c>
      <c r="AL231" t="str">
        <f>Lab_Data[[#This Row],[Department]]</f>
        <v>Research &amp; Development</v>
      </c>
      <c r="AM231" t="str">
        <f>IF(Lab_Data[[#This Row],[Attrition]]="Yes","Failed","Completed")</f>
        <v>Failed</v>
      </c>
      <c r="AN231">
        <f>Lab_Data[[#This Row],[YearsAtCompany]]</f>
        <v>4</v>
      </c>
      <c r="AO231" t="str">
        <f>IF(Lab_Data[[#This Row],[PerformanceRating]]&gt;=3,"Approved","Review Required")</f>
        <v>Approved</v>
      </c>
    </row>
    <row r="232" spans="1:41"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t="str">
        <f>"LAB-"&amp;Lab_Data[[#This Row],[EmployeeNumber]]</f>
        <v>LAB-316</v>
      </c>
      <c r="AK232" t="str">
        <f>Lab_Data[[#This Row],[JobRole]]</f>
        <v>Laboratory Technician</v>
      </c>
      <c r="AL232" t="str">
        <f>Lab_Data[[#This Row],[Department]]</f>
        <v>Research &amp; Development</v>
      </c>
      <c r="AM232" t="str">
        <f>IF(Lab_Data[[#This Row],[Attrition]]="Yes","Failed","Completed")</f>
        <v>Completed</v>
      </c>
      <c r="AN232">
        <f>Lab_Data[[#This Row],[YearsAtCompany]]</f>
        <v>2</v>
      </c>
      <c r="AO232" t="str">
        <f>IF(Lab_Data[[#This Row],[PerformanceRating]]&gt;=3,"Approved","Review Required")</f>
        <v>Approved</v>
      </c>
    </row>
    <row r="233" spans="1:41"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t="str">
        <f>"LAB-"&amp;Lab_Data[[#This Row],[EmployeeNumber]]</f>
        <v>LAB-319</v>
      </c>
      <c r="AK233" t="str">
        <f>Lab_Data[[#This Row],[JobRole]]</f>
        <v>Manager</v>
      </c>
      <c r="AL233" t="str">
        <f>Lab_Data[[#This Row],[Department]]</f>
        <v>Research &amp; Development</v>
      </c>
      <c r="AM233" t="str">
        <f>IF(Lab_Data[[#This Row],[Attrition]]="Yes","Failed","Completed")</f>
        <v>Completed</v>
      </c>
      <c r="AN233">
        <f>Lab_Data[[#This Row],[YearsAtCompany]]</f>
        <v>22</v>
      </c>
      <c r="AO233" t="str">
        <f>IF(Lab_Data[[#This Row],[PerformanceRating]]&gt;=3,"Approved","Review Required")</f>
        <v>Approved</v>
      </c>
    </row>
    <row r="234" spans="1:41"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t="str">
        <f>"LAB-"&amp;Lab_Data[[#This Row],[EmployeeNumber]]</f>
        <v>LAB-321</v>
      </c>
      <c r="AK234" t="str">
        <f>Lab_Data[[#This Row],[JobRole]]</f>
        <v>Human Resources</v>
      </c>
      <c r="AL234" t="str">
        <f>Lab_Data[[#This Row],[Department]]</f>
        <v>Human Resources</v>
      </c>
      <c r="AM234" t="str">
        <f>IF(Lab_Data[[#This Row],[Attrition]]="Yes","Failed","Completed")</f>
        <v>Completed</v>
      </c>
      <c r="AN234">
        <f>Lab_Data[[#This Row],[YearsAtCompany]]</f>
        <v>2</v>
      </c>
      <c r="AO234" t="str">
        <f>IF(Lab_Data[[#This Row],[PerformanceRating]]&gt;=3,"Approved","Review Required")</f>
        <v>Approved</v>
      </c>
    </row>
    <row r="235" spans="1:41"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t="str">
        <f>"LAB-"&amp;Lab_Data[[#This Row],[EmployeeNumber]]</f>
        <v>LAB-323</v>
      </c>
      <c r="AK235" t="str">
        <f>Lab_Data[[#This Row],[JobRole]]</f>
        <v>Manager</v>
      </c>
      <c r="AL235" t="str">
        <f>Lab_Data[[#This Row],[Department]]</f>
        <v>Sales</v>
      </c>
      <c r="AM235" t="str">
        <f>IF(Lab_Data[[#This Row],[Attrition]]="Yes","Failed","Completed")</f>
        <v>Completed</v>
      </c>
      <c r="AN235">
        <f>Lab_Data[[#This Row],[YearsAtCompany]]</f>
        <v>7</v>
      </c>
      <c r="AO235" t="str">
        <f>IF(Lab_Data[[#This Row],[PerformanceRating]]&gt;=3,"Approved","Review Required")</f>
        <v>Approved</v>
      </c>
    </row>
    <row r="236" spans="1:41"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t="str">
        <f>"LAB-"&amp;Lab_Data[[#This Row],[EmployeeNumber]]</f>
        <v>LAB-325</v>
      </c>
      <c r="AK236" t="str">
        <f>Lab_Data[[#This Row],[JobRole]]</f>
        <v>Laboratory Technician</v>
      </c>
      <c r="AL236" t="str">
        <f>Lab_Data[[#This Row],[Department]]</f>
        <v>Research &amp; Development</v>
      </c>
      <c r="AM236" t="str">
        <f>IF(Lab_Data[[#This Row],[Attrition]]="Yes","Failed","Completed")</f>
        <v>Failed</v>
      </c>
      <c r="AN236">
        <f>Lab_Data[[#This Row],[YearsAtCompany]]</f>
        <v>5</v>
      </c>
      <c r="AO236" t="str">
        <f>IF(Lab_Data[[#This Row],[PerformanceRating]]&gt;=3,"Approved","Review Required")</f>
        <v>Approved</v>
      </c>
    </row>
    <row r="237" spans="1:41"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t="str">
        <f>"LAB-"&amp;Lab_Data[[#This Row],[EmployeeNumber]]</f>
        <v>LAB-327</v>
      </c>
      <c r="AK237" t="str">
        <f>Lab_Data[[#This Row],[JobRole]]</f>
        <v>Manager</v>
      </c>
      <c r="AL237" t="str">
        <f>Lab_Data[[#This Row],[Department]]</f>
        <v>Sales</v>
      </c>
      <c r="AM237" t="str">
        <f>IF(Lab_Data[[#This Row],[Attrition]]="Yes","Failed","Completed")</f>
        <v>Completed</v>
      </c>
      <c r="AN237">
        <f>Lab_Data[[#This Row],[YearsAtCompany]]</f>
        <v>17</v>
      </c>
      <c r="AO237" t="str">
        <f>IF(Lab_Data[[#This Row],[PerformanceRating]]&gt;=3,"Approved","Review Required")</f>
        <v>Approved</v>
      </c>
    </row>
    <row r="238" spans="1:41"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t="str">
        <f>"LAB-"&amp;Lab_Data[[#This Row],[EmployeeNumber]]</f>
        <v>LAB-328</v>
      </c>
      <c r="AK238" t="str">
        <f>Lab_Data[[#This Row],[JobRole]]</f>
        <v>Laboratory Technician</v>
      </c>
      <c r="AL238" t="str">
        <f>Lab_Data[[#This Row],[Department]]</f>
        <v>Research &amp; Development</v>
      </c>
      <c r="AM238" t="str">
        <f>IF(Lab_Data[[#This Row],[Attrition]]="Yes","Failed","Completed")</f>
        <v>Failed</v>
      </c>
      <c r="AN238">
        <f>Lab_Data[[#This Row],[YearsAtCompany]]</f>
        <v>9</v>
      </c>
      <c r="AO238" t="str">
        <f>IF(Lab_Data[[#This Row],[PerformanceRating]]&gt;=3,"Approved","Review Required")</f>
        <v>Approved</v>
      </c>
    </row>
    <row r="239" spans="1:41"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t="str">
        <f>"LAB-"&amp;Lab_Data[[#This Row],[EmployeeNumber]]</f>
        <v>LAB-329</v>
      </c>
      <c r="AK239" t="str">
        <f>Lab_Data[[#This Row],[JobRole]]</f>
        <v>Manager</v>
      </c>
      <c r="AL239" t="str">
        <f>Lab_Data[[#This Row],[Department]]</f>
        <v>Sales</v>
      </c>
      <c r="AM239" t="str">
        <f>IF(Lab_Data[[#This Row],[Attrition]]="Yes","Failed","Completed")</f>
        <v>Completed</v>
      </c>
      <c r="AN239">
        <f>Lab_Data[[#This Row],[YearsAtCompany]]</f>
        <v>33</v>
      </c>
      <c r="AO239" t="str">
        <f>IF(Lab_Data[[#This Row],[PerformanceRating]]&gt;=3,"Approved","Review Required")</f>
        <v>Approved</v>
      </c>
    </row>
    <row r="240" spans="1:41"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t="str">
        <f>"LAB-"&amp;Lab_Data[[#This Row],[EmployeeNumber]]</f>
        <v>LAB-330</v>
      </c>
      <c r="AK240" t="str">
        <f>Lab_Data[[#This Row],[JobRole]]</f>
        <v>Sales Representative</v>
      </c>
      <c r="AL240" t="str">
        <f>Lab_Data[[#This Row],[Department]]</f>
        <v>Sales</v>
      </c>
      <c r="AM240" t="str">
        <f>IF(Lab_Data[[#This Row],[Attrition]]="Yes","Failed","Completed")</f>
        <v>Completed</v>
      </c>
      <c r="AN240">
        <f>Lab_Data[[#This Row],[YearsAtCompany]]</f>
        <v>4</v>
      </c>
      <c r="AO240" t="str">
        <f>IF(Lab_Data[[#This Row],[PerformanceRating]]&gt;=3,"Approved","Review Required")</f>
        <v>Approved</v>
      </c>
    </row>
    <row r="241" spans="1:41"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t="str">
        <f>"LAB-"&amp;Lab_Data[[#This Row],[EmployeeNumber]]</f>
        <v>LAB-331</v>
      </c>
      <c r="AK241" t="str">
        <f>Lab_Data[[#This Row],[JobRole]]</f>
        <v>Laboratory Technician</v>
      </c>
      <c r="AL241" t="str">
        <f>Lab_Data[[#This Row],[Department]]</f>
        <v>Research &amp; Development</v>
      </c>
      <c r="AM241" t="str">
        <f>IF(Lab_Data[[#This Row],[Attrition]]="Yes","Failed","Completed")</f>
        <v>Failed</v>
      </c>
      <c r="AN241">
        <f>Lab_Data[[#This Row],[YearsAtCompany]]</f>
        <v>3</v>
      </c>
      <c r="AO241" t="str">
        <f>IF(Lab_Data[[#This Row],[PerformanceRating]]&gt;=3,"Approved","Review Required")</f>
        <v>Approved</v>
      </c>
    </row>
    <row r="242" spans="1:41"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t="str">
        <f>"LAB-"&amp;Lab_Data[[#This Row],[EmployeeNumber]]</f>
        <v>LAB-332</v>
      </c>
      <c r="AK242" t="str">
        <f>Lab_Data[[#This Row],[JobRole]]</f>
        <v>Laboratory Technician</v>
      </c>
      <c r="AL242" t="str">
        <f>Lab_Data[[#This Row],[Department]]</f>
        <v>Research &amp; Development</v>
      </c>
      <c r="AM242" t="str">
        <f>IF(Lab_Data[[#This Row],[Attrition]]="Yes","Failed","Completed")</f>
        <v>Completed</v>
      </c>
      <c r="AN242">
        <f>Lab_Data[[#This Row],[YearsAtCompany]]</f>
        <v>3</v>
      </c>
      <c r="AO242" t="str">
        <f>IF(Lab_Data[[#This Row],[PerformanceRating]]&gt;=3,"Approved","Review Required")</f>
        <v>Approved</v>
      </c>
    </row>
    <row r="243" spans="1:41"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t="str">
        <f>"LAB-"&amp;Lab_Data[[#This Row],[EmployeeNumber]]</f>
        <v>LAB-333</v>
      </c>
      <c r="AK243" t="str">
        <f>Lab_Data[[#This Row],[JobRole]]</f>
        <v>Sales Executive</v>
      </c>
      <c r="AL243" t="str">
        <f>Lab_Data[[#This Row],[Department]]</f>
        <v>Sales</v>
      </c>
      <c r="AM243" t="str">
        <f>IF(Lab_Data[[#This Row],[Attrition]]="Yes","Failed","Completed")</f>
        <v>Completed</v>
      </c>
      <c r="AN243">
        <f>Lab_Data[[#This Row],[YearsAtCompany]]</f>
        <v>3</v>
      </c>
      <c r="AO243" t="str">
        <f>IF(Lab_Data[[#This Row],[PerformanceRating]]&gt;=3,"Approved","Review Required")</f>
        <v>Approved</v>
      </c>
    </row>
    <row r="244" spans="1:41"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t="str">
        <f>"LAB-"&amp;Lab_Data[[#This Row],[EmployeeNumber]]</f>
        <v>LAB-334</v>
      </c>
      <c r="AK244" t="str">
        <f>Lab_Data[[#This Row],[JobRole]]</f>
        <v>Research Scientist</v>
      </c>
      <c r="AL244" t="str">
        <f>Lab_Data[[#This Row],[Department]]</f>
        <v>Research &amp; Development</v>
      </c>
      <c r="AM244" t="str">
        <f>IF(Lab_Data[[#This Row],[Attrition]]="Yes","Failed","Completed")</f>
        <v>Completed</v>
      </c>
      <c r="AN244">
        <f>Lab_Data[[#This Row],[YearsAtCompany]]</f>
        <v>1</v>
      </c>
      <c r="AO244" t="str">
        <f>IF(Lab_Data[[#This Row],[PerformanceRating]]&gt;=3,"Approved","Review Required")</f>
        <v>Approved</v>
      </c>
    </row>
    <row r="245" spans="1:41"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t="str">
        <f>"LAB-"&amp;Lab_Data[[#This Row],[EmployeeNumber]]</f>
        <v>LAB-335</v>
      </c>
      <c r="AK245" t="str">
        <f>Lab_Data[[#This Row],[JobRole]]</f>
        <v>Research Scientist</v>
      </c>
      <c r="AL245" t="str">
        <f>Lab_Data[[#This Row],[Department]]</f>
        <v>Research &amp; Development</v>
      </c>
      <c r="AM245" t="str">
        <f>IF(Lab_Data[[#This Row],[Attrition]]="Yes","Failed","Completed")</f>
        <v>Completed</v>
      </c>
      <c r="AN245">
        <f>Lab_Data[[#This Row],[YearsAtCompany]]</f>
        <v>9</v>
      </c>
      <c r="AO245" t="str">
        <f>IF(Lab_Data[[#This Row],[PerformanceRating]]&gt;=3,"Approved","Review Required")</f>
        <v>Approved</v>
      </c>
    </row>
    <row r="246" spans="1:41"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t="str">
        <f>"LAB-"&amp;Lab_Data[[#This Row],[EmployeeNumber]]</f>
        <v>LAB-336</v>
      </c>
      <c r="AK246" t="str">
        <f>Lab_Data[[#This Row],[JobRole]]</f>
        <v>Manager</v>
      </c>
      <c r="AL246" t="str">
        <f>Lab_Data[[#This Row],[Department]]</f>
        <v>Research &amp; Development</v>
      </c>
      <c r="AM246" t="str">
        <f>IF(Lab_Data[[#This Row],[Attrition]]="Yes","Failed","Completed")</f>
        <v>Completed</v>
      </c>
      <c r="AN246">
        <f>Lab_Data[[#This Row],[YearsAtCompany]]</f>
        <v>24</v>
      </c>
      <c r="AO246" t="str">
        <f>IF(Lab_Data[[#This Row],[PerformanceRating]]&gt;=3,"Approved","Review Required")</f>
        <v>Approved</v>
      </c>
    </row>
    <row r="247" spans="1:41"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t="str">
        <f>"LAB-"&amp;Lab_Data[[#This Row],[EmployeeNumber]]</f>
        <v>LAB-337</v>
      </c>
      <c r="AK247" t="str">
        <f>Lab_Data[[#This Row],[JobRole]]</f>
        <v>Research Director</v>
      </c>
      <c r="AL247" t="str">
        <f>Lab_Data[[#This Row],[Department]]</f>
        <v>Research &amp; Development</v>
      </c>
      <c r="AM247" t="str">
        <f>IF(Lab_Data[[#This Row],[Attrition]]="Yes","Failed","Completed")</f>
        <v>Completed</v>
      </c>
      <c r="AN247">
        <f>Lab_Data[[#This Row],[YearsAtCompany]]</f>
        <v>2</v>
      </c>
      <c r="AO247" t="str">
        <f>IF(Lab_Data[[#This Row],[PerformanceRating]]&gt;=3,"Approved","Review Required")</f>
        <v>Approved</v>
      </c>
    </row>
    <row r="248" spans="1:41"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t="str">
        <f>"LAB-"&amp;Lab_Data[[#This Row],[EmployeeNumber]]</f>
        <v>LAB-338</v>
      </c>
      <c r="AK248" t="str">
        <f>Lab_Data[[#This Row],[JobRole]]</f>
        <v>Research Scientist</v>
      </c>
      <c r="AL248" t="str">
        <f>Lab_Data[[#This Row],[Department]]</f>
        <v>Research &amp; Development</v>
      </c>
      <c r="AM248" t="str">
        <f>IF(Lab_Data[[#This Row],[Attrition]]="Yes","Failed","Completed")</f>
        <v>Completed</v>
      </c>
      <c r="AN248">
        <f>Lab_Data[[#This Row],[YearsAtCompany]]</f>
        <v>2</v>
      </c>
      <c r="AO248" t="str">
        <f>IF(Lab_Data[[#This Row],[PerformanceRating]]&gt;=3,"Approved","Review Required")</f>
        <v>Approved</v>
      </c>
    </row>
    <row r="249" spans="1:41"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t="str">
        <f>"LAB-"&amp;Lab_Data[[#This Row],[EmployeeNumber]]</f>
        <v>LAB-339</v>
      </c>
      <c r="AK249" t="str">
        <f>Lab_Data[[#This Row],[JobRole]]</f>
        <v>Manufacturing Director</v>
      </c>
      <c r="AL249" t="str">
        <f>Lab_Data[[#This Row],[Department]]</f>
        <v>Research &amp; Development</v>
      </c>
      <c r="AM249" t="str">
        <f>IF(Lab_Data[[#This Row],[Attrition]]="Yes","Failed","Completed")</f>
        <v>Completed</v>
      </c>
      <c r="AN249">
        <f>Lab_Data[[#This Row],[YearsAtCompany]]</f>
        <v>11</v>
      </c>
      <c r="AO249" t="str">
        <f>IF(Lab_Data[[#This Row],[PerformanceRating]]&gt;=3,"Approved","Review Required")</f>
        <v>Approved</v>
      </c>
    </row>
    <row r="250" spans="1:41"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t="str">
        <f>"LAB-"&amp;Lab_Data[[#This Row],[EmployeeNumber]]</f>
        <v>LAB-340</v>
      </c>
      <c r="AK250" t="str">
        <f>Lab_Data[[#This Row],[JobRole]]</f>
        <v>Research Scientist</v>
      </c>
      <c r="AL250" t="str">
        <f>Lab_Data[[#This Row],[Department]]</f>
        <v>Research &amp; Development</v>
      </c>
      <c r="AM250" t="str">
        <f>IF(Lab_Data[[#This Row],[Attrition]]="Yes","Failed","Completed")</f>
        <v>Completed</v>
      </c>
      <c r="AN250">
        <f>Lab_Data[[#This Row],[YearsAtCompany]]</f>
        <v>3</v>
      </c>
      <c r="AO250" t="str">
        <f>IF(Lab_Data[[#This Row],[PerformanceRating]]&gt;=3,"Approved","Review Required")</f>
        <v>Approved</v>
      </c>
    </row>
    <row r="251" spans="1:41"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t="str">
        <f>"LAB-"&amp;Lab_Data[[#This Row],[EmployeeNumber]]</f>
        <v>LAB-341</v>
      </c>
      <c r="AK251" t="str">
        <f>Lab_Data[[#This Row],[JobRole]]</f>
        <v>Manufacturing Director</v>
      </c>
      <c r="AL251" t="str">
        <f>Lab_Data[[#This Row],[Department]]</f>
        <v>Research &amp; Development</v>
      </c>
      <c r="AM251" t="str">
        <f>IF(Lab_Data[[#This Row],[Attrition]]="Yes","Failed","Completed")</f>
        <v>Completed</v>
      </c>
      <c r="AN251">
        <f>Lab_Data[[#This Row],[YearsAtCompany]]</f>
        <v>3</v>
      </c>
      <c r="AO251" t="str">
        <f>IF(Lab_Data[[#This Row],[PerformanceRating]]&gt;=3,"Approved","Review Required")</f>
        <v>Approved</v>
      </c>
    </row>
    <row r="252" spans="1:41"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t="str">
        <f>"LAB-"&amp;Lab_Data[[#This Row],[EmployeeNumber]]</f>
        <v>LAB-342</v>
      </c>
      <c r="AK252" t="str">
        <f>Lab_Data[[#This Row],[JobRole]]</f>
        <v>Manufacturing Director</v>
      </c>
      <c r="AL252" t="str">
        <f>Lab_Data[[#This Row],[Department]]</f>
        <v>Research &amp; Development</v>
      </c>
      <c r="AM252" t="str">
        <f>IF(Lab_Data[[#This Row],[Attrition]]="Yes","Failed","Completed")</f>
        <v>Failed</v>
      </c>
      <c r="AN252">
        <f>Lab_Data[[#This Row],[YearsAtCompany]]</f>
        <v>1</v>
      </c>
      <c r="AO252" t="str">
        <f>IF(Lab_Data[[#This Row],[PerformanceRating]]&gt;=3,"Approved","Review Required")</f>
        <v>Approved</v>
      </c>
    </row>
    <row r="253" spans="1:41"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t="str">
        <f>"LAB-"&amp;Lab_Data[[#This Row],[EmployeeNumber]]</f>
        <v>LAB-343</v>
      </c>
      <c r="AK253" t="str">
        <f>Lab_Data[[#This Row],[JobRole]]</f>
        <v>Healthcare Representative</v>
      </c>
      <c r="AL253" t="str">
        <f>Lab_Data[[#This Row],[Department]]</f>
        <v>Research &amp; Development</v>
      </c>
      <c r="AM253" t="str">
        <f>IF(Lab_Data[[#This Row],[Attrition]]="Yes","Failed","Completed")</f>
        <v>Completed</v>
      </c>
      <c r="AN253">
        <f>Lab_Data[[#This Row],[YearsAtCompany]]</f>
        <v>19</v>
      </c>
      <c r="AO253" t="str">
        <f>IF(Lab_Data[[#This Row],[PerformanceRating]]&gt;=3,"Approved","Review Required")</f>
        <v>Approved</v>
      </c>
    </row>
    <row r="254" spans="1:41"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t="str">
        <f>"LAB-"&amp;Lab_Data[[#This Row],[EmployeeNumber]]</f>
        <v>LAB-346</v>
      </c>
      <c r="AK254" t="str">
        <f>Lab_Data[[#This Row],[JobRole]]</f>
        <v>Research Scientist</v>
      </c>
      <c r="AL254" t="str">
        <f>Lab_Data[[#This Row],[Department]]</f>
        <v>Research &amp; Development</v>
      </c>
      <c r="AM254" t="str">
        <f>IF(Lab_Data[[#This Row],[Attrition]]="Yes","Failed","Completed")</f>
        <v>Completed</v>
      </c>
      <c r="AN254">
        <f>Lab_Data[[#This Row],[YearsAtCompany]]</f>
        <v>6</v>
      </c>
      <c r="AO254" t="str">
        <f>IF(Lab_Data[[#This Row],[PerformanceRating]]&gt;=3,"Approved","Review Required")</f>
        <v>Approved</v>
      </c>
    </row>
    <row r="255" spans="1:41"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t="str">
        <f>"LAB-"&amp;Lab_Data[[#This Row],[EmployeeNumber]]</f>
        <v>LAB-347</v>
      </c>
      <c r="AK255" t="str">
        <f>Lab_Data[[#This Row],[JobRole]]</f>
        <v>Research Scientist</v>
      </c>
      <c r="AL255" t="str">
        <f>Lab_Data[[#This Row],[Department]]</f>
        <v>Research &amp; Development</v>
      </c>
      <c r="AM255" t="str">
        <f>IF(Lab_Data[[#This Row],[Attrition]]="Yes","Failed","Completed")</f>
        <v>Completed</v>
      </c>
      <c r="AN255">
        <f>Lab_Data[[#This Row],[YearsAtCompany]]</f>
        <v>3</v>
      </c>
      <c r="AO255" t="str">
        <f>IF(Lab_Data[[#This Row],[PerformanceRating]]&gt;=3,"Approved","Review Required")</f>
        <v>Approved</v>
      </c>
    </row>
    <row r="256" spans="1:41"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t="str">
        <f>"LAB-"&amp;Lab_Data[[#This Row],[EmployeeNumber]]</f>
        <v>LAB-349</v>
      </c>
      <c r="AK256" t="str">
        <f>Lab_Data[[#This Row],[JobRole]]</f>
        <v>Sales Executive</v>
      </c>
      <c r="AL256" t="str">
        <f>Lab_Data[[#This Row],[Department]]</f>
        <v>Sales</v>
      </c>
      <c r="AM256" t="str">
        <f>IF(Lab_Data[[#This Row],[Attrition]]="Yes","Failed","Completed")</f>
        <v>Completed</v>
      </c>
      <c r="AN256">
        <f>Lab_Data[[#This Row],[YearsAtCompany]]</f>
        <v>3</v>
      </c>
      <c r="AO256" t="str">
        <f>IF(Lab_Data[[#This Row],[PerformanceRating]]&gt;=3,"Approved","Review Required")</f>
        <v>Approved</v>
      </c>
    </row>
    <row r="257" spans="1:41"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t="str">
        <f>"LAB-"&amp;Lab_Data[[#This Row],[EmployeeNumber]]</f>
        <v>LAB-350</v>
      </c>
      <c r="AK257" t="str">
        <f>Lab_Data[[#This Row],[JobRole]]</f>
        <v>Manufacturing Director</v>
      </c>
      <c r="AL257" t="str">
        <f>Lab_Data[[#This Row],[Department]]</f>
        <v>Research &amp; Development</v>
      </c>
      <c r="AM257" t="str">
        <f>IF(Lab_Data[[#This Row],[Attrition]]="Yes","Failed","Completed")</f>
        <v>Completed</v>
      </c>
      <c r="AN257">
        <f>Lab_Data[[#This Row],[YearsAtCompany]]</f>
        <v>4</v>
      </c>
      <c r="AO257" t="str">
        <f>IF(Lab_Data[[#This Row],[PerformanceRating]]&gt;=3,"Approved","Review Required")</f>
        <v>Approved</v>
      </c>
    </row>
    <row r="258" spans="1:41"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t="str">
        <f>"LAB-"&amp;Lab_Data[[#This Row],[EmployeeNumber]]</f>
        <v>LAB-351</v>
      </c>
      <c r="AK258" t="str">
        <f>Lab_Data[[#This Row],[JobRole]]</f>
        <v>Laboratory Technician</v>
      </c>
      <c r="AL258" t="str">
        <f>Lab_Data[[#This Row],[Department]]</f>
        <v>Research &amp; Development</v>
      </c>
      <c r="AM258" t="str">
        <f>IF(Lab_Data[[#This Row],[Attrition]]="Yes","Failed","Completed")</f>
        <v>Completed</v>
      </c>
      <c r="AN258">
        <f>Lab_Data[[#This Row],[YearsAtCompany]]</f>
        <v>9</v>
      </c>
      <c r="AO258" t="str">
        <f>IF(Lab_Data[[#This Row],[PerformanceRating]]&gt;=3,"Approved","Review Required")</f>
        <v>Approved</v>
      </c>
    </row>
    <row r="259" spans="1:41"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t="str">
        <f>"LAB-"&amp;Lab_Data[[#This Row],[EmployeeNumber]]</f>
        <v>LAB-352</v>
      </c>
      <c r="AK259" t="str">
        <f>Lab_Data[[#This Row],[JobRole]]</f>
        <v>Research Director</v>
      </c>
      <c r="AL259" t="str">
        <f>Lab_Data[[#This Row],[Department]]</f>
        <v>Research &amp; Development</v>
      </c>
      <c r="AM259" t="str">
        <f>IF(Lab_Data[[#This Row],[Attrition]]="Yes","Failed","Completed")</f>
        <v>Completed</v>
      </c>
      <c r="AN259">
        <f>Lab_Data[[#This Row],[YearsAtCompany]]</f>
        <v>21</v>
      </c>
      <c r="AO259" t="str">
        <f>IF(Lab_Data[[#This Row],[PerformanceRating]]&gt;=3,"Approved","Review Required")</f>
        <v>Approved</v>
      </c>
    </row>
    <row r="260" spans="1:41"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t="str">
        <f>"LAB-"&amp;Lab_Data[[#This Row],[EmployeeNumber]]</f>
        <v>LAB-353</v>
      </c>
      <c r="AK260" t="str">
        <f>Lab_Data[[#This Row],[JobRole]]</f>
        <v>Research Scientist</v>
      </c>
      <c r="AL260" t="str">
        <f>Lab_Data[[#This Row],[Department]]</f>
        <v>Research &amp; Development</v>
      </c>
      <c r="AM260" t="str">
        <f>IF(Lab_Data[[#This Row],[Attrition]]="Yes","Failed","Completed")</f>
        <v>Completed</v>
      </c>
      <c r="AN260">
        <f>Lab_Data[[#This Row],[YearsAtCompany]]</f>
        <v>1</v>
      </c>
      <c r="AO260" t="str">
        <f>IF(Lab_Data[[#This Row],[PerformanceRating]]&gt;=3,"Approved","Review Required")</f>
        <v>Approved</v>
      </c>
    </row>
    <row r="261" spans="1:41"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t="str">
        <f>"LAB-"&amp;Lab_Data[[#This Row],[EmployeeNumber]]</f>
        <v>LAB-355</v>
      </c>
      <c r="AK261" t="str">
        <f>Lab_Data[[#This Row],[JobRole]]</f>
        <v>Laboratory Technician</v>
      </c>
      <c r="AL261" t="str">
        <f>Lab_Data[[#This Row],[Department]]</f>
        <v>Research &amp; Development</v>
      </c>
      <c r="AM261" t="str">
        <f>IF(Lab_Data[[#This Row],[Attrition]]="Yes","Failed","Completed")</f>
        <v>Failed</v>
      </c>
      <c r="AN261">
        <f>Lab_Data[[#This Row],[YearsAtCompany]]</f>
        <v>5</v>
      </c>
      <c r="AO261" t="str">
        <f>IF(Lab_Data[[#This Row],[PerformanceRating]]&gt;=3,"Approved","Review Required")</f>
        <v>Approved</v>
      </c>
    </row>
    <row r="262" spans="1:41"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t="str">
        <f>"LAB-"&amp;Lab_Data[[#This Row],[EmployeeNumber]]</f>
        <v>LAB-359</v>
      </c>
      <c r="AK262" t="str">
        <f>Lab_Data[[#This Row],[JobRole]]</f>
        <v>Laboratory Technician</v>
      </c>
      <c r="AL262" t="str">
        <f>Lab_Data[[#This Row],[Department]]</f>
        <v>Research &amp; Development</v>
      </c>
      <c r="AM262" t="str">
        <f>IF(Lab_Data[[#This Row],[Attrition]]="Yes","Failed","Completed")</f>
        <v>Completed</v>
      </c>
      <c r="AN262">
        <f>Lab_Data[[#This Row],[YearsAtCompany]]</f>
        <v>5</v>
      </c>
      <c r="AO262" t="str">
        <f>IF(Lab_Data[[#This Row],[PerformanceRating]]&gt;=3,"Approved","Review Required")</f>
        <v>Approved</v>
      </c>
    </row>
    <row r="263" spans="1:41"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t="str">
        <f>"LAB-"&amp;Lab_Data[[#This Row],[EmployeeNumber]]</f>
        <v>LAB-361</v>
      </c>
      <c r="AK263" t="str">
        <f>Lab_Data[[#This Row],[JobRole]]</f>
        <v>Sales Executive</v>
      </c>
      <c r="AL263" t="str">
        <f>Lab_Data[[#This Row],[Department]]</f>
        <v>Sales</v>
      </c>
      <c r="AM263" t="str">
        <f>IF(Lab_Data[[#This Row],[Attrition]]="Yes","Failed","Completed")</f>
        <v>Completed</v>
      </c>
      <c r="AN263">
        <f>Lab_Data[[#This Row],[YearsAtCompany]]</f>
        <v>8</v>
      </c>
      <c r="AO263" t="str">
        <f>IF(Lab_Data[[#This Row],[PerformanceRating]]&gt;=3,"Approved","Review Required")</f>
        <v>Approved</v>
      </c>
    </row>
    <row r="264" spans="1:41"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t="str">
        <f>"LAB-"&amp;Lab_Data[[#This Row],[EmployeeNumber]]</f>
        <v>LAB-362</v>
      </c>
      <c r="AK264" t="str">
        <f>Lab_Data[[#This Row],[JobRole]]</f>
        <v>Laboratory Technician</v>
      </c>
      <c r="AL264" t="str">
        <f>Lab_Data[[#This Row],[Department]]</f>
        <v>Research &amp; Development</v>
      </c>
      <c r="AM264" t="str">
        <f>IF(Lab_Data[[#This Row],[Attrition]]="Yes","Failed","Completed")</f>
        <v>Completed</v>
      </c>
      <c r="AN264">
        <f>Lab_Data[[#This Row],[YearsAtCompany]]</f>
        <v>6</v>
      </c>
      <c r="AO264" t="str">
        <f>IF(Lab_Data[[#This Row],[PerformanceRating]]&gt;=3,"Approved","Review Required")</f>
        <v>Approved</v>
      </c>
    </row>
    <row r="265" spans="1:41"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t="str">
        <f>"LAB-"&amp;Lab_Data[[#This Row],[EmployeeNumber]]</f>
        <v>LAB-363</v>
      </c>
      <c r="AK265" t="str">
        <f>Lab_Data[[#This Row],[JobRole]]</f>
        <v>Manager</v>
      </c>
      <c r="AL265" t="str">
        <f>Lab_Data[[#This Row],[Department]]</f>
        <v>Sales</v>
      </c>
      <c r="AM265" t="str">
        <f>IF(Lab_Data[[#This Row],[Attrition]]="Yes","Failed","Completed")</f>
        <v>Completed</v>
      </c>
      <c r="AN265">
        <f>Lab_Data[[#This Row],[YearsAtCompany]]</f>
        <v>7</v>
      </c>
      <c r="AO265" t="str">
        <f>IF(Lab_Data[[#This Row],[PerformanceRating]]&gt;=3,"Approved","Review Required")</f>
        <v>Approved</v>
      </c>
    </row>
    <row r="266" spans="1:41"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t="str">
        <f>"LAB-"&amp;Lab_Data[[#This Row],[EmployeeNumber]]</f>
        <v>LAB-364</v>
      </c>
      <c r="AK266" t="str">
        <f>Lab_Data[[#This Row],[JobRole]]</f>
        <v>Laboratory Technician</v>
      </c>
      <c r="AL266" t="str">
        <f>Lab_Data[[#This Row],[Department]]</f>
        <v>Research &amp; Development</v>
      </c>
      <c r="AM266" t="str">
        <f>IF(Lab_Data[[#This Row],[Attrition]]="Yes","Failed","Completed")</f>
        <v>Failed</v>
      </c>
      <c r="AN266">
        <f>Lab_Data[[#This Row],[YearsAtCompany]]</f>
        <v>0</v>
      </c>
      <c r="AO266" t="str">
        <f>IF(Lab_Data[[#This Row],[PerformanceRating]]&gt;=3,"Approved","Review Required")</f>
        <v>Approved</v>
      </c>
    </row>
    <row r="267" spans="1:41"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t="str">
        <f>"LAB-"&amp;Lab_Data[[#This Row],[EmployeeNumber]]</f>
        <v>LAB-366</v>
      </c>
      <c r="AK267" t="str">
        <f>Lab_Data[[#This Row],[JobRole]]</f>
        <v>Sales Executive</v>
      </c>
      <c r="AL267" t="str">
        <f>Lab_Data[[#This Row],[Department]]</f>
        <v>Sales</v>
      </c>
      <c r="AM267" t="str">
        <f>IF(Lab_Data[[#This Row],[Attrition]]="Yes","Failed","Completed")</f>
        <v>Completed</v>
      </c>
      <c r="AN267">
        <f>Lab_Data[[#This Row],[YearsAtCompany]]</f>
        <v>0</v>
      </c>
      <c r="AO267" t="str">
        <f>IF(Lab_Data[[#This Row],[PerformanceRating]]&gt;=3,"Approved","Review Required")</f>
        <v>Approved</v>
      </c>
    </row>
    <row r="268" spans="1:41"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t="str">
        <f>"LAB-"&amp;Lab_Data[[#This Row],[EmployeeNumber]]</f>
        <v>LAB-367</v>
      </c>
      <c r="AK268" t="str">
        <f>Lab_Data[[#This Row],[JobRole]]</f>
        <v>Healthcare Representative</v>
      </c>
      <c r="AL268" t="str">
        <f>Lab_Data[[#This Row],[Department]]</f>
        <v>Research &amp; Development</v>
      </c>
      <c r="AM268" t="str">
        <f>IF(Lab_Data[[#This Row],[Attrition]]="Yes","Failed","Completed")</f>
        <v>Completed</v>
      </c>
      <c r="AN268">
        <f>Lab_Data[[#This Row],[YearsAtCompany]]</f>
        <v>9</v>
      </c>
      <c r="AO268" t="str">
        <f>IF(Lab_Data[[#This Row],[PerformanceRating]]&gt;=3,"Approved","Review Required")</f>
        <v>Approved</v>
      </c>
    </row>
    <row r="269" spans="1:41"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t="str">
        <f>"LAB-"&amp;Lab_Data[[#This Row],[EmployeeNumber]]</f>
        <v>LAB-369</v>
      </c>
      <c r="AK269" t="str">
        <f>Lab_Data[[#This Row],[JobRole]]</f>
        <v>Healthcare Representative</v>
      </c>
      <c r="AL269" t="str">
        <f>Lab_Data[[#This Row],[Department]]</f>
        <v>Research &amp; Development</v>
      </c>
      <c r="AM269" t="str">
        <f>IF(Lab_Data[[#This Row],[Attrition]]="Yes","Failed","Completed")</f>
        <v>Completed</v>
      </c>
      <c r="AN269">
        <f>Lab_Data[[#This Row],[YearsAtCompany]]</f>
        <v>6</v>
      </c>
      <c r="AO269" t="str">
        <f>IF(Lab_Data[[#This Row],[PerformanceRating]]&gt;=3,"Approved","Review Required")</f>
        <v>Approved</v>
      </c>
    </row>
    <row r="270" spans="1:41"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t="str">
        <f>"LAB-"&amp;Lab_Data[[#This Row],[EmployeeNumber]]</f>
        <v>LAB-372</v>
      </c>
      <c r="AK270" t="str">
        <f>Lab_Data[[#This Row],[JobRole]]</f>
        <v>Healthcare Representative</v>
      </c>
      <c r="AL270" t="str">
        <f>Lab_Data[[#This Row],[Department]]</f>
        <v>Research &amp; Development</v>
      </c>
      <c r="AM270" t="str">
        <f>IF(Lab_Data[[#This Row],[Attrition]]="Yes","Failed","Completed")</f>
        <v>Completed</v>
      </c>
      <c r="AN270">
        <f>Lab_Data[[#This Row],[YearsAtCompany]]</f>
        <v>20</v>
      </c>
      <c r="AO270" t="str">
        <f>IF(Lab_Data[[#This Row],[PerformanceRating]]&gt;=3,"Approved","Review Required")</f>
        <v>Approved</v>
      </c>
    </row>
    <row r="271" spans="1:41"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t="str">
        <f>"LAB-"&amp;Lab_Data[[#This Row],[EmployeeNumber]]</f>
        <v>LAB-373</v>
      </c>
      <c r="AK271" t="str">
        <f>Lab_Data[[#This Row],[JobRole]]</f>
        <v>Laboratory Technician</v>
      </c>
      <c r="AL271" t="str">
        <f>Lab_Data[[#This Row],[Department]]</f>
        <v>Research &amp; Development</v>
      </c>
      <c r="AM271" t="str">
        <f>IF(Lab_Data[[#This Row],[Attrition]]="Yes","Failed","Completed")</f>
        <v>Completed</v>
      </c>
      <c r="AN271">
        <f>Lab_Data[[#This Row],[YearsAtCompany]]</f>
        <v>15</v>
      </c>
      <c r="AO271" t="str">
        <f>IF(Lab_Data[[#This Row],[PerformanceRating]]&gt;=3,"Approved","Review Required")</f>
        <v>Approved</v>
      </c>
    </row>
    <row r="272" spans="1:41"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t="str">
        <f>"LAB-"&amp;Lab_Data[[#This Row],[EmployeeNumber]]</f>
        <v>LAB-374</v>
      </c>
      <c r="AK272" t="str">
        <f>Lab_Data[[#This Row],[JobRole]]</f>
        <v>Manager</v>
      </c>
      <c r="AL272" t="str">
        <f>Lab_Data[[#This Row],[Department]]</f>
        <v>Research &amp; Development</v>
      </c>
      <c r="AM272" t="str">
        <f>IF(Lab_Data[[#This Row],[Attrition]]="Yes","Failed","Completed")</f>
        <v>Completed</v>
      </c>
      <c r="AN272">
        <f>Lab_Data[[#This Row],[YearsAtCompany]]</f>
        <v>36</v>
      </c>
      <c r="AO272" t="str">
        <f>IF(Lab_Data[[#This Row],[PerformanceRating]]&gt;=3,"Approved","Review Required")</f>
        <v>Approved</v>
      </c>
    </row>
    <row r="273" spans="1:41"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t="str">
        <f>"LAB-"&amp;Lab_Data[[#This Row],[EmployeeNumber]]</f>
        <v>LAB-376</v>
      </c>
      <c r="AK273" t="str">
        <f>Lab_Data[[#This Row],[JobRole]]</f>
        <v>Manager</v>
      </c>
      <c r="AL273" t="str">
        <f>Lab_Data[[#This Row],[Department]]</f>
        <v>Research &amp; Development</v>
      </c>
      <c r="AM273" t="str">
        <f>IF(Lab_Data[[#This Row],[Attrition]]="Yes","Failed","Completed")</f>
        <v>Failed</v>
      </c>
      <c r="AN273">
        <f>Lab_Data[[#This Row],[YearsAtCompany]]</f>
        <v>10</v>
      </c>
      <c r="AO273" t="str">
        <f>IF(Lab_Data[[#This Row],[PerformanceRating]]&gt;=3,"Approved","Review Required")</f>
        <v>Approved</v>
      </c>
    </row>
    <row r="274" spans="1:41"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t="str">
        <f>"LAB-"&amp;Lab_Data[[#This Row],[EmployeeNumber]]</f>
        <v>LAB-377</v>
      </c>
      <c r="AK274" t="str">
        <f>Lab_Data[[#This Row],[JobRole]]</f>
        <v>Research Scientist</v>
      </c>
      <c r="AL274" t="str">
        <f>Lab_Data[[#This Row],[Department]]</f>
        <v>Research &amp; Development</v>
      </c>
      <c r="AM274" t="str">
        <f>IF(Lab_Data[[#This Row],[Attrition]]="Yes","Failed","Completed")</f>
        <v>Completed</v>
      </c>
      <c r="AN274">
        <f>Lab_Data[[#This Row],[YearsAtCompany]]</f>
        <v>5</v>
      </c>
      <c r="AO274" t="str">
        <f>IF(Lab_Data[[#This Row],[PerformanceRating]]&gt;=3,"Approved","Review Required")</f>
        <v>Approved</v>
      </c>
    </row>
    <row r="275" spans="1:41"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t="str">
        <f>"LAB-"&amp;Lab_Data[[#This Row],[EmployeeNumber]]</f>
        <v>LAB-378</v>
      </c>
      <c r="AK275" t="str">
        <f>Lab_Data[[#This Row],[JobRole]]</f>
        <v>Sales Executive</v>
      </c>
      <c r="AL275" t="str">
        <f>Lab_Data[[#This Row],[Department]]</f>
        <v>Sales</v>
      </c>
      <c r="AM275" t="str">
        <f>IF(Lab_Data[[#This Row],[Attrition]]="Yes","Failed","Completed")</f>
        <v>Completed</v>
      </c>
      <c r="AN275">
        <f>Lab_Data[[#This Row],[YearsAtCompany]]</f>
        <v>5</v>
      </c>
      <c r="AO275" t="str">
        <f>IF(Lab_Data[[#This Row],[PerformanceRating]]&gt;=3,"Approved","Review Required")</f>
        <v>Approved</v>
      </c>
    </row>
    <row r="276" spans="1:41"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t="str">
        <f>"LAB-"&amp;Lab_Data[[#This Row],[EmployeeNumber]]</f>
        <v>LAB-379</v>
      </c>
      <c r="AK276" t="str">
        <f>Lab_Data[[#This Row],[JobRole]]</f>
        <v>Research Scientist</v>
      </c>
      <c r="AL276" t="str">
        <f>Lab_Data[[#This Row],[Department]]</f>
        <v>Research &amp; Development</v>
      </c>
      <c r="AM276" t="str">
        <f>IF(Lab_Data[[#This Row],[Attrition]]="Yes","Failed","Completed")</f>
        <v>Completed</v>
      </c>
      <c r="AN276">
        <f>Lab_Data[[#This Row],[YearsAtCompany]]</f>
        <v>3</v>
      </c>
      <c r="AO276" t="str">
        <f>IF(Lab_Data[[#This Row],[PerformanceRating]]&gt;=3,"Approved","Review Required")</f>
        <v>Approved</v>
      </c>
    </row>
    <row r="277" spans="1:41"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t="str">
        <f>"LAB-"&amp;Lab_Data[[#This Row],[EmployeeNumber]]</f>
        <v>LAB-380</v>
      </c>
      <c r="AK277" t="str">
        <f>Lab_Data[[#This Row],[JobRole]]</f>
        <v>Research Director</v>
      </c>
      <c r="AL277" t="str">
        <f>Lab_Data[[#This Row],[Department]]</f>
        <v>Research &amp; Development</v>
      </c>
      <c r="AM277" t="str">
        <f>IF(Lab_Data[[#This Row],[Attrition]]="Yes","Failed","Completed")</f>
        <v>Completed</v>
      </c>
      <c r="AN277">
        <f>Lab_Data[[#This Row],[YearsAtCompany]]</f>
        <v>5</v>
      </c>
      <c r="AO277" t="str">
        <f>IF(Lab_Data[[#This Row],[PerformanceRating]]&gt;=3,"Approved","Review Required")</f>
        <v>Approved</v>
      </c>
    </row>
    <row r="278" spans="1:41"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t="str">
        <f>"LAB-"&amp;Lab_Data[[#This Row],[EmployeeNumber]]</f>
        <v>LAB-381</v>
      </c>
      <c r="AK278" t="str">
        <f>Lab_Data[[#This Row],[JobRole]]</f>
        <v>Manager</v>
      </c>
      <c r="AL278" t="str">
        <f>Lab_Data[[#This Row],[Department]]</f>
        <v>Research &amp; Development</v>
      </c>
      <c r="AM278" t="str">
        <f>IF(Lab_Data[[#This Row],[Attrition]]="Yes","Failed","Completed")</f>
        <v>Completed</v>
      </c>
      <c r="AN278">
        <f>Lab_Data[[#This Row],[YearsAtCompany]]</f>
        <v>7</v>
      </c>
      <c r="AO278" t="str">
        <f>IF(Lab_Data[[#This Row],[PerformanceRating]]&gt;=3,"Approved","Review Required")</f>
        <v>Approved</v>
      </c>
    </row>
    <row r="279" spans="1:41"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t="str">
        <f>"LAB-"&amp;Lab_Data[[#This Row],[EmployeeNumber]]</f>
        <v>LAB-382</v>
      </c>
      <c r="AK279" t="str">
        <f>Lab_Data[[#This Row],[JobRole]]</f>
        <v>Sales Executive</v>
      </c>
      <c r="AL279" t="str">
        <f>Lab_Data[[#This Row],[Department]]</f>
        <v>Sales</v>
      </c>
      <c r="AM279" t="str">
        <f>IF(Lab_Data[[#This Row],[Attrition]]="Yes","Failed","Completed")</f>
        <v>Completed</v>
      </c>
      <c r="AN279">
        <f>Lab_Data[[#This Row],[YearsAtCompany]]</f>
        <v>8</v>
      </c>
      <c r="AO279" t="str">
        <f>IF(Lab_Data[[#This Row],[PerformanceRating]]&gt;=3,"Approved","Review Required")</f>
        <v>Approved</v>
      </c>
    </row>
    <row r="280" spans="1:41"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t="str">
        <f>"LAB-"&amp;Lab_Data[[#This Row],[EmployeeNumber]]</f>
        <v>LAB-384</v>
      </c>
      <c r="AK280" t="str">
        <f>Lab_Data[[#This Row],[JobRole]]</f>
        <v>Manufacturing Director</v>
      </c>
      <c r="AL280" t="str">
        <f>Lab_Data[[#This Row],[Department]]</f>
        <v>Research &amp; Development</v>
      </c>
      <c r="AM280" t="str">
        <f>IF(Lab_Data[[#This Row],[Attrition]]="Yes","Failed","Completed")</f>
        <v>Completed</v>
      </c>
      <c r="AN280">
        <f>Lab_Data[[#This Row],[YearsAtCompany]]</f>
        <v>6</v>
      </c>
      <c r="AO280" t="str">
        <f>IF(Lab_Data[[#This Row],[PerformanceRating]]&gt;=3,"Approved","Review Required")</f>
        <v>Approved</v>
      </c>
    </row>
    <row r="281" spans="1:41"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t="str">
        <f>"LAB-"&amp;Lab_Data[[#This Row],[EmployeeNumber]]</f>
        <v>LAB-385</v>
      </c>
      <c r="AK281" t="str">
        <f>Lab_Data[[#This Row],[JobRole]]</f>
        <v>Research Director</v>
      </c>
      <c r="AL281" t="str">
        <f>Lab_Data[[#This Row],[Department]]</f>
        <v>Research &amp; Development</v>
      </c>
      <c r="AM281" t="str">
        <f>IF(Lab_Data[[#This Row],[Attrition]]="Yes","Failed","Completed")</f>
        <v>Completed</v>
      </c>
      <c r="AN281">
        <f>Lab_Data[[#This Row],[YearsAtCompany]]</f>
        <v>10</v>
      </c>
      <c r="AO281" t="str">
        <f>IF(Lab_Data[[#This Row],[PerformanceRating]]&gt;=3,"Approved","Review Required")</f>
        <v>Approved</v>
      </c>
    </row>
    <row r="282" spans="1:41"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t="str">
        <f>"LAB-"&amp;Lab_Data[[#This Row],[EmployeeNumber]]</f>
        <v>LAB-386</v>
      </c>
      <c r="AK282" t="str">
        <f>Lab_Data[[#This Row],[JobRole]]</f>
        <v>Research Director</v>
      </c>
      <c r="AL282" t="str">
        <f>Lab_Data[[#This Row],[Department]]</f>
        <v>Research &amp; Development</v>
      </c>
      <c r="AM282" t="str">
        <f>IF(Lab_Data[[#This Row],[Attrition]]="Yes","Failed","Completed")</f>
        <v>Completed</v>
      </c>
      <c r="AN282">
        <f>Lab_Data[[#This Row],[YearsAtCompany]]</f>
        <v>5</v>
      </c>
      <c r="AO282" t="str">
        <f>IF(Lab_Data[[#This Row],[PerformanceRating]]&gt;=3,"Approved","Review Required")</f>
        <v>Approved</v>
      </c>
    </row>
    <row r="283" spans="1:41"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t="str">
        <f>"LAB-"&amp;Lab_Data[[#This Row],[EmployeeNumber]]</f>
        <v>LAB-387</v>
      </c>
      <c r="AK283" t="str">
        <f>Lab_Data[[#This Row],[JobRole]]</f>
        <v>Sales Executive</v>
      </c>
      <c r="AL283" t="str">
        <f>Lab_Data[[#This Row],[Department]]</f>
        <v>Sales</v>
      </c>
      <c r="AM283" t="str">
        <f>IF(Lab_Data[[#This Row],[Attrition]]="Yes","Failed","Completed")</f>
        <v>Completed</v>
      </c>
      <c r="AN283">
        <f>Lab_Data[[#This Row],[YearsAtCompany]]</f>
        <v>20</v>
      </c>
      <c r="AO283" t="str">
        <f>IF(Lab_Data[[#This Row],[PerformanceRating]]&gt;=3,"Approved","Review Required")</f>
        <v>Approved</v>
      </c>
    </row>
    <row r="284" spans="1:41"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t="str">
        <f>"LAB-"&amp;Lab_Data[[#This Row],[EmployeeNumber]]</f>
        <v>LAB-388</v>
      </c>
      <c r="AK284" t="str">
        <f>Lab_Data[[#This Row],[JobRole]]</f>
        <v>Sales Executive</v>
      </c>
      <c r="AL284" t="str">
        <f>Lab_Data[[#This Row],[Department]]</f>
        <v>Sales</v>
      </c>
      <c r="AM284" t="str">
        <f>IF(Lab_Data[[#This Row],[Attrition]]="Yes","Failed","Completed")</f>
        <v>Completed</v>
      </c>
      <c r="AN284">
        <f>Lab_Data[[#This Row],[YearsAtCompany]]</f>
        <v>10</v>
      </c>
      <c r="AO284" t="str">
        <f>IF(Lab_Data[[#This Row],[PerformanceRating]]&gt;=3,"Approved","Review Required")</f>
        <v>Approved</v>
      </c>
    </row>
    <row r="285" spans="1:41"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t="str">
        <f>"LAB-"&amp;Lab_Data[[#This Row],[EmployeeNumber]]</f>
        <v>LAB-389</v>
      </c>
      <c r="AK285" t="str">
        <f>Lab_Data[[#This Row],[JobRole]]</f>
        <v>Laboratory Technician</v>
      </c>
      <c r="AL285" t="str">
        <f>Lab_Data[[#This Row],[Department]]</f>
        <v>Research &amp; Development</v>
      </c>
      <c r="AM285" t="str">
        <f>IF(Lab_Data[[#This Row],[Attrition]]="Yes","Failed","Completed")</f>
        <v>Completed</v>
      </c>
      <c r="AN285">
        <f>Lab_Data[[#This Row],[YearsAtCompany]]</f>
        <v>10</v>
      </c>
      <c r="AO285" t="str">
        <f>IF(Lab_Data[[#This Row],[PerformanceRating]]&gt;=3,"Approved","Review Required")</f>
        <v>Approved</v>
      </c>
    </row>
    <row r="286" spans="1:41"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t="str">
        <f>"LAB-"&amp;Lab_Data[[#This Row],[EmployeeNumber]]</f>
        <v>LAB-390</v>
      </c>
      <c r="AK286" t="str">
        <f>Lab_Data[[#This Row],[JobRole]]</f>
        <v>Healthcare Representative</v>
      </c>
      <c r="AL286" t="str">
        <f>Lab_Data[[#This Row],[Department]]</f>
        <v>Research &amp; Development</v>
      </c>
      <c r="AM286" t="str">
        <f>IF(Lab_Data[[#This Row],[Attrition]]="Yes","Failed","Completed")</f>
        <v>Completed</v>
      </c>
      <c r="AN286">
        <f>Lab_Data[[#This Row],[YearsAtCompany]]</f>
        <v>5</v>
      </c>
      <c r="AO286" t="str">
        <f>IF(Lab_Data[[#This Row],[PerformanceRating]]&gt;=3,"Approved","Review Required")</f>
        <v>Approved</v>
      </c>
    </row>
    <row r="287" spans="1:41"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t="str">
        <f>"LAB-"&amp;Lab_Data[[#This Row],[EmployeeNumber]]</f>
        <v>LAB-391</v>
      </c>
      <c r="AK287" t="str">
        <f>Lab_Data[[#This Row],[JobRole]]</f>
        <v>Research Scientist</v>
      </c>
      <c r="AL287" t="str">
        <f>Lab_Data[[#This Row],[Department]]</f>
        <v>Research &amp; Development</v>
      </c>
      <c r="AM287" t="str">
        <f>IF(Lab_Data[[#This Row],[Attrition]]="Yes","Failed","Completed")</f>
        <v>Completed</v>
      </c>
      <c r="AN287">
        <f>Lab_Data[[#This Row],[YearsAtCompany]]</f>
        <v>17</v>
      </c>
      <c r="AO287" t="str">
        <f>IF(Lab_Data[[#This Row],[PerformanceRating]]&gt;=3,"Approved","Review Required")</f>
        <v>Approved</v>
      </c>
    </row>
    <row r="288" spans="1:41"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t="str">
        <f>"LAB-"&amp;Lab_Data[[#This Row],[EmployeeNumber]]</f>
        <v>LAB-392</v>
      </c>
      <c r="AK288" t="str">
        <f>Lab_Data[[#This Row],[JobRole]]</f>
        <v>Laboratory Technician</v>
      </c>
      <c r="AL288" t="str">
        <f>Lab_Data[[#This Row],[Department]]</f>
        <v>Research &amp; Development</v>
      </c>
      <c r="AM288" t="str">
        <f>IF(Lab_Data[[#This Row],[Attrition]]="Yes","Failed","Completed")</f>
        <v>Failed</v>
      </c>
      <c r="AN288">
        <f>Lab_Data[[#This Row],[YearsAtCompany]]</f>
        <v>1</v>
      </c>
      <c r="AO288" t="str">
        <f>IF(Lab_Data[[#This Row],[PerformanceRating]]&gt;=3,"Approved","Review Required")</f>
        <v>Approved</v>
      </c>
    </row>
    <row r="289" spans="1:41"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t="str">
        <f>"LAB-"&amp;Lab_Data[[#This Row],[EmployeeNumber]]</f>
        <v>LAB-393</v>
      </c>
      <c r="AK289" t="str">
        <f>Lab_Data[[#This Row],[JobRole]]</f>
        <v>Healthcare Representative</v>
      </c>
      <c r="AL289" t="str">
        <f>Lab_Data[[#This Row],[Department]]</f>
        <v>Research &amp; Development</v>
      </c>
      <c r="AM289" t="str">
        <f>IF(Lab_Data[[#This Row],[Attrition]]="Yes","Failed","Completed")</f>
        <v>Completed</v>
      </c>
      <c r="AN289">
        <f>Lab_Data[[#This Row],[YearsAtCompany]]</f>
        <v>2</v>
      </c>
      <c r="AO289" t="str">
        <f>IF(Lab_Data[[#This Row],[PerformanceRating]]&gt;=3,"Approved","Review Required")</f>
        <v>Approved</v>
      </c>
    </row>
    <row r="290" spans="1:41"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t="str">
        <f>"LAB-"&amp;Lab_Data[[#This Row],[EmployeeNumber]]</f>
        <v>LAB-394</v>
      </c>
      <c r="AK290" t="str">
        <f>Lab_Data[[#This Row],[JobRole]]</f>
        <v>Laboratory Technician</v>
      </c>
      <c r="AL290" t="str">
        <f>Lab_Data[[#This Row],[Department]]</f>
        <v>Research &amp; Development</v>
      </c>
      <c r="AM290" t="str">
        <f>IF(Lab_Data[[#This Row],[Attrition]]="Yes","Failed","Completed")</f>
        <v>Failed</v>
      </c>
      <c r="AN290">
        <f>Lab_Data[[#This Row],[YearsAtCompany]]</f>
        <v>3</v>
      </c>
      <c r="AO290" t="str">
        <f>IF(Lab_Data[[#This Row],[PerformanceRating]]&gt;=3,"Approved","Review Required")</f>
        <v>Approved</v>
      </c>
    </row>
    <row r="291" spans="1:41"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t="str">
        <f>"LAB-"&amp;Lab_Data[[#This Row],[EmployeeNumber]]</f>
        <v>LAB-395</v>
      </c>
      <c r="AK291" t="str">
        <f>Lab_Data[[#This Row],[JobRole]]</f>
        <v>Research Scientist</v>
      </c>
      <c r="AL291" t="str">
        <f>Lab_Data[[#This Row],[Department]]</f>
        <v>Research &amp; Development</v>
      </c>
      <c r="AM291" t="str">
        <f>IF(Lab_Data[[#This Row],[Attrition]]="Yes","Failed","Completed")</f>
        <v>Completed</v>
      </c>
      <c r="AN291">
        <f>Lab_Data[[#This Row],[YearsAtCompany]]</f>
        <v>5</v>
      </c>
      <c r="AO291" t="str">
        <f>IF(Lab_Data[[#This Row],[PerformanceRating]]&gt;=3,"Approved","Review Required")</f>
        <v>Approved</v>
      </c>
    </row>
    <row r="292" spans="1:41"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t="str">
        <f>"LAB-"&amp;Lab_Data[[#This Row],[EmployeeNumber]]</f>
        <v>LAB-396</v>
      </c>
      <c r="AK292" t="str">
        <f>Lab_Data[[#This Row],[JobRole]]</f>
        <v>Research Director</v>
      </c>
      <c r="AL292" t="str">
        <f>Lab_Data[[#This Row],[Department]]</f>
        <v>Research &amp; Development</v>
      </c>
      <c r="AM292" t="str">
        <f>IF(Lab_Data[[#This Row],[Attrition]]="Yes","Failed","Completed")</f>
        <v>Completed</v>
      </c>
      <c r="AN292">
        <f>Lab_Data[[#This Row],[YearsAtCompany]]</f>
        <v>3</v>
      </c>
      <c r="AO292" t="str">
        <f>IF(Lab_Data[[#This Row],[PerformanceRating]]&gt;=3,"Approved","Review Required")</f>
        <v>Approved</v>
      </c>
    </row>
    <row r="293" spans="1:41"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t="str">
        <f>"LAB-"&amp;Lab_Data[[#This Row],[EmployeeNumber]]</f>
        <v>LAB-397</v>
      </c>
      <c r="AK293" t="str">
        <f>Lab_Data[[#This Row],[JobRole]]</f>
        <v>Research Scientist</v>
      </c>
      <c r="AL293" t="str">
        <f>Lab_Data[[#This Row],[Department]]</f>
        <v>Research &amp; Development</v>
      </c>
      <c r="AM293" t="str">
        <f>IF(Lab_Data[[#This Row],[Attrition]]="Yes","Failed","Completed")</f>
        <v>Completed</v>
      </c>
      <c r="AN293">
        <f>Lab_Data[[#This Row],[YearsAtCompany]]</f>
        <v>8</v>
      </c>
      <c r="AO293" t="str">
        <f>IF(Lab_Data[[#This Row],[PerformanceRating]]&gt;=3,"Approved","Review Required")</f>
        <v>Approved</v>
      </c>
    </row>
    <row r="294" spans="1:41"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t="str">
        <f>"LAB-"&amp;Lab_Data[[#This Row],[EmployeeNumber]]</f>
        <v>LAB-399</v>
      </c>
      <c r="AK294" t="str">
        <f>Lab_Data[[#This Row],[JobRole]]</f>
        <v>Sales Representative</v>
      </c>
      <c r="AL294" t="str">
        <f>Lab_Data[[#This Row],[Department]]</f>
        <v>Sales</v>
      </c>
      <c r="AM294" t="str">
        <f>IF(Lab_Data[[#This Row],[Attrition]]="Yes","Failed","Completed")</f>
        <v>Completed</v>
      </c>
      <c r="AN294">
        <f>Lab_Data[[#This Row],[YearsAtCompany]]</f>
        <v>2</v>
      </c>
      <c r="AO294" t="str">
        <f>IF(Lab_Data[[#This Row],[PerformanceRating]]&gt;=3,"Approved","Review Required")</f>
        <v>Approved</v>
      </c>
    </row>
    <row r="295" spans="1:41"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t="str">
        <f>"LAB-"&amp;Lab_Data[[#This Row],[EmployeeNumber]]</f>
        <v>LAB-401</v>
      </c>
      <c r="AK295" t="str">
        <f>Lab_Data[[#This Row],[JobRole]]</f>
        <v>Sales Executive</v>
      </c>
      <c r="AL295" t="str">
        <f>Lab_Data[[#This Row],[Department]]</f>
        <v>Sales</v>
      </c>
      <c r="AM295" t="str">
        <f>IF(Lab_Data[[#This Row],[Attrition]]="Yes","Failed","Completed")</f>
        <v>Failed</v>
      </c>
      <c r="AN295">
        <f>Lab_Data[[#This Row],[YearsAtCompany]]</f>
        <v>8</v>
      </c>
      <c r="AO295" t="str">
        <f>IF(Lab_Data[[#This Row],[PerformanceRating]]&gt;=3,"Approved","Review Required")</f>
        <v>Approved</v>
      </c>
    </row>
    <row r="296" spans="1:41"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t="str">
        <f>"LAB-"&amp;Lab_Data[[#This Row],[EmployeeNumber]]</f>
        <v>LAB-403</v>
      </c>
      <c r="AK296" t="str">
        <f>Lab_Data[[#This Row],[JobRole]]</f>
        <v>Research Scientist</v>
      </c>
      <c r="AL296" t="str">
        <f>Lab_Data[[#This Row],[Department]]</f>
        <v>Research &amp; Development</v>
      </c>
      <c r="AM296" t="str">
        <f>IF(Lab_Data[[#This Row],[Attrition]]="Yes","Failed","Completed")</f>
        <v>Completed</v>
      </c>
      <c r="AN296">
        <f>Lab_Data[[#This Row],[YearsAtCompany]]</f>
        <v>4</v>
      </c>
      <c r="AO296" t="str">
        <f>IF(Lab_Data[[#This Row],[PerformanceRating]]&gt;=3,"Approved","Review Required")</f>
        <v>Approved</v>
      </c>
    </row>
    <row r="297" spans="1:41"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t="str">
        <f>"LAB-"&amp;Lab_Data[[#This Row],[EmployeeNumber]]</f>
        <v>LAB-404</v>
      </c>
      <c r="AK297" t="str">
        <f>Lab_Data[[#This Row],[JobRole]]</f>
        <v>Sales Executive</v>
      </c>
      <c r="AL297" t="str">
        <f>Lab_Data[[#This Row],[Department]]</f>
        <v>Sales</v>
      </c>
      <c r="AM297" t="str">
        <f>IF(Lab_Data[[#This Row],[Attrition]]="Yes","Failed","Completed")</f>
        <v>Completed</v>
      </c>
      <c r="AN297">
        <f>Lab_Data[[#This Row],[YearsAtCompany]]</f>
        <v>20</v>
      </c>
      <c r="AO297" t="str">
        <f>IF(Lab_Data[[#This Row],[PerformanceRating]]&gt;=3,"Approved","Review Required")</f>
        <v>Approved</v>
      </c>
    </row>
    <row r="298" spans="1:41"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t="str">
        <f>"LAB-"&amp;Lab_Data[[#This Row],[EmployeeNumber]]</f>
        <v>LAB-405</v>
      </c>
      <c r="AK298" t="str">
        <f>Lab_Data[[#This Row],[JobRole]]</f>
        <v>Laboratory Technician</v>
      </c>
      <c r="AL298" t="str">
        <f>Lab_Data[[#This Row],[Department]]</f>
        <v>Research &amp; Development</v>
      </c>
      <c r="AM298" t="str">
        <f>IF(Lab_Data[[#This Row],[Attrition]]="Yes","Failed","Completed")</f>
        <v>Failed</v>
      </c>
      <c r="AN298">
        <f>Lab_Data[[#This Row],[YearsAtCompany]]</f>
        <v>0</v>
      </c>
      <c r="AO298" t="str">
        <f>IF(Lab_Data[[#This Row],[PerformanceRating]]&gt;=3,"Approved","Review Required")</f>
        <v>Approved</v>
      </c>
    </row>
    <row r="299" spans="1:41"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t="str">
        <f>"LAB-"&amp;Lab_Data[[#This Row],[EmployeeNumber]]</f>
        <v>LAB-406</v>
      </c>
      <c r="AK299" t="str">
        <f>Lab_Data[[#This Row],[JobRole]]</f>
        <v>Sales Executive</v>
      </c>
      <c r="AL299" t="str">
        <f>Lab_Data[[#This Row],[Department]]</f>
        <v>Sales</v>
      </c>
      <c r="AM299" t="str">
        <f>IF(Lab_Data[[#This Row],[Attrition]]="Yes","Failed","Completed")</f>
        <v>Completed</v>
      </c>
      <c r="AN299">
        <f>Lab_Data[[#This Row],[YearsAtCompany]]</f>
        <v>11</v>
      </c>
      <c r="AO299" t="str">
        <f>IF(Lab_Data[[#This Row],[PerformanceRating]]&gt;=3,"Approved","Review Required")</f>
        <v>Approved</v>
      </c>
    </row>
    <row r="300" spans="1:41"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t="str">
        <f>"LAB-"&amp;Lab_Data[[#This Row],[EmployeeNumber]]</f>
        <v>LAB-407</v>
      </c>
      <c r="AK300" t="str">
        <f>Lab_Data[[#This Row],[JobRole]]</f>
        <v>Laboratory Technician</v>
      </c>
      <c r="AL300" t="str">
        <f>Lab_Data[[#This Row],[Department]]</f>
        <v>Research &amp; Development</v>
      </c>
      <c r="AM300" t="str">
        <f>IF(Lab_Data[[#This Row],[Attrition]]="Yes","Failed","Completed")</f>
        <v>Completed</v>
      </c>
      <c r="AN300">
        <f>Lab_Data[[#This Row],[YearsAtCompany]]</f>
        <v>1</v>
      </c>
      <c r="AO300" t="str">
        <f>IF(Lab_Data[[#This Row],[PerformanceRating]]&gt;=3,"Approved","Review Required")</f>
        <v>Approved</v>
      </c>
    </row>
    <row r="301" spans="1:41"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t="str">
        <f>"LAB-"&amp;Lab_Data[[#This Row],[EmployeeNumber]]</f>
        <v>LAB-408</v>
      </c>
      <c r="AK301" t="str">
        <f>Lab_Data[[#This Row],[JobRole]]</f>
        <v>Manufacturing Director</v>
      </c>
      <c r="AL301" t="str">
        <f>Lab_Data[[#This Row],[Department]]</f>
        <v>Research &amp; Development</v>
      </c>
      <c r="AM301" t="str">
        <f>IF(Lab_Data[[#This Row],[Attrition]]="Yes","Failed","Completed")</f>
        <v>Completed</v>
      </c>
      <c r="AN301">
        <f>Lab_Data[[#This Row],[YearsAtCompany]]</f>
        <v>4</v>
      </c>
      <c r="AO301" t="str">
        <f>IF(Lab_Data[[#This Row],[PerformanceRating]]&gt;=3,"Approved","Review Required")</f>
        <v>Approved</v>
      </c>
    </row>
    <row r="302" spans="1:41"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t="str">
        <f>"LAB-"&amp;Lab_Data[[#This Row],[EmployeeNumber]]</f>
        <v>LAB-410</v>
      </c>
      <c r="AK302" t="str">
        <f>Lab_Data[[#This Row],[JobRole]]</f>
        <v>Manager</v>
      </c>
      <c r="AL302" t="str">
        <f>Lab_Data[[#This Row],[Department]]</f>
        <v>Sales</v>
      </c>
      <c r="AM302" t="str">
        <f>IF(Lab_Data[[#This Row],[Attrition]]="Yes","Failed","Completed")</f>
        <v>Completed</v>
      </c>
      <c r="AN302">
        <f>Lab_Data[[#This Row],[YearsAtCompany]]</f>
        <v>22</v>
      </c>
      <c r="AO302" t="str">
        <f>IF(Lab_Data[[#This Row],[PerformanceRating]]&gt;=3,"Approved","Review Required")</f>
        <v>Approved</v>
      </c>
    </row>
    <row r="303" spans="1:41"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t="str">
        <f>"LAB-"&amp;Lab_Data[[#This Row],[EmployeeNumber]]</f>
        <v>LAB-411</v>
      </c>
      <c r="AK303" t="str">
        <f>Lab_Data[[#This Row],[JobRole]]</f>
        <v>Sales Representative</v>
      </c>
      <c r="AL303" t="str">
        <f>Lab_Data[[#This Row],[Department]]</f>
        <v>Sales</v>
      </c>
      <c r="AM303" t="str">
        <f>IF(Lab_Data[[#This Row],[Attrition]]="Yes","Failed","Completed")</f>
        <v>Completed</v>
      </c>
      <c r="AN303">
        <f>Lab_Data[[#This Row],[YearsAtCompany]]</f>
        <v>0</v>
      </c>
      <c r="AO303" t="str">
        <f>IF(Lab_Data[[#This Row],[PerformanceRating]]&gt;=3,"Approved","Review Required")</f>
        <v>Approved</v>
      </c>
    </row>
    <row r="304" spans="1:41"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t="str">
        <f>"LAB-"&amp;Lab_Data[[#This Row],[EmployeeNumber]]</f>
        <v>LAB-412</v>
      </c>
      <c r="AK304" t="str">
        <f>Lab_Data[[#This Row],[JobRole]]</f>
        <v>Healthcare Representative</v>
      </c>
      <c r="AL304" t="str">
        <f>Lab_Data[[#This Row],[Department]]</f>
        <v>Research &amp; Development</v>
      </c>
      <c r="AM304" t="str">
        <f>IF(Lab_Data[[#This Row],[Attrition]]="Yes","Failed","Completed")</f>
        <v>Completed</v>
      </c>
      <c r="AN304">
        <f>Lab_Data[[#This Row],[YearsAtCompany]]</f>
        <v>8</v>
      </c>
      <c r="AO304" t="str">
        <f>IF(Lab_Data[[#This Row],[PerformanceRating]]&gt;=3,"Approved","Review Required")</f>
        <v>Approved</v>
      </c>
    </row>
    <row r="305" spans="1:41"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t="str">
        <f>"LAB-"&amp;Lab_Data[[#This Row],[EmployeeNumber]]</f>
        <v>LAB-416</v>
      </c>
      <c r="AK305" t="str">
        <f>Lab_Data[[#This Row],[JobRole]]</f>
        <v>Sales Executive</v>
      </c>
      <c r="AL305" t="str">
        <f>Lab_Data[[#This Row],[Department]]</f>
        <v>Sales</v>
      </c>
      <c r="AM305" t="str">
        <f>IF(Lab_Data[[#This Row],[Attrition]]="Yes","Failed","Completed")</f>
        <v>Completed</v>
      </c>
      <c r="AN305">
        <f>Lab_Data[[#This Row],[YearsAtCompany]]</f>
        <v>8</v>
      </c>
      <c r="AO305" t="str">
        <f>IF(Lab_Data[[#This Row],[PerformanceRating]]&gt;=3,"Approved","Review Required")</f>
        <v>Approved</v>
      </c>
    </row>
    <row r="306" spans="1:41"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t="str">
        <f>"LAB-"&amp;Lab_Data[[#This Row],[EmployeeNumber]]</f>
        <v>LAB-417</v>
      </c>
      <c r="AK306" t="str">
        <f>Lab_Data[[#This Row],[JobRole]]</f>
        <v>Healthcare Representative</v>
      </c>
      <c r="AL306" t="str">
        <f>Lab_Data[[#This Row],[Department]]</f>
        <v>Research &amp; Development</v>
      </c>
      <c r="AM306" t="str">
        <f>IF(Lab_Data[[#This Row],[Attrition]]="Yes","Failed","Completed")</f>
        <v>Completed</v>
      </c>
      <c r="AN306">
        <f>Lab_Data[[#This Row],[YearsAtCompany]]</f>
        <v>18</v>
      </c>
      <c r="AO306" t="str">
        <f>IF(Lab_Data[[#This Row],[PerformanceRating]]&gt;=3,"Approved","Review Required")</f>
        <v>Approved</v>
      </c>
    </row>
    <row r="307" spans="1:41"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t="str">
        <f>"LAB-"&amp;Lab_Data[[#This Row],[EmployeeNumber]]</f>
        <v>LAB-419</v>
      </c>
      <c r="AK307" t="str">
        <f>Lab_Data[[#This Row],[JobRole]]</f>
        <v>Laboratory Technician</v>
      </c>
      <c r="AL307" t="str">
        <f>Lab_Data[[#This Row],[Department]]</f>
        <v>Research &amp; Development</v>
      </c>
      <c r="AM307" t="str">
        <f>IF(Lab_Data[[#This Row],[Attrition]]="Yes","Failed","Completed")</f>
        <v>Completed</v>
      </c>
      <c r="AN307">
        <f>Lab_Data[[#This Row],[YearsAtCompany]]</f>
        <v>9</v>
      </c>
      <c r="AO307" t="str">
        <f>IF(Lab_Data[[#This Row],[PerformanceRating]]&gt;=3,"Approved","Review Required")</f>
        <v>Approved</v>
      </c>
    </row>
    <row r="308" spans="1:41"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t="str">
        <f>"LAB-"&amp;Lab_Data[[#This Row],[EmployeeNumber]]</f>
        <v>LAB-420</v>
      </c>
      <c r="AK308" t="str">
        <f>Lab_Data[[#This Row],[JobRole]]</f>
        <v>Sales Executive</v>
      </c>
      <c r="AL308" t="str">
        <f>Lab_Data[[#This Row],[Department]]</f>
        <v>Sales</v>
      </c>
      <c r="AM308" t="str">
        <f>IF(Lab_Data[[#This Row],[Attrition]]="Yes","Failed","Completed")</f>
        <v>Completed</v>
      </c>
      <c r="AN308">
        <f>Lab_Data[[#This Row],[YearsAtCompany]]</f>
        <v>13</v>
      </c>
      <c r="AO308" t="str">
        <f>IF(Lab_Data[[#This Row],[PerformanceRating]]&gt;=3,"Approved","Review Required")</f>
        <v>Approved</v>
      </c>
    </row>
    <row r="309" spans="1:41"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t="str">
        <f>"LAB-"&amp;Lab_Data[[#This Row],[EmployeeNumber]]</f>
        <v>LAB-421</v>
      </c>
      <c r="AK309" t="str">
        <f>Lab_Data[[#This Row],[JobRole]]</f>
        <v>Research Director</v>
      </c>
      <c r="AL309" t="str">
        <f>Lab_Data[[#This Row],[Department]]</f>
        <v>Research &amp; Development</v>
      </c>
      <c r="AM309" t="str">
        <f>IF(Lab_Data[[#This Row],[Attrition]]="Yes","Failed","Completed")</f>
        <v>Completed</v>
      </c>
      <c r="AN309">
        <f>Lab_Data[[#This Row],[YearsAtCompany]]</f>
        <v>10</v>
      </c>
      <c r="AO309" t="str">
        <f>IF(Lab_Data[[#This Row],[PerformanceRating]]&gt;=3,"Approved","Review Required")</f>
        <v>Approved</v>
      </c>
    </row>
    <row r="310" spans="1:41"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t="str">
        <f>"LAB-"&amp;Lab_Data[[#This Row],[EmployeeNumber]]</f>
        <v>LAB-422</v>
      </c>
      <c r="AK310" t="str">
        <f>Lab_Data[[#This Row],[JobRole]]</f>
        <v>Healthcare Representative</v>
      </c>
      <c r="AL310" t="str">
        <f>Lab_Data[[#This Row],[Department]]</f>
        <v>Research &amp; Development</v>
      </c>
      <c r="AM310" t="str">
        <f>IF(Lab_Data[[#This Row],[Attrition]]="Yes","Failed","Completed")</f>
        <v>Completed</v>
      </c>
      <c r="AN310">
        <f>Lab_Data[[#This Row],[YearsAtCompany]]</f>
        <v>5</v>
      </c>
      <c r="AO310" t="str">
        <f>IF(Lab_Data[[#This Row],[PerformanceRating]]&gt;=3,"Approved","Review Required")</f>
        <v>Approved</v>
      </c>
    </row>
    <row r="311" spans="1:41"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t="str">
        <f>"LAB-"&amp;Lab_Data[[#This Row],[EmployeeNumber]]</f>
        <v>LAB-423</v>
      </c>
      <c r="AK311" t="str">
        <f>Lab_Data[[#This Row],[JobRole]]</f>
        <v>Research Scientist</v>
      </c>
      <c r="AL311" t="str">
        <f>Lab_Data[[#This Row],[Department]]</f>
        <v>Research &amp; Development</v>
      </c>
      <c r="AM311" t="str">
        <f>IF(Lab_Data[[#This Row],[Attrition]]="Yes","Failed","Completed")</f>
        <v>Completed</v>
      </c>
      <c r="AN311">
        <f>Lab_Data[[#This Row],[YearsAtCompany]]</f>
        <v>5</v>
      </c>
      <c r="AO311" t="str">
        <f>IF(Lab_Data[[#This Row],[PerformanceRating]]&gt;=3,"Approved","Review Required")</f>
        <v>Approved</v>
      </c>
    </row>
    <row r="312" spans="1:41"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t="str">
        <f>"LAB-"&amp;Lab_Data[[#This Row],[EmployeeNumber]]</f>
        <v>LAB-424</v>
      </c>
      <c r="AK312" t="str">
        <f>Lab_Data[[#This Row],[JobRole]]</f>
        <v>Human Resources</v>
      </c>
      <c r="AL312" t="str">
        <f>Lab_Data[[#This Row],[Department]]</f>
        <v>Human Resources</v>
      </c>
      <c r="AM312" t="str">
        <f>IF(Lab_Data[[#This Row],[Attrition]]="Yes","Failed","Completed")</f>
        <v>Completed</v>
      </c>
      <c r="AN312">
        <f>Lab_Data[[#This Row],[YearsAtCompany]]</f>
        <v>2</v>
      </c>
      <c r="AO312" t="str">
        <f>IF(Lab_Data[[#This Row],[PerformanceRating]]&gt;=3,"Approved","Review Required")</f>
        <v>Approved</v>
      </c>
    </row>
    <row r="313" spans="1:41"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t="str">
        <f>"LAB-"&amp;Lab_Data[[#This Row],[EmployeeNumber]]</f>
        <v>LAB-425</v>
      </c>
      <c r="AK313" t="str">
        <f>Lab_Data[[#This Row],[JobRole]]</f>
        <v>Laboratory Technician</v>
      </c>
      <c r="AL313" t="str">
        <f>Lab_Data[[#This Row],[Department]]</f>
        <v>Research &amp; Development</v>
      </c>
      <c r="AM313" t="str">
        <f>IF(Lab_Data[[#This Row],[Attrition]]="Yes","Failed","Completed")</f>
        <v>Completed</v>
      </c>
      <c r="AN313">
        <f>Lab_Data[[#This Row],[YearsAtCompany]]</f>
        <v>24</v>
      </c>
      <c r="AO313" t="str">
        <f>IF(Lab_Data[[#This Row],[PerformanceRating]]&gt;=3,"Approved","Review Required")</f>
        <v>Approved</v>
      </c>
    </row>
    <row r="314" spans="1:41"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t="str">
        <f>"LAB-"&amp;Lab_Data[[#This Row],[EmployeeNumber]]</f>
        <v>LAB-426</v>
      </c>
      <c r="AK314" t="str">
        <f>Lab_Data[[#This Row],[JobRole]]</f>
        <v>Research Scientist</v>
      </c>
      <c r="AL314" t="str">
        <f>Lab_Data[[#This Row],[Department]]</f>
        <v>Research &amp; Development</v>
      </c>
      <c r="AM314" t="str">
        <f>IF(Lab_Data[[#This Row],[Attrition]]="Yes","Failed","Completed")</f>
        <v>Completed</v>
      </c>
      <c r="AN314">
        <f>Lab_Data[[#This Row],[YearsAtCompany]]</f>
        <v>2</v>
      </c>
      <c r="AO314" t="str">
        <f>IF(Lab_Data[[#This Row],[PerformanceRating]]&gt;=3,"Approved","Review Required")</f>
        <v>Approved</v>
      </c>
    </row>
    <row r="315" spans="1:41"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t="str">
        <f>"LAB-"&amp;Lab_Data[[#This Row],[EmployeeNumber]]</f>
        <v>LAB-428</v>
      </c>
      <c r="AK315" t="str">
        <f>Lab_Data[[#This Row],[JobRole]]</f>
        <v>Manager</v>
      </c>
      <c r="AL315" t="str">
        <f>Lab_Data[[#This Row],[Department]]</f>
        <v>Research &amp; Development</v>
      </c>
      <c r="AM315" t="str">
        <f>IF(Lab_Data[[#This Row],[Attrition]]="Yes","Failed","Completed")</f>
        <v>Completed</v>
      </c>
      <c r="AN315">
        <f>Lab_Data[[#This Row],[YearsAtCompany]]</f>
        <v>10</v>
      </c>
      <c r="AO315" t="str">
        <f>IF(Lab_Data[[#This Row],[PerformanceRating]]&gt;=3,"Approved","Review Required")</f>
        <v>Approved</v>
      </c>
    </row>
    <row r="316" spans="1:41"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t="str">
        <f>"LAB-"&amp;Lab_Data[[#This Row],[EmployeeNumber]]</f>
        <v>LAB-429</v>
      </c>
      <c r="AK316" t="str">
        <f>Lab_Data[[#This Row],[JobRole]]</f>
        <v>Manager</v>
      </c>
      <c r="AL316" t="str">
        <f>Lab_Data[[#This Row],[Department]]</f>
        <v>Research &amp; Development</v>
      </c>
      <c r="AM316" t="str">
        <f>IF(Lab_Data[[#This Row],[Attrition]]="Yes","Failed","Completed")</f>
        <v>Completed</v>
      </c>
      <c r="AN316">
        <f>Lab_Data[[#This Row],[YearsAtCompany]]</f>
        <v>21</v>
      </c>
      <c r="AO316" t="str">
        <f>IF(Lab_Data[[#This Row],[PerformanceRating]]&gt;=3,"Approved","Review Required")</f>
        <v>Approved</v>
      </c>
    </row>
    <row r="317" spans="1:41"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t="str">
        <f>"LAB-"&amp;Lab_Data[[#This Row],[EmployeeNumber]]</f>
        <v>LAB-430</v>
      </c>
      <c r="AK317" t="str">
        <f>Lab_Data[[#This Row],[JobRole]]</f>
        <v>Laboratory Technician</v>
      </c>
      <c r="AL317" t="str">
        <f>Lab_Data[[#This Row],[Department]]</f>
        <v>Research &amp; Development</v>
      </c>
      <c r="AM317" t="str">
        <f>IF(Lab_Data[[#This Row],[Attrition]]="Yes","Failed","Completed")</f>
        <v>Completed</v>
      </c>
      <c r="AN317">
        <f>Lab_Data[[#This Row],[YearsAtCompany]]</f>
        <v>8</v>
      </c>
      <c r="AO317" t="str">
        <f>IF(Lab_Data[[#This Row],[PerformanceRating]]&gt;=3,"Approved","Review Required")</f>
        <v>Approved</v>
      </c>
    </row>
    <row r="318" spans="1:41"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t="str">
        <f>"LAB-"&amp;Lab_Data[[#This Row],[EmployeeNumber]]</f>
        <v>LAB-431</v>
      </c>
      <c r="AK318" t="str">
        <f>Lab_Data[[#This Row],[JobRole]]</f>
        <v>Healthcare Representative</v>
      </c>
      <c r="AL318" t="str">
        <f>Lab_Data[[#This Row],[Department]]</f>
        <v>Research &amp; Development</v>
      </c>
      <c r="AM318" t="str">
        <f>IF(Lab_Data[[#This Row],[Attrition]]="Yes","Failed","Completed")</f>
        <v>Completed</v>
      </c>
      <c r="AN318">
        <f>Lab_Data[[#This Row],[YearsAtCompany]]</f>
        <v>7</v>
      </c>
      <c r="AO318" t="str">
        <f>IF(Lab_Data[[#This Row],[PerformanceRating]]&gt;=3,"Approved","Review Required")</f>
        <v>Approved</v>
      </c>
    </row>
    <row r="319" spans="1:41"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t="str">
        <f>"LAB-"&amp;Lab_Data[[#This Row],[EmployeeNumber]]</f>
        <v>LAB-433</v>
      </c>
      <c r="AK319" t="str">
        <f>Lab_Data[[#This Row],[JobRole]]</f>
        <v>Research Scientist</v>
      </c>
      <c r="AL319" t="str">
        <f>Lab_Data[[#This Row],[Department]]</f>
        <v>Research &amp; Development</v>
      </c>
      <c r="AM319" t="str">
        <f>IF(Lab_Data[[#This Row],[Attrition]]="Yes","Failed","Completed")</f>
        <v>Failed</v>
      </c>
      <c r="AN319">
        <f>Lab_Data[[#This Row],[YearsAtCompany]]</f>
        <v>8</v>
      </c>
      <c r="AO319" t="str">
        <f>IF(Lab_Data[[#This Row],[PerformanceRating]]&gt;=3,"Approved","Review Required")</f>
        <v>Approved</v>
      </c>
    </row>
    <row r="320" spans="1:41"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t="str">
        <f>"LAB-"&amp;Lab_Data[[#This Row],[EmployeeNumber]]</f>
        <v>LAB-434</v>
      </c>
      <c r="AK320" t="str">
        <f>Lab_Data[[#This Row],[JobRole]]</f>
        <v>Research Scientist</v>
      </c>
      <c r="AL320" t="str">
        <f>Lab_Data[[#This Row],[Department]]</f>
        <v>Research &amp; Development</v>
      </c>
      <c r="AM320" t="str">
        <f>IF(Lab_Data[[#This Row],[Attrition]]="Yes","Failed","Completed")</f>
        <v>Completed</v>
      </c>
      <c r="AN320">
        <f>Lab_Data[[#This Row],[YearsAtCompany]]</f>
        <v>4</v>
      </c>
      <c r="AO320" t="str">
        <f>IF(Lab_Data[[#This Row],[PerformanceRating]]&gt;=3,"Approved","Review Required")</f>
        <v>Approved</v>
      </c>
    </row>
    <row r="321" spans="1:41"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t="str">
        <f>"LAB-"&amp;Lab_Data[[#This Row],[EmployeeNumber]]</f>
        <v>LAB-436</v>
      </c>
      <c r="AK321" t="str">
        <f>Lab_Data[[#This Row],[JobRole]]</f>
        <v>Sales Executive</v>
      </c>
      <c r="AL321" t="str">
        <f>Lab_Data[[#This Row],[Department]]</f>
        <v>Sales</v>
      </c>
      <c r="AM321" t="str">
        <f>IF(Lab_Data[[#This Row],[Attrition]]="Yes","Failed","Completed")</f>
        <v>Completed</v>
      </c>
      <c r="AN321">
        <f>Lab_Data[[#This Row],[YearsAtCompany]]</f>
        <v>13</v>
      </c>
      <c r="AO321" t="str">
        <f>IF(Lab_Data[[#This Row],[PerformanceRating]]&gt;=3,"Approved","Review Required")</f>
        <v>Approved</v>
      </c>
    </row>
    <row r="322" spans="1:41"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t="str">
        <f>"LAB-"&amp;Lab_Data[[#This Row],[EmployeeNumber]]</f>
        <v>LAB-437</v>
      </c>
      <c r="AK322" t="str">
        <f>Lab_Data[[#This Row],[JobRole]]</f>
        <v>Sales Executive</v>
      </c>
      <c r="AL322" t="str">
        <f>Lab_Data[[#This Row],[Department]]</f>
        <v>Sales</v>
      </c>
      <c r="AM322" t="str">
        <f>IF(Lab_Data[[#This Row],[Attrition]]="Yes","Failed","Completed")</f>
        <v>Completed</v>
      </c>
      <c r="AN322">
        <f>Lab_Data[[#This Row],[YearsAtCompany]]</f>
        <v>5</v>
      </c>
      <c r="AO322" t="str">
        <f>IF(Lab_Data[[#This Row],[PerformanceRating]]&gt;=3,"Approved","Review Required")</f>
        <v>Approved</v>
      </c>
    </row>
    <row r="323" spans="1:41"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t="str">
        <f>"LAB-"&amp;Lab_Data[[#This Row],[EmployeeNumber]]</f>
        <v>LAB-438</v>
      </c>
      <c r="AK323" t="str">
        <f>Lab_Data[[#This Row],[JobRole]]</f>
        <v>Sales Executive</v>
      </c>
      <c r="AL323" t="str">
        <f>Lab_Data[[#This Row],[Department]]</f>
        <v>Sales</v>
      </c>
      <c r="AM323" t="str">
        <f>IF(Lab_Data[[#This Row],[Attrition]]="Yes","Failed","Completed")</f>
        <v>Completed</v>
      </c>
      <c r="AN323">
        <f>Lab_Data[[#This Row],[YearsAtCompany]]</f>
        <v>7</v>
      </c>
      <c r="AO323" t="str">
        <f>IF(Lab_Data[[#This Row],[PerformanceRating]]&gt;=3,"Approved","Review Required")</f>
        <v>Approved</v>
      </c>
    </row>
    <row r="324" spans="1:41"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t="str">
        <f>"LAB-"&amp;Lab_Data[[#This Row],[EmployeeNumber]]</f>
        <v>LAB-439</v>
      </c>
      <c r="AK324" t="str">
        <f>Lab_Data[[#This Row],[JobRole]]</f>
        <v>Research Scientist</v>
      </c>
      <c r="AL324" t="str">
        <f>Lab_Data[[#This Row],[Department]]</f>
        <v>Research &amp; Development</v>
      </c>
      <c r="AM324" t="str">
        <f>IF(Lab_Data[[#This Row],[Attrition]]="Yes","Failed","Completed")</f>
        <v>Completed</v>
      </c>
      <c r="AN324">
        <f>Lab_Data[[#This Row],[YearsAtCompany]]</f>
        <v>7</v>
      </c>
      <c r="AO324" t="str">
        <f>IF(Lab_Data[[#This Row],[PerformanceRating]]&gt;=3,"Approved","Review Required")</f>
        <v>Approved</v>
      </c>
    </row>
    <row r="325" spans="1:41"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t="str">
        <f>"LAB-"&amp;Lab_Data[[#This Row],[EmployeeNumber]]</f>
        <v>LAB-440</v>
      </c>
      <c r="AK325" t="str">
        <f>Lab_Data[[#This Row],[JobRole]]</f>
        <v>Research Scientist</v>
      </c>
      <c r="AL325" t="str">
        <f>Lab_Data[[#This Row],[Department]]</f>
        <v>Research &amp; Development</v>
      </c>
      <c r="AM325" t="str">
        <f>IF(Lab_Data[[#This Row],[Attrition]]="Yes","Failed","Completed")</f>
        <v>Failed</v>
      </c>
      <c r="AN325">
        <f>Lab_Data[[#This Row],[YearsAtCompany]]</f>
        <v>3</v>
      </c>
      <c r="AO325" t="str">
        <f>IF(Lab_Data[[#This Row],[PerformanceRating]]&gt;=3,"Approved","Review Required")</f>
        <v>Approved</v>
      </c>
    </row>
    <row r="326" spans="1:41"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t="str">
        <f>"LAB-"&amp;Lab_Data[[#This Row],[EmployeeNumber]]</f>
        <v>LAB-441</v>
      </c>
      <c r="AK326" t="str">
        <f>Lab_Data[[#This Row],[JobRole]]</f>
        <v>Research Scientist</v>
      </c>
      <c r="AL326" t="str">
        <f>Lab_Data[[#This Row],[Department]]</f>
        <v>Research &amp; Development</v>
      </c>
      <c r="AM326" t="str">
        <f>IF(Lab_Data[[#This Row],[Attrition]]="Yes","Failed","Completed")</f>
        <v>Completed</v>
      </c>
      <c r="AN326">
        <f>Lab_Data[[#This Row],[YearsAtCompany]]</f>
        <v>10</v>
      </c>
      <c r="AO326" t="str">
        <f>IF(Lab_Data[[#This Row],[PerformanceRating]]&gt;=3,"Approved","Review Required")</f>
        <v>Approved</v>
      </c>
    </row>
    <row r="327" spans="1:41"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t="str">
        <f>"LAB-"&amp;Lab_Data[[#This Row],[EmployeeNumber]]</f>
        <v>LAB-442</v>
      </c>
      <c r="AK327" t="str">
        <f>Lab_Data[[#This Row],[JobRole]]</f>
        <v>Manufacturing Director</v>
      </c>
      <c r="AL327" t="str">
        <f>Lab_Data[[#This Row],[Department]]</f>
        <v>Research &amp; Development</v>
      </c>
      <c r="AM327" t="str">
        <f>IF(Lab_Data[[#This Row],[Attrition]]="Yes","Failed","Completed")</f>
        <v>Completed</v>
      </c>
      <c r="AN327">
        <f>Lab_Data[[#This Row],[YearsAtCompany]]</f>
        <v>10</v>
      </c>
      <c r="AO327" t="str">
        <f>IF(Lab_Data[[#This Row],[PerformanceRating]]&gt;=3,"Approved","Review Required")</f>
        <v>Approved</v>
      </c>
    </row>
    <row r="328" spans="1:41"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t="str">
        <f>"LAB-"&amp;Lab_Data[[#This Row],[EmployeeNumber]]</f>
        <v>LAB-444</v>
      </c>
      <c r="AK328" t="str">
        <f>Lab_Data[[#This Row],[JobRole]]</f>
        <v>Manager</v>
      </c>
      <c r="AL328" t="str">
        <f>Lab_Data[[#This Row],[Department]]</f>
        <v>Research &amp; Development</v>
      </c>
      <c r="AM328" t="str">
        <f>IF(Lab_Data[[#This Row],[Attrition]]="Yes","Failed","Completed")</f>
        <v>Completed</v>
      </c>
      <c r="AN328">
        <f>Lab_Data[[#This Row],[YearsAtCompany]]</f>
        <v>21</v>
      </c>
      <c r="AO328" t="str">
        <f>IF(Lab_Data[[#This Row],[PerformanceRating]]&gt;=3,"Approved","Review Required")</f>
        <v>Approved</v>
      </c>
    </row>
    <row r="329" spans="1:41"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t="str">
        <f>"LAB-"&amp;Lab_Data[[#This Row],[EmployeeNumber]]</f>
        <v>LAB-445</v>
      </c>
      <c r="AK329" t="str">
        <f>Lab_Data[[#This Row],[JobRole]]</f>
        <v>Sales Executive</v>
      </c>
      <c r="AL329" t="str">
        <f>Lab_Data[[#This Row],[Department]]</f>
        <v>Sales</v>
      </c>
      <c r="AM329" t="str">
        <f>IF(Lab_Data[[#This Row],[Attrition]]="Yes","Failed","Completed")</f>
        <v>Failed</v>
      </c>
      <c r="AN329">
        <f>Lab_Data[[#This Row],[YearsAtCompany]]</f>
        <v>1</v>
      </c>
      <c r="AO329" t="str">
        <f>IF(Lab_Data[[#This Row],[PerformanceRating]]&gt;=3,"Approved","Review Required")</f>
        <v>Approved</v>
      </c>
    </row>
    <row r="330" spans="1:41"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t="str">
        <f>"LAB-"&amp;Lab_Data[[#This Row],[EmployeeNumber]]</f>
        <v>LAB-446</v>
      </c>
      <c r="AK330" t="str">
        <f>Lab_Data[[#This Row],[JobRole]]</f>
        <v>Sales Executive</v>
      </c>
      <c r="AL330" t="str">
        <f>Lab_Data[[#This Row],[Department]]</f>
        <v>Sales</v>
      </c>
      <c r="AM330" t="str">
        <f>IF(Lab_Data[[#This Row],[Attrition]]="Yes","Failed","Completed")</f>
        <v>Completed</v>
      </c>
      <c r="AN330">
        <f>Lab_Data[[#This Row],[YearsAtCompany]]</f>
        <v>7</v>
      </c>
      <c r="AO330" t="str">
        <f>IF(Lab_Data[[#This Row],[PerformanceRating]]&gt;=3,"Approved","Review Required")</f>
        <v>Approved</v>
      </c>
    </row>
    <row r="331" spans="1:41"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t="str">
        <f>"LAB-"&amp;Lab_Data[[#This Row],[EmployeeNumber]]</f>
        <v>LAB-447</v>
      </c>
      <c r="AK331" t="str">
        <f>Lab_Data[[#This Row],[JobRole]]</f>
        <v>Research Director</v>
      </c>
      <c r="AL331" t="str">
        <f>Lab_Data[[#This Row],[Department]]</f>
        <v>Research &amp; Development</v>
      </c>
      <c r="AM331" t="str">
        <f>IF(Lab_Data[[#This Row],[Attrition]]="Yes","Failed","Completed")</f>
        <v>Completed</v>
      </c>
      <c r="AN331">
        <f>Lab_Data[[#This Row],[YearsAtCompany]]</f>
        <v>3</v>
      </c>
      <c r="AO331" t="str">
        <f>IF(Lab_Data[[#This Row],[PerformanceRating]]&gt;=3,"Approved","Review Required")</f>
        <v>Approved</v>
      </c>
    </row>
    <row r="332" spans="1:41"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t="str">
        <f>"LAB-"&amp;Lab_Data[[#This Row],[EmployeeNumber]]</f>
        <v>LAB-448</v>
      </c>
      <c r="AK332" t="str">
        <f>Lab_Data[[#This Row],[JobRole]]</f>
        <v>Laboratory Technician</v>
      </c>
      <c r="AL332" t="str">
        <f>Lab_Data[[#This Row],[Department]]</f>
        <v>Research &amp; Development</v>
      </c>
      <c r="AM332" t="str">
        <f>IF(Lab_Data[[#This Row],[Attrition]]="Yes","Failed","Completed")</f>
        <v>Completed</v>
      </c>
      <c r="AN332">
        <f>Lab_Data[[#This Row],[YearsAtCompany]]</f>
        <v>9</v>
      </c>
      <c r="AO332" t="str">
        <f>IF(Lab_Data[[#This Row],[PerformanceRating]]&gt;=3,"Approved","Review Required")</f>
        <v>Approved</v>
      </c>
    </row>
    <row r="333" spans="1:41"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t="str">
        <f>"LAB-"&amp;Lab_Data[[#This Row],[EmployeeNumber]]</f>
        <v>LAB-449</v>
      </c>
      <c r="AK333" t="str">
        <f>Lab_Data[[#This Row],[JobRole]]</f>
        <v>Sales Executive</v>
      </c>
      <c r="AL333" t="str">
        <f>Lab_Data[[#This Row],[Department]]</f>
        <v>Sales</v>
      </c>
      <c r="AM333" t="str">
        <f>IF(Lab_Data[[#This Row],[Attrition]]="Yes","Failed","Completed")</f>
        <v>Completed</v>
      </c>
      <c r="AN333">
        <f>Lab_Data[[#This Row],[YearsAtCompany]]</f>
        <v>5</v>
      </c>
      <c r="AO333" t="str">
        <f>IF(Lab_Data[[#This Row],[PerformanceRating]]&gt;=3,"Approved","Review Required")</f>
        <v>Approved</v>
      </c>
    </row>
    <row r="334" spans="1:41"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t="str">
        <f>"LAB-"&amp;Lab_Data[[#This Row],[EmployeeNumber]]</f>
        <v>LAB-450</v>
      </c>
      <c r="AK334" t="str">
        <f>Lab_Data[[#This Row],[JobRole]]</f>
        <v>Research Scientist</v>
      </c>
      <c r="AL334" t="str">
        <f>Lab_Data[[#This Row],[Department]]</f>
        <v>Research &amp; Development</v>
      </c>
      <c r="AM334" t="str">
        <f>IF(Lab_Data[[#This Row],[Attrition]]="Yes","Failed","Completed")</f>
        <v>Completed</v>
      </c>
      <c r="AN334">
        <f>Lab_Data[[#This Row],[YearsAtCompany]]</f>
        <v>4</v>
      </c>
      <c r="AO334" t="str">
        <f>IF(Lab_Data[[#This Row],[PerformanceRating]]&gt;=3,"Approved","Review Required")</f>
        <v>Approved</v>
      </c>
    </row>
    <row r="335" spans="1:41"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t="str">
        <f>"LAB-"&amp;Lab_Data[[#This Row],[EmployeeNumber]]</f>
        <v>LAB-451</v>
      </c>
      <c r="AK335" t="str">
        <f>Lab_Data[[#This Row],[JobRole]]</f>
        <v>Healthcare Representative</v>
      </c>
      <c r="AL335" t="str">
        <f>Lab_Data[[#This Row],[Department]]</f>
        <v>Research &amp; Development</v>
      </c>
      <c r="AM335" t="str">
        <f>IF(Lab_Data[[#This Row],[Attrition]]="Yes","Failed","Completed")</f>
        <v>Completed</v>
      </c>
      <c r="AN335">
        <f>Lab_Data[[#This Row],[YearsAtCompany]]</f>
        <v>1</v>
      </c>
      <c r="AO335" t="str">
        <f>IF(Lab_Data[[#This Row],[PerformanceRating]]&gt;=3,"Approved","Review Required")</f>
        <v>Approved</v>
      </c>
    </row>
    <row r="336" spans="1:41"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t="str">
        <f>"LAB-"&amp;Lab_Data[[#This Row],[EmployeeNumber]]</f>
        <v>LAB-452</v>
      </c>
      <c r="AK336" t="str">
        <f>Lab_Data[[#This Row],[JobRole]]</f>
        <v>Research Scientist</v>
      </c>
      <c r="AL336" t="str">
        <f>Lab_Data[[#This Row],[Department]]</f>
        <v>Research &amp; Development</v>
      </c>
      <c r="AM336" t="str">
        <f>IF(Lab_Data[[#This Row],[Attrition]]="Yes","Failed","Completed")</f>
        <v>Completed</v>
      </c>
      <c r="AN336">
        <f>Lab_Data[[#This Row],[YearsAtCompany]]</f>
        <v>10</v>
      </c>
      <c r="AO336" t="str">
        <f>IF(Lab_Data[[#This Row],[PerformanceRating]]&gt;=3,"Approved","Review Required")</f>
        <v>Approved</v>
      </c>
    </row>
    <row r="337" spans="1:41"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t="str">
        <f>"LAB-"&amp;Lab_Data[[#This Row],[EmployeeNumber]]</f>
        <v>LAB-453</v>
      </c>
      <c r="AK337" t="str">
        <f>Lab_Data[[#This Row],[JobRole]]</f>
        <v>Sales Executive</v>
      </c>
      <c r="AL337" t="str">
        <f>Lab_Data[[#This Row],[Department]]</f>
        <v>Sales</v>
      </c>
      <c r="AM337" t="str">
        <f>IF(Lab_Data[[#This Row],[Attrition]]="Yes","Failed","Completed")</f>
        <v>Completed</v>
      </c>
      <c r="AN337">
        <f>Lab_Data[[#This Row],[YearsAtCompany]]</f>
        <v>4</v>
      </c>
      <c r="AO337" t="str">
        <f>IF(Lab_Data[[#This Row],[PerformanceRating]]&gt;=3,"Approved","Review Required")</f>
        <v>Approved</v>
      </c>
    </row>
    <row r="338" spans="1:41"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t="str">
        <f>"LAB-"&amp;Lab_Data[[#This Row],[EmployeeNumber]]</f>
        <v>LAB-454</v>
      </c>
      <c r="AK338" t="str">
        <f>Lab_Data[[#This Row],[JobRole]]</f>
        <v>Laboratory Technician</v>
      </c>
      <c r="AL338" t="str">
        <f>Lab_Data[[#This Row],[Department]]</f>
        <v>Research &amp; Development</v>
      </c>
      <c r="AM338" t="str">
        <f>IF(Lab_Data[[#This Row],[Attrition]]="Yes","Failed","Completed")</f>
        <v>Failed</v>
      </c>
      <c r="AN338">
        <f>Lab_Data[[#This Row],[YearsAtCompany]]</f>
        <v>7</v>
      </c>
      <c r="AO338" t="str">
        <f>IF(Lab_Data[[#This Row],[PerformanceRating]]&gt;=3,"Approved","Review Required")</f>
        <v>Approved</v>
      </c>
    </row>
    <row r="339" spans="1:41"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t="str">
        <f>"LAB-"&amp;Lab_Data[[#This Row],[EmployeeNumber]]</f>
        <v>LAB-455</v>
      </c>
      <c r="AK339" t="str">
        <f>Lab_Data[[#This Row],[JobRole]]</f>
        <v>Laboratory Technician</v>
      </c>
      <c r="AL339" t="str">
        <f>Lab_Data[[#This Row],[Department]]</f>
        <v>Research &amp; Development</v>
      </c>
      <c r="AM339" t="str">
        <f>IF(Lab_Data[[#This Row],[Attrition]]="Yes","Failed","Completed")</f>
        <v>Completed</v>
      </c>
      <c r="AN339">
        <f>Lab_Data[[#This Row],[YearsAtCompany]]</f>
        <v>3</v>
      </c>
      <c r="AO339" t="str">
        <f>IF(Lab_Data[[#This Row],[PerformanceRating]]&gt;=3,"Approved","Review Required")</f>
        <v>Approved</v>
      </c>
    </row>
    <row r="340" spans="1:41"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t="str">
        <f>"LAB-"&amp;Lab_Data[[#This Row],[EmployeeNumber]]</f>
        <v>LAB-456</v>
      </c>
      <c r="AK340" t="str">
        <f>Lab_Data[[#This Row],[JobRole]]</f>
        <v>Sales Executive</v>
      </c>
      <c r="AL340" t="str">
        <f>Lab_Data[[#This Row],[Department]]</f>
        <v>Sales</v>
      </c>
      <c r="AM340" t="str">
        <f>IF(Lab_Data[[#This Row],[Attrition]]="Yes","Failed","Completed")</f>
        <v>Completed</v>
      </c>
      <c r="AN340">
        <f>Lab_Data[[#This Row],[YearsAtCompany]]</f>
        <v>10</v>
      </c>
      <c r="AO340" t="str">
        <f>IF(Lab_Data[[#This Row],[PerformanceRating]]&gt;=3,"Approved","Review Required")</f>
        <v>Approved</v>
      </c>
    </row>
    <row r="341" spans="1:41"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t="str">
        <f>"LAB-"&amp;Lab_Data[[#This Row],[EmployeeNumber]]</f>
        <v>LAB-458</v>
      </c>
      <c r="AK341" t="str">
        <f>Lab_Data[[#This Row],[JobRole]]</f>
        <v>Sales Executive</v>
      </c>
      <c r="AL341" t="str">
        <f>Lab_Data[[#This Row],[Department]]</f>
        <v>Sales</v>
      </c>
      <c r="AM341" t="str">
        <f>IF(Lab_Data[[#This Row],[Attrition]]="Yes","Failed","Completed")</f>
        <v>Completed</v>
      </c>
      <c r="AN341">
        <f>Lab_Data[[#This Row],[YearsAtCompany]]</f>
        <v>8</v>
      </c>
      <c r="AO341" t="str">
        <f>IF(Lab_Data[[#This Row],[PerformanceRating]]&gt;=3,"Approved","Review Required")</f>
        <v>Approved</v>
      </c>
    </row>
    <row r="342" spans="1:41"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t="str">
        <f>"LAB-"&amp;Lab_Data[[#This Row],[EmployeeNumber]]</f>
        <v>LAB-460</v>
      </c>
      <c r="AK342" t="str">
        <f>Lab_Data[[#This Row],[JobRole]]</f>
        <v>Manufacturing Director</v>
      </c>
      <c r="AL342" t="str">
        <f>Lab_Data[[#This Row],[Department]]</f>
        <v>Research &amp; Development</v>
      </c>
      <c r="AM342" t="str">
        <f>IF(Lab_Data[[#This Row],[Attrition]]="Yes","Failed","Completed")</f>
        <v>Completed</v>
      </c>
      <c r="AN342">
        <f>Lab_Data[[#This Row],[YearsAtCompany]]</f>
        <v>6</v>
      </c>
      <c r="AO342" t="str">
        <f>IF(Lab_Data[[#This Row],[PerformanceRating]]&gt;=3,"Approved","Review Required")</f>
        <v>Approved</v>
      </c>
    </row>
    <row r="343" spans="1:41"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t="str">
        <f>"LAB-"&amp;Lab_Data[[#This Row],[EmployeeNumber]]</f>
        <v>LAB-461</v>
      </c>
      <c r="AK343" t="str">
        <f>Lab_Data[[#This Row],[JobRole]]</f>
        <v>Research Director</v>
      </c>
      <c r="AL343" t="str">
        <f>Lab_Data[[#This Row],[Department]]</f>
        <v>Research &amp; Development</v>
      </c>
      <c r="AM343" t="str">
        <f>IF(Lab_Data[[#This Row],[Attrition]]="Yes","Failed","Completed")</f>
        <v>Completed</v>
      </c>
      <c r="AN343">
        <f>Lab_Data[[#This Row],[YearsAtCompany]]</f>
        <v>11</v>
      </c>
      <c r="AO343" t="str">
        <f>IF(Lab_Data[[#This Row],[PerformanceRating]]&gt;=3,"Approved","Review Required")</f>
        <v>Approved</v>
      </c>
    </row>
    <row r="344" spans="1:41"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t="str">
        <f>"LAB-"&amp;Lab_Data[[#This Row],[EmployeeNumber]]</f>
        <v>LAB-462</v>
      </c>
      <c r="AK344" t="str">
        <f>Lab_Data[[#This Row],[JobRole]]</f>
        <v>Manufacturing Director</v>
      </c>
      <c r="AL344" t="str">
        <f>Lab_Data[[#This Row],[Department]]</f>
        <v>Research &amp; Development</v>
      </c>
      <c r="AM344" t="str">
        <f>IF(Lab_Data[[#This Row],[Attrition]]="Yes","Failed","Completed")</f>
        <v>Completed</v>
      </c>
      <c r="AN344">
        <f>Lab_Data[[#This Row],[YearsAtCompany]]</f>
        <v>11</v>
      </c>
      <c r="AO344" t="str">
        <f>IF(Lab_Data[[#This Row],[PerformanceRating]]&gt;=3,"Approved","Review Required")</f>
        <v>Approved</v>
      </c>
    </row>
    <row r="345" spans="1:41"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t="str">
        <f>"LAB-"&amp;Lab_Data[[#This Row],[EmployeeNumber]]</f>
        <v>LAB-463</v>
      </c>
      <c r="AK345" t="str">
        <f>Lab_Data[[#This Row],[JobRole]]</f>
        <v>Sales Executive</v>
      </c>
      <c r="AL345" t="str">
        <f>Lab_Data[[#This Row],[Department]]</f>
        <v>Sales</v>
      </c>
      <c r="AM345" t="str">
        <f>IF(Lab_Data[[#This Row],[Attrition]]="Yes","Failed","Completed")</f>
        <v>Completed</v>
      </c>
      <c r="AN345">
        <f>Lab_Data[[#This Row],[YearsAtCompany]]</f>
        <v>7</v>
      </c>
      <c r="AO345" t="str">
        <f>IF(Lab_Data[[#This Row],[PerformanceRating]]&gt;=3,"Approved","Review Required")</f>
        <v>Approved</v>
      </c>
    </row>
    <row r="346" spans="1:41"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t="str">
        <f>"LAB-"&amp;Lab_Data[[#This Row],[EmployeeNumber]]</f>
        <v>LAB-464</v>
      </c>
      <c r="AK346" t="str">
        <f>Lab_Data[[#This Row],[JobRole]]</f>
        <v>Manufacturing Director</v>
      </c>
      <c r="AL346" t="str">
        <f>Lab_Data[[#This Row],[Department]]</f>
        <v>Research &amp; Development</v>
      </c>
      <c r="AM346" t="str">
        <f>IF(Lab_Data[[#This Row],[Attrition]]="Yes","Failed","Completed")</f>
        <v>Completed</v>
      </c>
      <c r="AN346">
        <f>Lab_Data[[#This Row],[YearsAtCompany]]</f>
        <v>16</v>
      </c>
      <c r="AO346" t="str">
        <f>IF(Lab_Data[[#This Row],[PerformanceRating]]&gt;=3,"Approved","Review Required")</f>
        <v>Approved</v>
      </c>
    </row>
    <row r="347" spans="1:41"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t="str">
        <f>"LAB-"&amp;Lab_Data[[#This Row],[EmployeeNumber]]</f>
        <v>LAB-465</v>
      </c>
      <c r="AK347" t="str">
        <f>Lab_Data[[#This Row],[JobRole]]</f>
        <v>Research Scientist</v>
      </c>
      <c r="AL347" t="str">
        <f>Lab_Data[[#This Row],[Department]]</f>
        <v>Research &amp; Development</v>
      </c>
      <c r="AM347" t="str">
        <f>IF(Lab_Data[[#This Row],[Attrition]]="Yes","Failed","Completed")</f>
        <v>Completed</v>
      </c>
      <c r="AN347">
        <f>Lab_Data[[#This Row],[YearsAtCompany]]</f>
        <v>4</v>
      </c>
      <c r="AO347" t="str">
        <f>IF(Lab_Data[[#This Row],[PerformanceRating]]&gt;=3,"Approved","Review Required")</f>
        <v>Approved</v>
      </c>
    </row>
    <row r="348" spans="1:41"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t="str">
        <f>"LAB-"&amp;Lab_Data[[#This Row],[EmployeeNumber]]</f>
        <v>LAB-466</v>
      </c>
      <c r="AK348" t="str">
        <f>Lab_Data[[#This Row],[JobRole]]</f>
        <v>Manufacturing Director</v>
      </c>
      <c r="AL348" t="str">
        <f>Lab_Data[[#This Row],[Department]]</f>
        <v>Research &amp; Development</v>
      </c>
      <c r="AM348" t="str">
        <f>IF(Lab_Data[[#This Row],[Attrition]]="Yes","Failed","Completed")</f>
        <v>Completed</v>
      </c>
      <c r="AN348">
        <f>Lab_Data[[#This Row],[YearsAtCompany]]</f>
        <v>5</v>
      </c>
      <c r="AO348" t="str">
        <f>IF(Lab_Data[[#This Row],[PerformanceRating]]&gt;=3,"Approved","Review Required")</f>
        <v>Approved</v>
      </c>
    </row>
    <row r="349" spans="1:41"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t="str">
        <f>"LAB-"&amp;Lab_Data[[#This Row],[EmployeeNumber]]</f>
        <v>LAB-467</v>
      </c>
      <c r="AK349" t="str">
        <f>Lab_Data[[#This Row],[JobRole]]</f>
        <v>Sales Representative</v>
      </c>
      <c r="AL349" t="str">
        <f>Lab_Data[[#This Row],[Department]]</f>
        <v>Sales</v>
      </c>
      <c r="AM349" t="str">
        <f>IF(Lab_Data[[#This Row],[Attrition]]="Yes","Failed","Completed")</f>
        <v>Completed</v>
      </c>
      <c r="AN349">
        <f>Lab_Data[[#This Row],[YearsAtCompany]]</f>
        <v>0</v>
      </c>
      <c r="AO349" t="str">
        <f>IF(Lab_Data[[#This Row],[PerformanceRating]]&gt;=3,"Approved","Review Required")</f>
        <v>Approved</v>
      </c>
    </row>
    <row r="350" spans="1:41"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t="str">
        <f>"LAB-"&amp;Lab_Data[[#This Row],[EmployeeNumber]]</f>
        <v>LAB-468</v>
      </c>
      <c r="AK350" t="str">
        <f>Lab_Data[[#This Row],[JobRole]]</f>
        <v>Research Director</v>
      </c>
      <c r="AL350" t="str">
        <f>Lab_Data[[#This Row],[Department]]</f>
        <v>Research &amp; Development</v>
      </c>
      <c r="AM350" t="str">
        <f>IF(Lab_Data[[#This Row],[Attrition]]="Yes","Failed","Completed")</f>
        <v>Completed</v>
      </c>
      <c r="AN350">
        <f>Lab_Data[[#This Row],[YearsAtCompany]]</f>
        <v>1</v>
      </c>
      <c r="AO350" t="str">
        <f>IF(Lab_Data[[#This Row],[PerformanceRating]]&gt;=3,"Approved","Review Required")</f>
        <v>Approved</v>
      </c>
    </row>
    <row r="351" spans="1:41"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t="str">
        <f>"LAB-"&amp;Lab_Data[[#This Row],[EmployeeNumber]]</f>
        <v>LAB-469</v>
      </c>
      <c r="AK351" t="str">
        <f>Lab_Data[[#This Row],[JobRole]]</f>
        <v>Sales Executive</v>
      </c>
      <c r="AL351" t="str">
        <f>Lab_Data[[#This Row],[Department]]</f>
        <v>Sales</v>
      </c>
      <c r="AM351" t="str">
        <f>IF(Lab_Data[[#This Row],[Attrition]]="Yes","Failed","Completed")</f>
        <v>Completed</v>
      </c>
      <c r="AN351">
        <f>Lab_Data[[#This Row],[YearsAtCompany]]</f>
        <v>4</v>
      </c>
      <c r="AO351" t="str">
        <f>IF(Lab_Data[[#This Row],[PerformanceRating]]&gt;=3,"Approved","Review Required")</f>
        <v>Approved</v>
      </c>
    </row>
    <row r="352" spans="1:41"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t="str">
        <f>"LAB-"&amp;Lab_Data[[#This Row],[EmployeeNumber]]</f>
        <v>LAB-470</v>
      </c>
      <c r="AK352" t="str">
        <f>Lab_Data[[#This Row],[JobRole]]</f>
        <v>Human Resources</v>
      </c>
      <c r="AL352" t="str">
        <f>Lab_Data[[#This Row],[Department]]</f>
        <v>Human Resources</v>
      </c>
      <c r="AM352" t="str">
        <f>IF(Lab_Data[[#This Row],[Attrition]]="Yes","Failed","Completed")</f>
        <v>Completed</v>
      </c>
      <c r="AN352">
        <f>Lab_Data[[#This Row],[YearsAtCompany]]</f>
        <v>3</v>
      </c>
      <c r="AO352" t="str">
        <f>IF(Lab_Data[[#This Row],[PerformanceRating]]&gt;=3,"Approved","Review Required")</f>
        <v>Approved</v>
      </c>
    </row>
    <row r="353" spans="1:41"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t="str">
        <f>"LAB-"&amp;Lab_Data[[#This Row],[EmployeeNumber]]</f>
        <v>LAB-471</v>
      </c>
      <c r="AK353" t="str">
        <f>Lab_Data[[#This Row],[JobRole]]</f>
        <v>Laboratory Technician</v>
      </c>
      <c r="AL353" t="str">
        <f>Lab_Data[[#This Row],[Department]]</f>
        <v>Research &amp; Development</v>
      </c>
      <c r="AM353" t="str">
        <f>IF(Lab_Data[[#This Row],[Attrition]]="Yes","Failed","Completed")</f>
        <v>Completed</v>
      </c>
      <c r="AN353">
        <f>Lab_Data[[#This Row],[YearsAtCompany]]</f>
        <v>8</v>
      </c>
      <c r="AO353" t="str">
        <f>IF(Lab_Data[[#This Row],[PerformanceRating]]&gt;=3,"Approved","Review Required")</f>
        <v>Approved</v>
      </c>
    </row>
    <row r="354" spans="1:41"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t="str">
        <f>"LAB-"&amp;Lab_Data[[#This Row],[EmployeeNumber]]</f>
        <v>LAB-473</v>
      </c>
      <c r="AK354" t="str">
        <f>Lab_Data[[#This Row],[JobRole]]</f>
        <v>Manager</v>
      </c>
      <c r="AL354" t="str">
        <f>Lab_Data[[#This Row],[Department]]</f>
        <v>Sales</v>
      </c>
      <c r="AM354" t="str">
        <f>IF(Lab_Data[[#This Row],[Attrition]]="Yes","Failed","Completed")</f>
        <v>Completed</v>
      </c>
      <c r="AN354">
        <f>Lab_Data[[#This Row],[YearsAtCompany]]</f>
        <v>0</v>
      </c>
      <c r="AO354" t="str">
        <f>IF(Lab_Data[[#This Row],[PerformanceRating]]&gt;=3,"Approved","Review Required")</f>
        <v>Approved</v>
      </c>
    </row>
    <row r="355" spans="1:41"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t="str">
        <f>"LAB-"&amp;Lab_Data[[#This Row],[EmployeeNumber]]</f>
        <v>LAB-474</v>
      </c>
      <c r="AK355" t="str">
        <f>Lab_Data[[#This Row],[JobRole]]</f>
        <v>Research Scientist</v>
      </c>
      <c r="AL355" t="str">
        <f>Lab_Data[[#This Row],[Department]]</f>
        <v>Research &amp; Development</v>
      </c>
      <c r="AM355" t="str">
        <f>IF(Lab_Data[[#This Row],[Attrition]]="Yes","Failed","Completed")</f>
        <v>Completed</v>
      </c>
      <c r="AN355">
        <f>Lab_Data[[#This Row],[YearsAtCompany]]</f>
        <v>7</v>
      </c>
      <c r="AO355" t="str">
        <f>IF(Lab_Data[[#This Row],[PerformanceRating]]&gt;=3,"Approved","Review Required")</f>
        <v>Approved</v>
      </c>
    </row>
    <row r="356" spans="1:41"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t="str">
        <f>"LAB-"&amp;Lab_Data[[#This Row],[EmployeeNumber]]</f>
        <v>LAB-475</v>
      </c>
      <c r="AK356" t="str">
        <f>Lab_Data[[#This Row],[JobRole]]</f>
        <v>Sales Executive</v>
      </c>
      <c r="AL356" t="str">
        <f>Lab_Data[[#This Row],[Department]]</f>
        <v>Sales</v>
      </c>
      <c r="AM356" t="str">
        <f>IF(Lab_Data[[#This Row],[Attrition]]="Yes","Failed","Completed")</f>
        <v>Completed</v>
      </c>
      <c r="AN356">
        <f>Lab_Data[[#This Row],[YearsAtCompany]]</f>
        <v>2</v>
      </c>
      <c r="AO356" t="str">
        <f>IF(Lab_Data[[#This Row],[PerformanceRating]]&gt;=3,"Approved","Review Required")</f>
        <v>Approved</v>
      </c>
    </row>
    <row r="357" spans="1:41"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t="str">
        <f>"LAB-"&amp;Lab_Data[[#This Row],[EmployeeNumber]]</f>
        <v>LAB-476</v>
      </c>
      <c r="AK357" t="str">
        <f>Lab_Data[[#This Row],[JobRole]]</f>
        <v>Sales Executive</v>
      </c>
      <c r="AL357" t="str">
        <f>Lab_Data[[#This Row],[Department]]</f>
        <v>Sales</v>
      </c>
      <c r="AM357" t="str">
        <f>IF(Lab_Data[[#This Row],[Attrition]]="Yes","Failed","Completed")</f>
        <v>Completed</v>
      </c>
      <c r="AN357">
        <f>Lab_Data[[#This Row],[YearsAtCompany]]</f>
        <v>8</v>
      </c>
      <c r="AO357" t="str">
        <f>IF(Lab_Data[[#This Row],[PerformanceRating]]&gt;=3,"Approved","Review Required")</f>
        <v>Approved</v>
      </c>
    </row>
    <row r="358" spans="1:41"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t="str">
        <f>"LAB-"&amp;Lab_Data[[#This Row],[EmployeeNumber]]</f>
        <v>LAB-477</v>
      </c>
      <c r="AK358" t="str">
        <f>Lab_Data[[#This Row],[JobRole]]</f>
        <v>Healthcare Representative</v>
      </c>
      <c r="AL358" t="str">
        <f>Lab_Data[[#This Row],[Department]]</f>
        <v>Research &amp; Development</v>
      </c>
      <c r="AM358" t="str">
        <f>IF(Lab_Data[[#This Row],[Attrition]]="Yes","Failed","Completed")</f>
        <v>Completed</v>
      </c>
      <c r="AN358">
        <f>Lab_Data[[#This Row],[YearsAtCompany]]</f>
        <v>1</v>
      </c>
      <c r="AO358" t="str">
        <f>IF(Lab_Data[[#This Row],[PerformanceRating]]&gt;=3,"Approved","Review Required")</f>
        <v>Approved</v>
      </c>
    </row>
    <row r="359" spans="1:41"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t="str">
        <f>"LAB-"&amp;Lab_Data[[#This Row],[EmployeeNumber]]</f>
        <v>LAB-478</v>
      </c>
      <c r="AK359" t="str">
        <f>Lab_Data[[#This Row],[JobRole]]</f>
        <v>Sales Representative</v>
      </c>
      <c r="AL359" t="str">
        <f>Lab_Data[[#This Row],[Department]]</f>
        <v>Sales</v>
      </c>
      <c r="AM359" t="str">
        <f>IF(Lab_Data[[#This Row],[Attrition]]="Yes","Failed","Completed")</f>
        <v>Failed</v>
      </c>
      <c r="AN359">
        <f>Lab_Data[[#This Row],[YearsAtCompany]]</f>
        <v>3</v>
      </c>
      <c r="AO359" t="str">
        <f>IF(Lab_Data[[#This Row],[PerformanceRating]]&gt;=3,"Approved","Review Required")</f>
        <v>Approved</v>
      </c>
    </row>
    <row r="360" spans="1:41"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t="str">
        <f>"LAB-"&amp;Lab_Data[[#This Row],[EmployeeNumber]]</f>
        <v>LAB-479</v>
      </c>
      <c r="AK360" t="str">
        <f>Lab_Data[[#This Row],[JobRole]]</f>
        <v>Sales Executive</v>
      </c>
      <c r="AL360" t="str">
        <f>Lab_Data[[#This Row],[Department]]</f>
        <v>Sales</v>
      </c>
      <c r="AM360" t="str">
        <f>IF(Lab_Data[[#This Row],[Attrition]]="Yes","Failed","Completed")</f>
        <v>Completed</v>
      </c>
      <c r="AN360">
        <f>Lab_Data[[#This Row],[YearsAtCompany]]</f>
        <v>1</v>
      </c>
      <c r="AO360" t="str">
        <f>IF(Lab_Data[[#This Row],[PerformanceRating]]&gt;=3,"Approved","Review Required")</f>
        <v>Approved</v>
      </c>
    </row>
    <row r="361" spans="1:41"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t="str">
        <f>"LAB-"&amp;Lab_Data[[#This Row],[EmployeeNumber]]</f>
        <v>LAB-481</v>
      </c>
      <c r="AK361" t="str">
        <f>Lab_Data[[#This Row],[JobRole]]</f>
        <v>Sales Executive</v>
      </c>
      <c r="AL361" t="str">
        <f>Lab_Data[[#This Row],[Department]]</f>
        <v>Sales</v>
      </c>
      <c r="AM361" t="str">
        <f>IF(Lab_Data[[#This Row],[Attrition]]="Yes","Failed","Completed")</f>
        <v>Completed</v>
      </c>
      <c r="AN361">
        <f>Lab_Data[[#This Row],[YearsAtCompany]]</f>
        <v>13</v>
      </c>
      <c r="AO361" t="str">
        <f>IF(Lab_Data[[#This Row],[PerformanceRating]]&gt;=3,"Approved","Review Required")</f>
        <v>Approved</v>
      </c>
    </row>
    <row r="362" spans="1:41"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t="str">
        <f>"LAB-"&amp;Lab_Data[[#This Row],[EmployeeNumber]]</f>
        <v>LAB-482</v>
      </c>
      <c r="AK362" t="str">
        <f>Lab_Data[[#This Row],[JobRole]]</f>
        <v>Healthcare Representative</v>
      </c>
      <c r="AL362" t="str">
        <f>Lab_Data[[#This Row],[Department]]</f>
        <v>Research &amp; Development</v>
      </c>
      <c r="AM362" t="str">
        <f>IF(Lab_Data[[#This Row],[Attrition]]="Yes","Failed","Completed")</f>
        <v>Completed</v>
      </c>
      <c r="AN362">
        <f>Lab_Data[[#This Row],[YearsAtCompany]]</f>
        <v>3</v>
      </c>
      <c r="AO362" t="str">
        <f>IF(Lab_Data[[#This Row],[PerformanceRating]]&gt;=3,"Approved","Review Required")</f>
        <v>Approved</v>
      </c>
    </row>
    <row r="363" spans="1:41"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t="str">
        <f>"LAB-"&amp;Lab_Data[[#This Row],[EmployeeNumber]]</f>
        <v>LAB-483</v>
      </c>
      <c r="AK363" t="str">
        <f>Lab_Data[[#This Row],[JobRole]]</f>
        <v>Laboratory Technician</v>
      </c>
      <c r="AL363" t="str">
        <f>Lab_Data[[#This Row],[Department]]</f>
        <v>Research &amp; Development</v>
      </c>
      <c r="AM363" t="str">
        <f>IF(Lab_Data[[#This Row],[Attrition]]="Yes","Failed","Completed")</f>
        <v>Completed</v>
      </c>
      <c r="AN363">
        <f>Lab_Data[[#This Row],[YearsAtCompany]]</f>
        <v>7</v>
      </c>
      <c r="AO363" t="str">
        <f>IF(Lab_Data[[#This Row],[PerformanceRating]]&gt;=3,"Approved","Review Required")</f>
        <v>Approved</v>
      </c>
    </row>
    <row r="364" spans="1:41"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t="str">
        <f>"LAB-"&amp;Lab_Data[[#This Row],[EmployeeNumber]]</f>
        <v>LAB-484</v>
      </c>
      <c r="AK364" t="str">
        <f>Lab_Data[[#This Row],[JobRole]]</f>
        <v>Sales Representative</v>
      </c>
      <c r="AL364" t="str">
        <f>Lab_Data[[#This Row],[Department]]</f>
        <v>Sales</v>
      </c>
      <c r="AM364" t="str">
        <f>IF(Lab_Data[[#This Row],[Attrition]]="Yes","Failed","Completed")</f>
        <v>Completed</v>
      </c>
      <c r="AN364">
        <f>Lab_Data[[#This Row],[YearsAtCompany]]</f>
        <v>3</v>
      </c>
      <c r="AO364" t="str">
        <f>IF(Lab_Data[[#This Row],[PerformanceRating]]&gt;=3,"Approved","Review Required")</f>
        <v>Approved</v>
      </c>
    </row>
    <row r="365" spans="1:41"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t="str">
        <f>"LAB-"&amp;Lab_Data[[#This Row],[EmployeeNumber]]</f>
        <v>LAB-485</v>
      </c>
      <c r="AK365" t="str">
        <f>Lab_Data[[#This Row],[JobRole]]</f>
        <v>Sales Representative</v>
      </c>
      <c r="AL365" t="str">
        <f>Lab_Data[[#This Row],[Department]]</f>
        <v>Sales</v>
      </c>
      <c r="AM365" t="str">
        <f>IF(Lab_Data[[#This Row],[Attrition]]="Yes","Failed","Completed")</f>
        <v>Failed</v>
      </c>
      <c r="AN365">
        <f>Lab_Data[[#This Row],[YearsAtCompany]]</f>
        <v>1</v>
      </c>
      <c r="AO365" t="str">
        <f>IF(Lab_Data[[#This Row],[PerformanceRating]]&gt;=3,"Approved","Review Required")</f>
        <v>Approved</v>
      </c>
    </row>
    <row r="366" spans="1:41"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t="str">
        <f>"LAB-"&amp;Lab_Data[[#This Row],[EmployeeNumber]]</f>
        <v>LAB-486</v>
      </c>
      <c r="AK366" t="str">
        <f>Lab_Data[[#This Row],[JobRole]]</f>
        <v>Laboratory Technician</v>
      </c>
      <c r="AL366" t="str">
        <f>Lab_Data[[#This Row],[Department]]</f>
        <v>Research &amp; Development</v>
      </c>
      <c r="AM366" t="str">
        <f>IF(Lab_Data[[#This Row],[Attrition]]="Yes","Failed","Completed")</f>
        <v>Completed</v>
      </c>
      <c r="AN366">
        <f>Lab_Data[[#This Row],[YearsAtCompany]]</f>
        <v>5</v>
      </c>
      <c r="AO366" t="str">
        <f>IF(Lab_Data[[#This Row],[PerformanceRating]]&gt;=3,"Approved","Review Required")</f>
        <v>Approved</v>
      </c>
    </row>
    <row r="367" spans="1:41"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t="str">
        <f>"LAB-"&amp;Lab_Data[[#This Row],[EmployeeNumber]]</f>
        <v>LAB-487</v>
      </c>
      <c r="AK367" t="str">
        <f>Lab_Data[[#This Row],[JobRole]]</f>
        <v>Manufacturing Director</v>
      </c>
      <c r="AL367" t="str">
        <f>Lab_Data[[#This Row],[Department]]</f>
        <v>Research &amp; Development</v>
      </c>
      <c r="AM367" t="str">
        <f>IF(Lab_Data[[#This Row],[Attrition]]="Yes","Failed","Completed")</f>
        <v>Completed</v>
      </c>
      <c r="AN367">
        <f>Lab_Data[[#This Row],[YearsAtCompany]]</f>
        <v>1</v>
      </c>
      <c r="AO367" t="str">
        <f>IF(Lab_Data[[#This Row],[PerformanceRating]]&gt;=3,"Approved","Review Required")</f>
        <v>Approved</v>
      </c>
    </row>
    <row r="368" spans="1:41"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t="str">
        <f>"LAB-"&amp;Lab_Data[[#This Row],[EmployeeNumber]]</f>
        <v>LAB-488</v>
      </c>
      <c r="AK368" t="str">
        <f>Lab_Data[[#This Row],[JobRole]]</f>
        <v>Sales Executive</v>
      </c>
      <c r="AL368" t="str">
        <f>Lab_Data[[#This Row],[Department]]</f>
        <v>Sales</v>
      </c>
      <c r="AM368" t="str">
        <f>IF(Lab_Data[[#This Row],[Attrition]]="Yes","Failed","Completed")</f>
        <v>Failed</v>
      </c>
      <c r="AN368">
        <f>Lab_Data[[#This Row],[YearsAtCompany]]</f>
        <v>8</v>
      </c>
      <c r="AO368" t="str">
        <f>IF(Lab_Data[[#This Row],[PerformanceRating]]&gt;=3,"Approved","Review Required")</f>
        <v>Approved</v>
      </c>
    </row>
    <row r="369" spans="1:41"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t="str">
        <f>"LAB-"&amp;Lab_Data[[#This Row],[EmployeeNumber]]</f>
        <v>LAB-491</v>
      </c>
      <c r="AK369" t="str">
        <f>Lab_Data[[#This Row],[JobRole]]</f>
        <v>Healthcare Representative</v>
      </c>
      <c r="AL369" t="str">
        <f>Lab_Data[[#This Row],[Department]]</f>
        <v>Research &amp; Development</v>
      </c>
      <c r="AM369" t="str">
        <f>IF(Lab_Data[[#This Row],[Attrition]]="Yes","Failed","Completed")</f>
        <v>Completed</v>
      </c>
      <c r="AN369">
        <f>Lab_Data[[#This Row],[YearsAtCompany]]</f>
        <v>4</v>
      </c>
      <c r="AO369" t="str">
        <f>IF(Lab_Data[[#This Row],[PerformanceRating]]&gt;=3,"Approved","Review Required")</f>
        <v>Approved</v>
      </c>
    </row>
    <row r="370" spans="1:41"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t="str">
        <f>"LAB-"&amp;Lab_Data[[#This Row],[EmployeeNumber]]</f>
        <v>LAB-492</v>
      </c>
      <c r="AK370" t="str">
        <f>Lab_Data[[#This Row],[JobRole]]</f>
        <v>Sales Executive</v>
      </c>
      <c r="AL370" t="str">
        <f>Lab_Data[[#This Row],[Department]]</f>
        <v>Sales</v>
      </c>
      <c r="AM370" t="str">
        <f>IF(Lab_Data[[#This Row],[Attrition]]="Yes","Failed","Completed")</f>
        <v>Failed</v>
      </c>
      <c r="AN370">
        <f>Lab_Data[[#This Row],[YearsAtCompany]]</f>
        <v>6</v>
      </c>
      <c r="AO370" t="str">
        <f>IF(Lab_Data[[#This Row],[PerformanceRating]]&gt;=3,"Approved","Review Required")</f>
        <v>Approved</v>
      </c>
    </row>
    <row r="371" spans="1:41"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t="str">
        <f>"LAB-"&amp;Lab_Data[[#This Row],[EmployeeNumber]]</f>
        <v>LAB-493</v>
      </c>
      <c r="AK371" t="str">
        <f>Lab_Data[[#This Row],[JobRole]]</f>
        <v>Research Scientist</v>
      </c>
      <c r="AL371" t="str">
        <f>Lab_Data[[#This Row],[Department]]</f>
        <v>Research &amp; Development</v>
      </c>
      <c r="AM371" t="str">
        <f>IF(Lab_Data[[#This Row],[Attrition]]="Yes","Failed","Completed")</f>
        <v>Completed</v>
      </c>
      <c r="AN371">
        <f>Lab_Data[[#This Row],[YearsAtCompany]]</f>
        <v>2</v>
      </c>
      <c r="AO371" t="str">
        <f>IF(Lab_Data[[#This Row],[PerformanceRating]]&gt;=3,"Approved","Review Required")</f>
        <v>Approved</v>
      </c>
    </row>
    <row r="372" spans="1:41"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t="str">
        <f>"LAB-"&amp;Lab_Data[[#This Row],[EmployeeNumber]]</f>
        <v>LAB-494</v>
      </c>
      <c r="AK372" t="str">
        <f>Lab_Data[[#This Row],[JobRole]]</f>
        <v>Sales Representative</v>
      </c>
      <c r="AL372" t="str">
        <f>Lab_Data[[#This Row],[Department]]</f>
        <v>Sales</v>
      </c>
      <c r="AM372" t="str">
        <f>IF(Lab_Data[[#This Row],[Attrition]]="Yes","Failed","Completed")</f>
        <v>Failed</v>
      </c>
      <c r="AN372">
        <f>Lab_Data[[#This Row],[YearsAtCompany]]</f>
        <v>1</v>
      </c>
      <c r="AO372" t="str">
        <f>IF(Lab_Data[[#This Row],[PerformanceRating]]&gt;=3,"Approved","Review Required")</f>
        <v>Approved</v>
      </c>
    </row>
    <row r="373" spans="1:41"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t="str">
        <f>"LAB-"&amp;Lab_Data[[#This Row],[EmployeeNumber]]</f>
        <v>LAB-495</v>
      </c>
      <c r="AK373" t="str">
        <f>Lab_Data[[#This Row],[JobRole]]</f>
        <v>Research Scientist</v>
      </c>
      <c r="AL373" t="str">
        <f>Lab_Data[[#This Row],[Department]]</f>
        <v>Research &amp; Development</v>
      </c>
      <c r="AM373" t="str">
        <f>IF(Lab_Data[[#This Row],[Attrition]]="Yes","Failed","Completed")</f>
        <v>Completed</v>
      </c>
      <c r="AN373">
        <f>Lab_Data[[#This Row],[YearsAtCompany]]</f>
        <v>3</v>
      </c>
      <c r="AO373" t="str">
        <f>IF(Lab_Data[[#This Row],[PerformanceRating]]&gt;=3,"Approved","Review Required")</f>
        <v>Approved</v>
      </c>
    </row>
    <row r="374" spans="1:41"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t="str">
        <f>"LAB-"&amp;Lab_Data[[#This Row],[EmployeeNumber]]</f>
        <v>LAB-496</v>
      </c>
      <c r="AK374" t="str">
        <f>Lab_Data[[#This Row],[JobRole]]</f>
        <v>Healthcare Representative</v>
      </c>
      <c r="AL374" t="str">
        <f>Lab_Data[[#This Row],[Department]]</f>
        <v>Research &amp; Development</v>
      </c>
      <c r="AM374" t="str">
        <f>IF(Lab_Data[[#This Row],[Attrition]]="Yes","Failed","Completed")</f>
        <v>Completed</v>
      </c>
      <c r="AN374">
        <f>Lab_Data[[#This Row],[YearsAtCompany]]</f>
        <v>1</v>
      </c>
      <c r="AO374" t="str">
        <f>IF(Lab_Data[[#This Row],[PerformanceRating]]&gt;=3,"Approved","Review Required")</f>
        <v>Approved</v>
      </c>
    </row>
    <row r="375" spans="1:41"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t="str">
        <f>"LAB-"&amp;Lab_Data[[#This Row],[EmployeeNumber]]</f>
        <v>LAB-497</v>
      </c>
      <c r="AK375" t="str">
        <f>Lab_Data[[#This Row],[JobRole]]</f>
        <v>Laboratory Technician</v>
      </c>
      <c r="AL375" t="str">
        <f>Lab_Data[[#This Row],[Department]]</f>
        <v>Research &amp; Development</v>
      </c>
      <c r="AM375" t="str">
        <f>IF(Lab_Data[[#This Row],[Attrition]]="Yes","Failed","Completed")</f>
        <v>Completed</v>
      </c>
      <c r="AN375">
        <f>Lab_Data[[#This Row],[YearsAtCompany]]</f>
        <v>5</v>
      </c>
      <c r="AO375" t="str">
        <f>IF(Lab_Data[[#This Row],[PerformanceRating]]&gt;=3,"Approved","Review Required")</f>
        <v>Approved</v>
      </c>
    </row>
    <row r="376" spans="1:41"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t="str">
        <f>"LAB-"&amp;Lab_Data[[#This Row],[EmployeeNumber]]</f>
        <v>LAB-498</v>
      </c>
      <c r="AK376" t="str">
        <f>Lab_Data[[#This Row],[JobRole]]</f>
        <v>Sales Executive</v>
      </c>
      <c r="AL376" t="str">
        <f>Lab_Data[[#This Row],[Department]]</f>
        <v>Sales</v>
      </c>
      <c r="AM376" t="str">
        <f>IF(Lab_Data[[#This Row],[Attrition]]="Yes","Failed","Completed")</f>
        <v>Completed</v>
      </c>
      <c r="AN376">
        <f>Lab_Data[[#This Row],[YearsAtCompany]]</f>
        <v>7</v>
      </c>
      <c r="AO376" t="str">
        <f>IF(Lab_Data[[#This Row],[PerformanceRating]]&gt;=3,"Approved","Review Required")</f>
        <v>Approved</v>
      </c>
    </row>
    <row r="377" spans="1:41"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t="str">
        <f>"LAB-"&amp;Lab_Data[[#This Row],[EmployeeNumber]]</f>
        <v>LAB-499</v>
      </c>
      <c r="AK377" t="str">
        <f>Lab_Data[[#This Row],[JobRole]]</f>
        <v>Healthcare Representative</v>
      </c>
      <c r="AL377" t="str">
        <f>Lab_Data[[#This Row],[Department]]</f>
        <v>Research &amp; Development</v>
      </c>
      <c r="AM377" t="str">
        <f>IF(Lab_Data[[#This Row],[Attrition]]="Yes","Failed","Completed")</f>
        <v>Completed</v>
      </c>
      <c r="AN377">
        <f>Lab_Data[[#This Row],[YearsAtCompany]]</f>
        <v>5</v>
      </c>
      <c r="AO377" t="str">
        <f>IF(Lab_Data[[#This Row],[PerformanceRating]]&gt;=3,"Approved","Review Required")</f>
        <v>Approved</v>
      </c>
    </row>
    <row r="378" spans="1:41"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t="str">
        <f>"LAB-"&amp;Lab_Data[[#This Row],[EmployeeNumber]]</f>
        <v>LAB-500</v>
      </c>
      <c r="AK378" t="str">
        <f>Lab_Data[[#This Row],[JobRole]]</f>
        <v>Sales Executive</v>
      </c>
      <c r="AL378" t="str">
        <f>Lab_Data[[#This Row],[Department]]</f>
        <v>Sales</v>
      </c>
      <c r="AM378" t="str">
        <f>IF(Lab_Data[[#This Row],[Attrition]]="Yes","Failed","Completed")</f>
        <v>Completed</v>
      </c>
      <c r="AN378">
        <f>Lab_Data[[#This Row],[YearsAtCompany]]</f>
        <v>7</v>
      </c>
      <c r="AO378" t="str">
        <f>IF(Lab_Data[[#This Row],[PerformanceRating]]&gt;=3,"Approved","Review Required")</f>
        <v>Approved</v>
      </c>
    </row>
    <row r="379" spans="1:41"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t="str">
        <f>"LAB-"&amp;Lab_Data[[#This Row],[EmployeeNumber]]</f>
        <v>LAB-501</v>
      </c>
      <c r="AK379" t="str">
        <f>Lab_Data[[#This Row],[JobRole]]</f>
        <v>Research Scientist</v>
      </c>
      <c r="AL379" t="str">
        <f>Lab_Data[[#This Row],[Department]]</f>
        <v>Research &amp; Development</v>
      </c>
      <c r="AM379" t="str">
        <f>IF(Lab_Data[[#This Row],[Attrition]]="Yes","Failed","Completed")</f>
        <v>Completed</v>
      </c>
      <c r="AN379">
        <f>Lab_Data[[#This Row],[YearsAtCompany]]</f>
        <v>2</v>
      </c>
      <c r="AO379" t="str">
        <f>IF(Lab_Data[[#This Row],[PerformanceRating]]&gt;=3,"Approved","Review Required")</f>
        <v>Approved</v>
      </c>
    </row>
    <row r="380" spans="1:41"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t="str">
        <f>"LAB-"&amp;Lab_Data[[#This Row],[EmployeeNumber]]</f>
        <v>LAB-502</v>
      </c>
      <c r="AK380" t="str">
        <f>Lab_Data[[#This Row],[JobRole]]</f>
        <v>Sales Executive</v>
      </c>
      <c r="AL380" t="str">
        <f>Lab_Data[[#This Row],[Department]]</f>
        <v>Sales</v>
      </c>
      <c r="AM380" t="str">
        <f>IF(Lab_Data[[#This Row],[Attrition]]="Yes","Failed","Completed")</f>
        <v>Failed</v>
      </c>
      <c r="AN380">
        <f>Lab_Data[[#This Row],[YearsAtCompany]]</f>
        <v>5</v>
      </c>
      <c r="AO380" t="str">
        <f>IF(Lab_Data[[#This Row],[PerformanceRating]]&gt;=3,"Approved","Review Required")</f>
        <v>Approved</v>
      </c>
    </row>
    <row r="381" spans="1:41"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t="str">
        <f>"LAB-"&amp;Lab_Data[[#This Row],[EmployeeNumber]]</f>
        <v>LAB-505</v>
      </c>
      <c r="AK381" t="str">
        <f>Lab_Data[[#This Row],[JobRole]]</f>
        <v>Manager</v>
      </c>
      <c r="AL381" t="str">
        <f>Lab_Data[[#This Row],[Department]]</f>
        <v>Research &amp; Development</v>
      </c>
      <c r="AM381" t="str">
        <f>IF(Lab_Data[[#This Row],[Attrition]]="Yes","Failed","Completed")</f>
        <v>Completed</v>
      </c>
      <c r="AN381">
        <f>Lab_Data[[#This Row],[YearsAtCompany]]</f>
        <v>5</v>
      </c>
      <c r="AO381" t="str">
        <f>IF(Lab_Data[[#This Row],[PerformanceRating]]&gt;=3,"Approved","Review Required")</f>
        <v>Approved</v>
      </c>
    </row>
    <row r="382" spans="1:41"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t="str">
        <f>"LAB-"&amp;Lab_Data[[#This Row],[EmployeeNumber]]</f>
        <v>LAB-507</v>
      </c>
      <c r="AK382" t="str">
        <f>Lab_Data[[#This Row],[JobRole]]</f>
        <v>Sales Executive</v>
      </c>
      <c r="AL382" t="str">
        <f>Lab_Data[[#This Row],[Department]]</f>
        <v>Sales</v>
      </c>
      <c r="AM382" t="str">
        <f>IF(Lab_Data[[#This Row],[Attrition]]="Yes","Failed","Completed")</f>
        <v>Completed</v>
      </c>
      <c r="AN382">
        <f>Lab_Data[[#This Row],[YearsAtCompany]]</f>
        <v>5</v>
      </c>
      <c r="AO382" t="str">
        <f>IF(Lab_Data[[#This Row],[PerformanceRating]]&gt;=3,"Approved","Review Required")</f>
        <v>Approved</v>
      </c>
    </row>
    <row r="383" spans="1:41"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t="str">
        <f>"LAB-"&amp;Lab_Data[[#This Row],[EmployeeNumber]]</f>
        <v>LAB-508</v>
      </c>
      <c r="AK383" t="str">
        <f>Lab_Data[[#This Row],[JobRole]]</f>
        <v>Sales Representative</v>
      </c>
      <c r="AL383" t="str">
        <f>Lab_Data[[#This Row],[Department]]</f>
        <v>Sales</v>
      </c>
      <c r="AM383" t="str">
        <f>IF(Lab_Data[[#This Row],[Attrition]]="Yes","Failed","Completed")</f>
        <v>Completed</v>
      </c>
      <c r="AN383">
        <f>Lab_Data[[#This Row],[YearsAtCompany]]</f>
        <v>1</v>
      </c>
      <c r="AO383" t="str">
        <f>IF(Lab_Data[[#This Row],[PerformanceRating]]&gt;=3,"Approved","Review Required")</f>
        <v>Approved</v>
      </c>
    </row>
    <row r="384" spans="1:41"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t="str">
        <f>"LAB-"&amp;Lab_Data[[#This Row],[EmployeeNumber]]</f>
        <v>LAB-510</v>
      </c>
      <c r="AK384" t="str">
        <f>Lab_Data[[#This Row],[JobRole]]</f>
        <v>Research Scientist</v>
      </c>
      <c r="AL384" t="str">
        <f>Lab_Data[[#This Row],[Department]]</f>
        <v>Research &amp; Development</v>
      </c>
      <c r="AM384" t="str">
        <f>IF(Lab_Data[[#This Row],[Attrition]]="Yes","Failed","Completed")</f>
        <v>Failed</v>
      </c>
      <c r="AN384">
        <f>Lab_Data[[#This Row],[YearsAtCompany]]</f>
        <v>6</v>
      </c>
      <c r="AO384" t="str">
        <f>IF(Lab_Data[[#This Row],[PerformanceRating]]&gt;=3,"Approved","Review Required")</f>
        <v>Approved</v>
      </c>
    </row>
    <row r="385" spans="1:41"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t="str">
        <f>"LAB-"&amp;Lab_Data[[#This Row],[EmployeeNumber]]</f>
        <v>LAB-511</v>
      </c>
      <c r="AK385" t="str">
        <f>Lab_Data[[#This Row],[JobRole]]</f>
        <v>Research Scientist</v>
      </c>
      <c r="AL385" t="str">
        <f>Lab_Data[[#This Row],[Department]]</f>
        <v>Research &amp; Development</v>
      </c>
      <c r="AM385" t="str">
        <f>IF(Lab_Data[[#This Row],[Attrition]]="Yes","Failed","Completed")</f>
        <v>Completed</v>
      </c>
      <c r="AN385">
        <f>Lab_Data[[#This Row],[YearsAtCompany]]</f>
        <v>2</v>
      </c>
      <c r="AO385" t="str">
        <f>IF(Lab_Data[[#This Row],[PerformanceRating]]&gt;=3,"Approved","Review Required")</f>
        <v>Approved</v>
      </c>
    </row>
    <row r="386" spans="1:41"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t="str">
        <f>"LAB-"&amp;Lab_Data[[#This Row],[EmployeeNumber]]</f>
        <v>LAB-513</v>
      </c>
      <c r="AK386" t="str">
        <f>Lab_Data[[#This Row],[JobRole]]</f>
        <v>Sales Executive</v>
      </c>
      <c r="AL386" t="str">
        <f>Lab_Data[[#This Row],[Department]]</f>
        <v>Sales</v>
      </c>
      <c r="AM386" t="str">
        <f>IF(Lab_Data[[#This Row],[Attrition]]="Yes","Failed","Completed")</f>
        <v>Completed</v>
      </c>
      <c r="AN386">
        <f>Lab_Data[[#This Row],[YearsAtCompany]]</f>
        <v>10</v>
      </c>
      <c r="AO386" t="str">
        <f>IF(Lab_Data[[#This Row],[PerformanceRating]]&gt;=3,"Approved","Review Required")</f>
        <v>Approved</v>
      </c>
    </row>
    <row r="387" spans="1:41"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t="str">
        <f>"LAB-"&amp;Lab_Data[[#This Row],[EmployeeNumber]]</f>
        <v>LAB-514</v>
      </c>
      <c r="AK387" t="str">
        <f>Lab_Data[[#This Row],[JobRole]]</f>
        <v>Research Scientist</v>
      </c>
      <c r="AL387" t="str">
        <f>Lab_Data[[#This Row],[Department]]</f>
        <v>Research &amp; Development</v>
      </c>
      <c r="AM387" t="str">
        <f>IF(Lab_Data[[#This Row],[Attrition]]="Yes","Failed","Completed")</f>
        <v>Failed</v>
      </c>
      <c r="AN387">
        <f>Lab_Data[[#This Row],[YearsAtCompany]]</f>
        <v>1</v>
      </c>
      <c r="AO387" t="str">
        <f>IF(Lab_Data[[#This Row],[PerformanceRating]]&gt;=3,"Approved","Review Required")</f>
        <v>Approved</v>
      </c>
    </row>
    <row r="388" spans="1:41"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t="str">
        <f>"LAB-"&amp;Lab_Data[[#This Row],[EmployeeNumber]]</f>
        <v>LAB-515</v>
      </c>
      <c r="AK388" t="str">
        <f>Lab_Data[[#This Row],[JobRole]]</f>
        <v>Laboratory Technician</v>
      </c>
      <c r="AL388" t="str">
        <f>Lab_Data[[#This Row],[Department]]</f>
        <v>Research &amp; Development</v>
      </c>
      <c r="AM388" t="str">
        <f>IF(Lab_Data[[#This Row],[Attrition]]="Yes","Failed","Completed")</f>
        <v>Completed</v>
      </c>
      <c r="AN388">
        <f>Lab_Data[[#This Row],[YearsAtCompany]]</f>
        <v>18</v>
      </c>
      <c r="AO388" t="str">
        <f>IF(Lab_Data[[#This Row],[PerformanceRating]]&gt;=3,"Approved","Review Required")</f>
        <v>Approved</v>
      </c>
    </row>
    <row r="389" spans="1:41"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t="str">
        <f>"LAB-"&amp;Lab_Data[[#This Row],[EmployeeNumber]]</f>
        <v>LAB-516</v>
      </c>
      <c r="AK389" t="str">
        <f>Lab_Data[[#This Row],[JobRole]]</f>
        <v>Sales Executive</v>
      </c>
      <c r="AL389" t="str">
        <f>Lab_Data[[#This Row],[Department]]</f>
        <v>Sales</v>
      </c>
      <c r="AM389" t="str">
        <f>IF(Lab_Data[[#This Row],[Attrition]]="Yes","Failed","Completed")</f>
        <v>Completed</v>
      </c>
      <c r="AN389">
        <f>Lab_Data[[#This Row],[YearsAtCompany]]</f>
        <v>5</v>
      </c>
      <c r="AO389" t="str">
        <f>IF(Lab_Data[[#This Row],[PerformanceRating]]&gt;=3,"Approved","Review Required")</f>
        <v>Approved</v>
      </c>
    </row>
    <row r="390" spans="1:41"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t="str">
        <f>"LAB-"&amp;Lab_Data[[#This Row],[EmployeeNumber]]</f>
        <v>LAB-517</v>
      </c>
      <c r="AK390" t="str">
        <f>Lab_Data[[#This Row],[JobRole]]</f>
        <v>Laboratory Technician</v>
      </c>
      <c r="AL390" t="str">
        <f>Lab_Data[[#This Row],[Department]]</f>
        <v>Research &amp; Development</v>
      </c>
      <c r="AM390" t="str">
        <f>IF(Lab_Data[[#This Row],[Attrition]]="Yes","Failed","Completed")</f>
        <v>Completed</v>
      </c>
      <c r="AN390">
        <f>Lab_Data[[#This Row],[YearsAtCompany]]</f>
        <v>5</v>
      </c>
      <c r="AO390" t="str">
        <f>IF(Lab_Data[[#This Row],[PerformanceRating]]&gt;=3,"Approved","Review Required")</f>
        <v>Approved</v>
      </c>
    </row>
    <row r="391" spans="1:41"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t="str">
        <f>"LAB-"&amp;Lab_Data[[#This Row],[EmployeeNumber]]</f>
        <v>LAB-518</v>
      </c>
      <c r="AK391" t="str">
        <f>Lab_Data[[#This Row],[JobRole]]</f>
        <v>Manufacturing Director</v>
      </c>
      <c r="AL391" t="str">
        <f>Lab_Data[[#This Row],[Department]]</f>
        <v>Research &amp; Development</v>
      </c>
      <c r="AM391" t="str">
        <f>IF(Lab_Data[[#This Row],[Attrition]]="Yes","Failed","Completed")</f>
        <v>Completed</v>
      </c>
      <c r="AN391">
        <f>Lab_Data[[#This Row],[YearsAtCompany]]</f>
        <v>1</v>
      </c>
      <c r="AO391" t="str">
        <f>IF(Lab_Data[[#This Row],[PerformanceRating]]&gt;=3,"Approved","Review Required")</f>
        <v>Approved</v>
      </c>
    </row>
    <row r="392" spans="1:41"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t="str">
        <f>"LAB-"&amp;Lab_Data[[#This Row],[EmployeeNumber]]</f>
        <v>LAB-520</v>
      </c>
      <c r="AK392" t="str">
        <f>Lab_Data[[#This Row],[JobRole]]</f>
        <v>Research Director</v>
      </c>
      <c r="AL392" t="str">
        <f>Lab_Data[[#This Row],[Department]]</f>
        <v>Research &amp; Development</v>
      </c>
      <c r="AM392" t="str">
        <f>IF(Lab_Data[[#This Row],[Attrition]]="Yes","Failed","Completed")</f>
        <v>Completed</v>
      </c>
      <c r="AN392">
        <f>Lab_Data[[#This Row],[YearsAtCompany]]</f>
        <v>25</v>
      </c>
      <c r="AO392" t="str">
        <f>IF(Lab_Data[[#This Row],[PerformanceRating]]&gt;=3,"Approved","Review Required")</f>
        <v>Approved</v>
      </c>
    </row>
    <row r="393" spans="1:41"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t="str">
        <f>"LAB-"&amp;Lab_Data[[#This Row],[EmployeeNumber]]</f>
        <v>LAB-521</v>
      </c>
      <c r="AK393" t="str">
        <f>Lab_Data[[#This Row],[JobRole]]</f>
        <v>Laboratory Technician</v>
      </c>
      <c r="AL393" t="str">
        <f>Lab_Data[[#This Row],[Department]]</f>
        <v>Research &amp; Development</v>
      </c>
      <c r="AM393" t="str">
        <f>IF(Lab_Data[[#This Row],[Attrition]]="Yes","Failed","Completed")</f>
        <v>Completed</v>
      </c>
      <c r="AN393">
        <f>Lab_Data[[#This Row],[YearsAtCompany]]</f>
        <v>1</v>
      </c>
      <c r="AO393" t="str">
        <f>IF(Lab_Data[[#This Row],[PerformanceRating]]&gt;=3,"Approved","Review Required")</f>
        <v>Approved</v>
      </c>
    </row>
    <row r="394" spans="1:41"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t="str">
        <f>"LAB-"&amp;Lab_Data[[#This Row],[EmployeeNumber]]</f>
        <v>LAB-522</v>
      </c>
      <c r="AK394" t="str">
        <f>Lab_Data[[#This Row],[JobRole]]</f>
        <v>Research Director</v>
      </c>
      <c r="AL394" t="str">
        <f>Lab_Data[[#This Row],[Department]]</f>
        <v>Research &amp; Development</v>
      </c>
      <c r="AM394" t="str">
        <f>IF(Lab_Data[[#This Row],[Attrition]]="Yes","Failed","Completed")</f>
        <v>Completed</v>
      </c>
      <c r="AN394">
        <f>Lab_Data[[#This Row],[YearsAtCompany]]</f>
        <v>4</v>
      </c>
      <c r="AO394" t="str">
        <f>IF(Lab_Data[[#This Row],[PerformanceRating]]&gt;=3,"Approved","Review Required")</f>
        <v>Approved</v>
      </c>
    </row>
    <row r="395" spans="1:41"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t="str">
        <f>"LAB-"&amp;Lab_Data[[#This Row],[EmployeeNumber]]</f>
        <v>LAB-523</v>
      </c>
      <c r="AK395" t="str">
        <f>Lab_Data[[#This Row],[JobRole]]</f>
        <v>Sales Executive</v>
      </c>
      <c r="AL395" t="str">
        <f>Lab_Data[[#This Row],[Department]]</f>
        <v>Sales</v>
      </c>
      <c r="AM395" t="str">
        <f>IF(Lab_Data[[#This Row],[Attrition]]="Yes","Failed","Completed")</f>
        <v>Completed</v>
      </c>
      <c r="AN395">
        <f>Lab_Data[[#This Row],[YearsAtCompany]]</f>
        <v>3</v>
      </c>
      <c r="AO395" t="str">
        <f>IF(Lab_Data[[#This Row],[PerformanceRating]]&gt;=3,"Approved","Review Required")</f>
        <v>Approved</v>
      </c>
    </row>
    <row r="396" spans="1:41"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t="str">
        <f>"LAB-"&amp;Lab_Data[[#This Row],[EmployeeNumber]]</f>
        <v>LAB-524</v>
      </c>
      <c r="AK396" t="str">
        <f>Lab_Data[[#This Row],[JobRole]]</f>
        <v>Manufacturing Director</v>
      </c>
      <c r="AL396" t="str">
        <f>Lab_Data[[#This Row],[Department]]</f>
        <v>Research &amp; Development</v>
      </c>
      <c r="AM396" t="str">
        <f>IF(Lab_Data[[#This Row],[Attrition]]="Yes","Failed","Completed")</f>
        <v>Completed</v>
      </c>
      <c r="AN396">
        <f>Lab_Data[[#This Row],[YearsAtCompany]]</f>
        <v>13</v>
      </c>
      <c r="AO396" t="str">
        <f>IF(Lab_Data[[#This Row],[PerformanceRating]]&gt;=3,"Approved","Review Required")</f>
        <v>Approved</v>
      </c>
    </row>
    <row r="397" spans="1:41"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t="str">
        <f>"LAB-"&amp;Lab_Data[[#This Row],[EmployeeNumber]]</f>
        <v>LAB-525</v>
      </c>
      <c r="AK397" t="str">
        <f>Lab_Data[[#This Row],[JobRole]]</f>
        <v>Laboratory Technician</v>
      </c>
      <c r="AL397" t="str">
        <f>Lab_Data[[#This Row],[Department]]</f>
        <v>Research &amp; Development</v>
      </c>
      <c r="AM397" t="str">
        <f>IF(Lab_Data[[#This Row],[Attrition]]="Yes","Failed","Completed")</f>
        <v>Completed</v>
      </c>
      <c r="AN397">
        <f>Lab_Data[[#This Row],[YearsAtCompany]]</f>
        <v>3</v>
      </c>
      <c r="AO397" t="str">
        <f>IF(Lab_Data[[#This Row],[PerformanceRating]]&gt;=3,"Approved","Review Required")</f>
        <v>Approved</v>
      </c>
    </row>
    <row r="398" spans="1:41"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t="str">
        <f>"LAB-"&amp;Lab_Data[[#This Row],[EmployeeNumber]]</f>
        <v>LAB-526</v>
      </c>
      <c r="AK398" t="str">
        <f>Lab_Data[[#This Row],[JobRole]]</f>
        <v>Healthcare Representative</v>
      </c>
      <c r="AL398" t="str">
        <f>Lab_Data[[#This Row],[Department]]</f>
        <v>Research &amp; Development</v>
      </c>
      <c r="AM398" t="str">
        <f>IF(Lab_Data[[#This Row],[Attrition]]="Yes","Failed","Completed")</f>
        <v>Completed</v>
      </c>
      <c r="AN398">
        <f>Lab_Data[[#This Row],[YearsAtCompany]]</f>
        <v>5</v>
      </c>
      <c r="AO398" t="str">
        <f>IF(Lab_Data[[#This Row],[PerformanceRating]]&gt;=3,"Approved","Review Required")</f>
        <v>Approved</v>
      </c>
    </row>
    <row r="399" spans="1:41"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t="str">
        <f>"LAB-"&amp;Lab_Data[[#This Row],[EmployeeNumber]]</f>
        <v>LAB-527</v>
      </c>
      <c r="AK399" t="str">
        <f>Lab_Data[[#This Row],[JobRole]]</f>
        <v>Sales Executive</v>
      </c>
      <c r="AL399" t="str">
        <f>Lab_Data[[#This Row],[Department]]</f>
        <v>Sales</v>
      </c>
      <c r="AM399" t="str">
        <f>IF(Lab_Data[[#This Row],[Attrition]]="Yes","Failed","Completed")</f>
        <v>Completed</v>
      </c>
      <c r="AN399">
        <f>Lab_Data[[#This Row],[YearsAtCompany]]</f>
        <v>5</v>
      </c>
      <c r="AO399" t="str">
        <f>IF(Lab_Data[[#This Row],[PerformanceRating]]&gt;=3,"Approved","Review Required")</f>
        <v>Approved</v>
      </c>
    </row>
    <row r="400" spans="1:41"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t="str">
        <f>"LAB-"&amp;Lab_Data[[#This Row],[EmployeeNumber]]</f>
        <v>LAB-529</v>
      </c>
      <c r="AK400" t="str">
        <f>Lab_Data[[#This Row],[JobRole]]</f>
        <v>Research Scientist</v>
      </c>
      <c r="AL400" t="str">
        <f>Lab_Data[[#This Row],[Department]]</f>
        <v>Research &amp; Development</v>
      </c>
      <c r="AM400" t="str">
        <f>IF(Lab_Data[[#This Row],[Attrition]]="Yes","Failed","Completed")</f>
        <v>Completed</v>
      </c>
      <c r="AN400">
        <f>Lab_Data[[#This Row],[YearsAtCompany]]</f>
        <v>13</v>
      </c>
      <c r="AO400" t="str">
        <f>IF(Lab_Data[[#This Row],[PerformanceRating]]&gt;=3,"Approved","Review Required")</f>
        <v>Approved</v>
      </c>
    </row>
    <row r="401" spans="1:41"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t="str">
        <f>"LAB-"&amp;Lab_Data[[#This Row],[EmployeeNumber]]</f>
        <v>LAB-530</v>
      </c>
      <c r="AK401" t="str">
        <f>Lab_Data[[#This Row],[JobRole]]</f>
        <v>Laboratory Technician</v>
      </c>
      <c r="AL401" t="str">
        <f>Lab_Data[[#This Row],[Department]]</f>
        <v>Research &amp; Development</v>
      </c>
      <c r="AM401" t="str">
        <f>IF(Lab_Data[[#This Row],[Attrition]]="Yes","Failed","Completed")</f>
        <v>Completed</v>
      </c>
      <c r="AN401">
        <f>Lab_Data[[#This Row],[YearsAtCompany]]</f>
        <v>4</v>
      </c>
      <c r="AO401" t="str">
        <f>IF(Lab_Data[[#This Row],[PerformanceRating]]&gt;=3,"Approved","Review Required")</f>
        <v>Approved</v>
      </c>
    </row>
    <row r="402" spans="1:41"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t="str">
        <f>"LAB-"&amp;Lab_Data[[#This Row],[EmployeeNumber]]</f>
        <v>LAB-531</v>
      </c>
      <c r="AK402" t="str">
        <f>Lab_Data[[#This Row],[JobRole]]</f>
        <v>Manager</v>
      </c>
      <c r="AL402" t="str">
        <f>Lab_Data[[#This Row],[Department]]</f>
        <v>Research &amp; Development</v>
      </c>
      <c r="AM402" t="str">
        <f>IF(Lab_Data[[#This Row],[Attrition]]="Yes","Failed","Completed")</f>
        <v>Completed</v>
      </c>
      <c r="AN402">
        <f>Lab_Data[[#This Row],[YearsAtCompany]]</f>
        <v>21</v>
      </c>
      <c r="AO402" t="str">
        <f>IF(Lab_Data[[#This Row],[PerformanceRating]]&gt;=3,"Approved","Review Required")</f>
        <v>Approved</v>
      </c>
    </row>
    <row r="403" spans="1:41"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t="str">
        <f>"LAB-"&amp;Lab_Data[[#This Row],[EmployeeNumber]]</f>
        <v>LAB-532</v>
      </c>
      <c r="AK403" t="str">
        <f>Lab_Data[[#This Row],[JobRole]]</f>
        <v>Sales Executive</v>
      </c>
      <c r="AL403" t="str">
        <f>Lab_Data[[#This Row],[Department]]</f>
        <v>Sales</v>
      </c>
      <c r="AM403" t="str">
        <f>IF(Lab_Data[[#This Row],[Attrition]]="Yes","Failed","Completed")</f>
        <v>Completed</v>
      </c>
      <c r="AN403">
        <f>Lab_Data[[#This Row],[YearsAtCompany]]</f>
        <v>7</v>
      </c>
      <c r="AO403" t="str">
        <f>IF(Lab_Data[[#This Row],[PerformanceRating]]&gt;=3,"Approved","Review Required")</f>
        <v>Approved</v>
      </c>
    </row>
    <row r="404" spans="1:41"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t="str">
        <f>"LAB-"&amp;Lab_Data[[#This Row],[EmployeeNumber]]</f>
        <v>LAB-533</v>
      </c>
      <c r="AK404" t="str">
        <f>Lab_Data[[#This Row],[JobRole]]</f>
        <v>Sales Executive</v>
      </c>
      <c r="AL404" t="str">
        <f>Lab_Data[[#This Row],[Department]]</f>
        <v>Sales</v>
      </c>
      <c r="AM404" t="str">
        <f>IF(Lab_Data[[#This Row],[Attrition]]="Yes","Failed","Completed")</f>
        <v>Completed</v>
      </c>
      <c r="AN404">
        <f>Lab_Data[[#This Row],[YearsAtCompany]]</f>
        <v>5</v>
      </c>
      <c r="AO404" t="str">
        <f>IF(Lab_Data[[#This Row],[PerformanceRating]]&gt;=3,"Approved","Review Required")</f>
        <v>Approved</v>
      </c>
    </row>
    <row r="405" spans="1:41"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t="str">
        <f>"LAB-"&amp;Lab_Data[[#This Row],[EmployeeNumber]]</f>
        <v>LAB-534</v>
      </c>
      <c r="AK405" t="str">
        <f>Lab_Data[[#This Row],[JobRole]]</f>
        <v>Sales Executive</v>
      </c>
      <c r="AL405" t="str">
        <f>Lab_Data[[#This Row],[Department]]</f>
        <v>Sales</v>
      </c>
      <c r="AM405" t="str">
        <f>IF(Lab_Data[[#This Row],[Attrition]]="Yes","Failed","Completed")</f>
        <v>Completed</v>
      </c>
      <c r="AN405">
        <f>Lab_Data[[#This Row],[YearsAtCompany]]</f>
        <v>10</v>
      </c>
      <c r="AO405" t="str">
        <f>IF(Lab_Data[[#This Row],[PerformanceRating]]&gt;=3,"Approved","Review Required")</f>
        <v>Approved</v>
      </c>
    </row>
    <row r="406" spans="1:41"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t="str">
        <f>"LAB-"&amp;Lab_Data[[#This Row],[EmployeeNumber]]</f>
        <v>LAB-536</v>
      </c>
      <c r="AK406" t="str">
        <f>Lab_Data[[#This Row],[JobRole]]</f>
        <v>Laboratory Technician</v>
      </c>
      <c r="AL406" t="str">
        <f>Lab_Data[[#This Row],[Department]]</f>
        <v>Research &amp; Development</v>
      </c>
      <c r="AM406" t="str">
        <f>IF(Lab_Data[[#This Row],[Attrition]]="Yes","Failed","Completed")</f>
        <v>Completed</v>
      </c>
      <c r="AN406">
        <f>Lab_Data[[#This Row],[YearsAtCompany]]</f>
        <v>10</v>
      </c>
      <c r="AO406" t="str">
        <f>IF(Lab_Data[[#This Row],[PerformanceRating]]&gt;=3,"Approved","Review Required")</f>
        <v>Approved</v>
      </c>
    </row>
    <row r="407" spans="1:41"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t="str">
        <f>"LAB-"&amp;Lab_Data[[#This Row],[EmployeeNumber]]</f>
        <v>LAB-538</v>
      </c>
      <c r="AK407" t="str">
        <f>Lab_Data[[#This Row],[JobRole]]</f>
        <v>Laboratory Technician</v>
      </c>
      <c r="AL407" t="str">
        <f>Lab_Data[[#This Row],[Department]]</f>
        <v>Research &amp; Development</v>
      </c>
      <c r="AM407" t="str">
        <f>IF(Lab_Data[[#This Row],[Attrition]]="Yes","Failed","Completed")</f>
        <v>Failed</v>
      </c>
      <c r="AN407">
        <f>Lab_Data[[#This Row],[YearsAtCompany]]</f>
        <v>2</v>
      </c>
      <c r="AO407" t="str">
        <f>IF(Lab_Data[[#This Row],[PerformanceRating]]&gt;=3,"Approved","Review Required")</f>
        <v>Approved</v>
      </c>
    </row>
    <row r="408" spans="1:41"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t="str">
        <f>"LAB-"&amp;Lab_Data[[#This Row],[EmployeeNumber]]</f>
        <v>LAB-543</v>
      </c>
      <c r="AK408" t="str">
        <f>Lab_Data[[#This Row],[JobRole]]</f>
        <v>Manufacturing Director</v>
      </c>
      <c r="AL408" t="str">
        <f>Lab_Data[[#This Row],[Department]]</f>
        <v>Research &amp; Development</v>
      </c>
      <c r="AM408" t="str">
        <f>IF(Lab_Data[[#This Row],[Attrition]]="Yes","Failed","Completed")</f>
        <v>Completed</v>
      </c>
      <c r="AN408">
        <f>Lab_Data[[#This Row],[YearsAtCompany]]</f>
        <v>5</v>
      </c>
      <c r="AO408" t="str">
        <f>IF(Lab_Data[[#This Row],[PerformanceRating]]&gt;=3,"Approved","Review Required")</f>
        <v>Approved</v>
      </c>
    </row>
    <row r="409" spans="1:41"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t="str">
        <f>"LAB-"&amp;Lab_Data[[#This Row],[EmployeeNumber]]</f>
        <v>LAB-544</v>
      </c>
      <c r="AK409" t="str">
        <f>Lab_Data[[#This Row],[JobRole]]</f>
        <v>Research Scientist</v>
      </c>
      <c r="AL409" t="str">
        <f>Lab_Data[[#This Row],[Department]]</f>
        <v>Research &amp; Development</v>
      </c>
      <c r="AM409" t="str">
        <f>IF(Lab_Data[[#This Row],[Attrition]]="Yes","Failed","Completed")</f>
        <v>Completed</v>
      </c>
      <c r="AN409">
        <f>Lab_Data[[#This Row],[YearsAtCompany]]</f>
        <v>2</v>
      </c>
      <c r="AO409" t="str">
        <f>IF(Lab_Data[[#This Row],[PerformanceRating]]&gt;=3,"Approved","Review Required")</f>
        <v>Approved</v>
      </c>
    </row>
    <row r="410" spans="1:41"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t="str">
        <f>"LAB-"&amp;Lab_Data[[#This Row],[EmployeeNumber]]</f>
        <v>LAB-546</v>
      </c>
      <c r="AK410" t="str">
        <f>Lab_Data[[#This Row],[JobRole]]</f>
        <v>Manager</v>
      </c>
      <c r="AL410" t="str">
        <f>Lab_Data[[#This Row],[Department]]</f>
        <v>Research &amp; Development</v>
      </c>
      <c r="AM410" t="str">
        <f>IF(Lab_Data[[#This Row],[Attrition]]="Yes","Failed","Completed")</f>
        <v>Completed</v>
      </c>
      <c r="AN410">
        <f>Lab_Data[[#This Row],[YearsAtCompany]]</f>
        <v>5</v>
      </c>
      <c r="AO410" t="str">
        <f>IF(Lab_Data[[#This Row],[PerformanceRating]]&gt;=3,"Approved","Review Required")</f>
        <v>Approved</v>
      </c>
    </row>
    <row r="411" spans="1:41"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t="str">
        <f>"LAB-"&amp;Lab_Data[[#This Row],[EmployeeNumber]]</f>
        <v>LAB-547</v>
      </c>
      <c r="AK411" t="str">
        <f>Lab_Data[[#This Row],[JobRole]]</f>
        <v>Research Scientist</v>
      </c>
      <c r="AL411" t="str">
        <f>Lab_Data[[#This Row],[Department]]</f>
        <v>Research &amp; Development</v>
      </c>
      <c r="AM411" t="str">
        <f>IF(Lab_Data[[#This Row],[Attrition]]="Yes","Failed","Completed")</f>
        <v>Completed</v>
      </c>
      <c r="AN411">
        <f>Lab_Data[[#This Row],[YearsAtCompany]]</f>
        <v>5</v>
      </c>
      <c r="AO411" t="str">
        <f>IF(Lab_Data[[#This Row],[PerformanceRating]]&gt;=3,"Approved","Review Required")</f>
        <v>Approved</v>
      </c>
    </row>
    <row r="412" spans="1:41"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t="str">
        <f>"LAB-"&amp;Lab_Data[[#This Row],[EmployeeNumber]]</f>
        <v>LAB-548</v>
      </c>
      <c r="AK412" t="str">
        <f>Lab_Data[[#This Row],[JobRole]]</f>
        <v>Manufacturing Director</v>
      </c>
      <c r="AL412" t="str">
        <f>Lab_Data[[#This Row],[Department]]</f>
        <v>Research &amp; Development</v>
      </c>
      <c r="AM412" t="str">
        <f>IF(Lab_Data[[#This Row],[Attrition]]="Yes","Failed","Completed")</f>
        <v>Completed</v>
      </c>
      <c r="AN412">
        <f>Lab_Data[[#This Row],[YearsAtCompany]]</f>
        <v>5</v>
      </c>
      <c r="AO412" t="str">
        <f>IF(Lab_Data[[#This Row],[PerformanceRating]]&gt;=3,"Approved","Review Required")</f>
        <v>Approved</v>
      </c>
    </row>
    <row r="413" spans="1:41"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t="str">
        <f>"LAB-"&amp;Lab_Data[[#This Row],[EmployeeNumber]]</f>
        <v>LAB-549</v>
      </c>
      <c r="AK413" t="str">
        <f>Lab_Data[[#This Row],[JobRole]]</f>
        <v>Manager</v>
      </c>
      <c r="AL413" t="str">
        <f>Lab_Data[[#This Row],[Department]]</f>
        <v>Research &amp; Development</v>
      </c>
      <c r="AM413" t="str">
        <f>IF(Lab_Data[[#This Row],[Attrition]]="Yes","Failed","Completed")</f>
        <v>Completed</v>
      </c>
      <c r="AN413">
        <f>Lab_Data[[#This Row],[YearsAtCompany]]</f>
        <v>29</v>
      </c>
      <c r="AO413" t="str">
        <f>IF(Lab_Data[[#This Row],[PerformanceRating]]&gt;=3,"Approved","Review Required")</f>
        <v>Approved</v>
      </c>
    </row>
    <row r="414" spans="1:41"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t="str">
        <f>"LAB-"&amp;Lab_Data[[#This Row],[EmployeeNumber]]</f>
        <v>LAB-550</v>
      </c>
      <c r="AK414" t="str">
        <f>Lab_Data[[#This Row],[JobRole]]</f>
        <v>Manufacturing Director</v>
      </c>
      <c r="AL414" t="str">
        <f>Lab_Data[[#This Row],[Department]]</f>
        <v>Research &amp; Development</v>
      </c>
      <c r="AM414" t="str">
        <f>IF(Lab_Data[[#This Row],[Attrition]]="Yes","Failed","Completed")</f>
        <v>Completed</v>
      </c>
      <c r="AN414">
        <f>Lab_Data[[#This Row],[YearsAtCompany]]</f>
        <v>10</v>
      </c>
      <c r="AO414" t="str">
        <f>IF(Lab_Data[[#This Row],[PerformanceRating]]&gt;=3,"Approved","Review Required")</f>
        <v>Approved</v>
      </c>
    </row>
    <row r="415" spans="1:41"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t="str">
        <f>"LAB-"&amp;Lab_Data[[#This Row],[EmployeeNumber]]</f>
        <v>LAB-551</v>
      </c>
      <c r="AK415" t="str">
        <f>Lab_Data[[#This Row],[JobRole]]</f>
        <v>Healthcare Representative</v>
      </c>
      <c r="AL415" t="str">
        <f>Lab_Data[[#This Row],[Department]]</f>
        <v>Research &amp; Development</v>
      </c>
      <c r="AM415" t="str">
        <f>IF(Lab_Data[[#This Row],[Attrition]]="Yes","Failed","Completed")</f>
        <v>Completed</v>
      </c>
      <c r="AN415">
        <f>Lab_Data[[#This Row],[YearsAtCompany]]</f>
        <v>6</v>
      </c>
      <c r="AO415" t="str">
        <f>IF(Lab_Data[[#This Row],[PerformanceRating]]&gt;=3,"Approved","Review Required")</f>
        <v>Approved</v>
      </c>
    </row>
    <row r="416" spans="1:41"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t="str">
        <f>"LAB-"&amp;Lab_Data[[#This Row],[EmployeeNumber]]</f>
        <v>LAB-554</v>
      </c>
      <c r="AK416" t="str">
        <f>Lab_Data[[#This Row],[JobRole]]</f>
        <v>Sales Representative</v>
      </c>
      <c r="AL416" t="str">
        <f>Lab_Data[[#This Row],[Department]]</f>
        <v>Sales</v>
      </c>
      <c r="AM416" t="str">
        <f>IF(Lab_Data[[#This Row],[Attrition]]="Yes","Failed","Completed")</f>
        <v>Failed</v>
      </c>
      <c r="AN416">
        <f>Lab_Data[[#This Row],[YearsAtCompany]]</f>
        <v>5</v>
      </c>
      <c r="AO416" t="str">
        <f>IF(Lab_Data[[#This Row],[PerformanceRating]]&gt;=3,"Approved","Review Required")</f>
        <v>Approved</v>
      </c>
    </row>
    <row r="417" spans="1:41"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t="str">
        <f>"LAB-"&amp;Lab_Data[[#This Row],[EmployeeNumber]]</f>
        <v>LAB-555</v>
      </c>
      <c r="AK417" t="str">
        <f>Lab_Data[[#This Row],[JobRole]]</f>
        <v>Sales Representative</v>
      </c>
      <c r="AL417" t="str">
        <f>Lab_Data[[#This Row],[Department]]</f>
        <v>Sales</v>
      </c>
      <c r="AM417" t="str">
        <f>IF(Lab_Data[[#This Row],[Attrition]]="Yes","Failed","Completed")</f>
        <v>Failed</v>
      </c>
      <c r="AN417">
        <f>Lab_Data[[#This Row],[YearsAtCompany]]</f>
        <v>2</v>
      </c>
      <c r="AO417" t="str">
        <f>IF(Lab_Data[[#This Row],[PerformanceRating]]&gt;=3,"Approved","Review Required")</f>
        <v>Approved</v>
      </c>
    </row>
    <row r="418" spans="1:41"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t="str">
        <f>"LAB-"&amp;Lab_Data[[#This Row],[EmployeeNumber]]</f>
        <v>LAB-556</v>
      </c>
      <c r="AK418" t="str">
        <f>Lab_Data[[#This Row],[JobRole]]</f>
        <v>Laboratory Technician</v>
      </c>
      <c r="AL418" t="str">
        <f>Lab_Data[[#This Row],[Department]]</f>
        <v>Research &amp; Development</v>
      </c>
      <c r="AM418" t="str">
        <f>IF(Lab_Data[[#This Row],[Attrition]]="Yes","Failed","Completed")</f>
        <v>Completed</v>
      </c>
      <c r="AN418">
        <f>Lab_Data[[#This Row],[YearsAtCompany]]</f>
        <v>1</v>
      </c>
      <c r="AO418" t="str">
        <f>IF(Lab_Data[[#This Row],[PerformanceRating]]&gt;=3,"Approved","Review Required")</f>
        <v>Approved</v>
      </c>
    </row>
    <row r="419" spans="1:41"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t="str">
        <f>"LAB-"&amp;Lab_Data[[#This Row],[EmployeeNumber]]</f>
        <v>LAB-558</v>
      </c>
      <c r="AK419" t="str">
        <f>Lab_Data[[#This Row],[JobRole]]</f>
        <v>Manager</v>
      </c>
      <c r="AL419" t="str">
        <f>Lab_Data[[#This Row],[Department]]</f>
        <v>Sales</v>
      </c>
      <c r="AM419" t="str">
        <f>IF(Lab_Data[[#This Row],[Attrition]]="Yes","Failed","Completed")</f>
        <v>Completed</v>
      </c>
      <c r="AN419">
        <f>Lab_Data[[#This Row],[YearsAtCompany]]</f>
        <v>20</v>
      </c>
      <c r="AO419" t="str">
        <f>IF(Lab_Data[[#This Row],[PerformanceRating]]&gt;=3,"Approved","Review Required")</f>
        <v>Approved</v>
      </c>
    </row>
    <row r="420" spans="1:41"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t="str">
        <f>"LAB-"&amp;Lab_Data[[#This Row],[EmployeeNumber]]</f>
        <v>LAB-560</v>
      </c>
      <c r="AK420" t="str">
        <f>Lab_Data[[#This Row],[JobRole]]</f>
        <v>Research Scientist</v>
      </c>
      <c r="AL420" t="str">
        <f>Lab_Data[[#This Row],[Department]]</f>
        <v>Research &amp; Development</v>
      </c>
      <c r="AM420" t="str">
        <f>IF(Lab_Data[[#This Row],[Attrition]]="Yes","Failed","Completed")</f>
        <v>Completed</v>
      </c>
      <c r="AN420">
        <f>Lab_Data[[#This Row],[YearsAtCompany]]</f>
        <v>3</v>
      </c>
      <c r="AO420" t="str">
        <f>IF(Lab_Data[[#This Row],[PerformanceRating]]&gt;=3,"Approved","Review Required")</f>
        <v>Approved</v>
      </c>
    </row>
    <row r="421" spans="1:41"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t="str">
        <f>"LAB-"&amp;Lab_Data[[#This Row],[EmployeeNumber]]</f>
        <v>LAB-562</v>
      </c>
      <c r="AK421" t="str">
        <f>Lab_Data[[#This Row],[JobRole]]</f>
        <v>Laboratory Technician</v>
      </c>
      <c r="AL421" t="str">
        <f>Lab_Data[[#This Row],[Department]]</f>
        <v>Research &amp; Development</v>
      </c>
      <c r="AM421" t="str">
        <f>IF(Lab_Data[[#This Row],[Attrition]]="Yes","Failed","Completed")</f>
        <v>Completed</v>
      </c>
      <c r="AN421">
        <f>Lab_Data[[#This Row],[YearsAtCompany]]</f>
        <v>5</v>
      </c>
      <c r="AO421" t="str">
        <f>IF(Lab_Data[[#This Row],[PerformanceRating]]&gt;=3,"Approved","Review Required")</f>
        <v>Approved</v>
      </c>
    </row>
    <row r="422" spans="1:41"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t="str">
        <f>"LAB-"&amp;Lab_Data[[#This Row],[EmployeeNumber]]</f>
        <v>LAB-564</v>
      </c>
      <c r="AK422" t="str">
        <f>Lab_Data[[#This Row],[JobRole]]</f>
        <v>Research Director</v>
      </c>
      <c r="AL422" t="str">
        <f>Lab_Data[[#This Row],[Department]]</f>
        <v>Research &amp; Development</v>
      </c>
      <c r="AM422" t="str">
        <f>IF(Lab_Data[[#This Row],[Attrition]]="Yes","Failed","Completed")</f>
        <v>Completed</v>
      </c>
      <c r="AN422">
        <f>Lab_Data[[#This Row],[YearsAtCompany]]</f>
        <v>10</v>
      </c>
      <c r="AO422" t="str">
        <f>IF(Lab_Data[[#This Row],[PerformanceRating]]&gt;=3,"Approved","Review Required")</f>
        <v>Approved</v>
      </c>
    </row>
    <row r="423" spans="1:41"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t="str">
        <f>"LAB-"&amp;Lab_Data[[#This Row],[EmployeeNumber]]</f>
        <v>LAB-565</v>
      </c>
      <c r="AK423" t="str">
        <f>Lab_Data[[#This Row],[JobRole]]</f>
        <v>Research Scientist</v>
      </c>
      <c r="AL423" t="str">
        <f>Lab_Data[[#This Row],[Department]]</f>
        <v>Research &amp; Development</v>
      </c>
      <c r="AM423" t="str">
        <f>IF(Lab_Data[[#This Row],[Attrition]]="Yes","Failed","Completed")</f>
        <v>Failed</v>
      </c>
      <c r="AN423">
        <f>Lab_Data[[#This Row],[YearsAtCompany]]</f>
        <v>2</v>
      </c>
      <c r="AO423" t="str">
        <f>IF(Lab_Data[[#This Row],[PerformanceRating]]&gt;=3,"Approved","Review Required")</f>
        <v>Approved</v>
      </c>
    </row>
    <row r="424" spans="1:41"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t="str">
        <f>"LAB-"&amp;Lab_Data[[#This Row],[EmployeeNumber]]</f>
        <v>LAB-566</v>
      </c>
      <c r="AK424" t="str">
        <f>Lab_Data[[#This Row],[JobRole]]</f>
        <v>Human Resources</v>
      </c>
      <c r="AL424" t="str">
        <f>Lab_Data[[#This Row],[Department]]</f>
        <v>Human Resources</v>
      </c>
      <c r="AM424" t="str">
        <f>IF(Lab_Data[[#This Row],[Attrition]]="Yes","Failed","Completed")</f>
        <v>Failed</v>
      </c>
      <c r="AN424">
        <f>Lab_Data[[#This Row],[YearsAtCompany]]</f>
        <v>1</v>
      </c>
      <c r="AO424" t="str">
        <f>IF(Lab_Data[[#This Row],[PerformanceRating]]&gt;=3,"Approved","Review Required")</f>
        <v>Approved</v>
      </c>
    </row>
    <row r="425" spans="1:41"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t="str">
        <f>"LAB-"&amp;Lab_Data[[#This Row],[EmployeeNumber]]</f>
        <v>LAB-567</v>
      </c>
      <c r="AK425" t="str">
        <f>Lab_Data[[#This Row],[JobRole]]</f>
        <v>Sales Executive</v>
      </c>
      <c r="AL425" t="str">
        <f>Lab_Data[[#This Row],[Department]]</f>
        <v>Sales</v>
      </c>
      <c r="AM425" t="str">
        <f>IF(Lab_Data[[#This Row],[Attrition]]="Yes","Failed","Completed")</f>
        <v>Completed</v>
      </c>
      <c r="AN425">
        <f>Lab_Data[[#This Row],[YearsAtCompany]]</f>
        <v>9</v>
      </c>
      <c r="AO425" t="str">
        <f>IF(Lab_Data[[#This Row],[PerformanceRating]]&gt;=3,"Approved","Review Required")</f>
        <v>Approved</v>
      </c>
    </row>
    <row r="426" spans="1:41"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t="str">
        <f>"LAB-"&amp;Lab_Data[[#This Row],[EmployeeNumber]]</f>
        <v>LAB-568</v>
      </c>
      <c r="AK426" t="str">
        <f>Lab_Data[[#This Row],[JobRole]]</f>
        <v>Manager</v>
      </c>
      <c r="AL426" t="str">
        <f>Lab_Data[[#This Row],[Department]]</f>
        <v>Sales</v>
      </c>
      <c r="AM426" t="str">
        <f>IF(Lab_Data[[#This Row],[Attrition]]="Yes","Failed","Completed")</f>
        <v>Completed</v>
      </c>
      <c r="AN426">
        <f>Lab_Data[[#This Row],[YearsAtCompany]]</f>
        <v>1</v>
      </c>
      <c r="AO426" t="str">
        <f>IF(Lab_Data[[#This Row],[PerformanceRating]]&gt;=3,"Approved","Review Required")</f>
        <v>Approved</v>
      </c>
    </row>
    <row r="427" spans="1:41"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t="str">
        <f>"LAB-"&amp;Lab_Data[[#This Row],[EmployeeNumber]]</f>
        <v>LAB-569</v>
      </c>
      <c r="AK427" t="str">
        <f>Lab_Data[[#This Row],[JobRole]]</f>
        <v>Manager</v>
      </c>
      <c r="AL427" t="str">
        <f>Lab_Data[[#This Row],[Department]]</f>
        <v>Research &amp; Development</v>
      </c>
      <c r="AM427" t="str">
        <f>IF(Lab_Data[[#This Row],[Attrition]]="Yes","Failed","Completed")</f>
        <v>Completed</v>
      </c>
      <c r="AN427">
        <f>Lab_Data[[#This Row],[YearsAtCompany]]</f>
        <v>27</v>
      </c>
      <c r="AO427" t="str">
        <f>IF(Lab_Data[[#This Row],[PerformanceRating]]&gt;=3,"Approved","Review Required")</f>
        <v>Approved</v>
      </c>
    </row>
    <row r="428" spans="1:41"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t="str">
        <f>"LAB-"&amp;Lab_Data[[#This Row],[EmployeeNumber]]</f>
        <v>LAB-571</v>
      </c>
      <c r="AK428" t="str">
        <f>Lab_Data[[#This Row],[JobRole]]</f>
        <v>Laboratory Technician</v>
      </c>
      <c r="AL428" t="str">
        <f>Lab_Data[[#This Row],[Department]]</f>
        <v>Research &amp; Development</v>
      </c>
      <c r="AM428" t="str">
        <f>IF(Lab_Data[[#This Row],[Attrition]]="Yes","Failed","Completed")</f>
        <v>Completed</v>
      </c>
      <c r="AN428">
        <f>Lab_Data[[#This Row],[YearsAtCompany]]</f>
        <v>11</v>
      </c>
      <c r="AO428" t="str">
        <f>IF(Lab_Data[[#This Row],[PerformanceRating]]&gt;=3,"Approved","Review Required")</f>
        <v>Approved</v>
      </c>
    </row>
    <row r="429" spans="1:41"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t="str">
        <f>"LAB-"&amp;Lab_Data[[#This Row],[EmployeeNumber]]</f>
        <v>LAB-573</v>
      </c>
      <c r="AK429" t="str">
        <f>Lab_Data[[#This Row],[JobRole]]</f>
        <v>Sales Executive</v>
      </c>
      <c r="AL429" t="str">
        <f>Lab_Data[[#This Row],[Department]]</f>
        <v>Sales</v>
      </c>
      <c r="AM429" t="str">
        <f>IF(Lab_Data[[#This Row],[Attrition]]="Yes","Failed","Completed")</f>
        <v>Completed</v>
      </c>
      <c r="AN429">
        <f>Lab_Data[[#This Row],[YearsAtCompany]]</f>
        <v>18</v>
      </c>
      <c r="AO429" t="str">
        <f>IF(Lab_Data[[#This Row],[PerformanceRating]]&gt;=3,"Approved","Review Required")</f>
        <v>Approved</v>
      </c>
    </row>
    <row r="430" spans="1:41"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t="str">
        <f>"LAB-"&amp;Lab_Data[[#This Row],[EmployeeNumber]]</f>
        <v>LAB-574</v>
      </c>
      <c r="AK430" t="str">
        <f>Lab_Data[[#This Row],[JobRole]]</f>
        <v>Manufacturing Director</v>
      </c>
      <c r="AL430" t="str">
        <f>Lab_Data[[#This Row],[Department]]</f>
        <v>Research &amp; Development</v>
      </c>
      <c r="AM430" t="str">
        <f>IF(Lab_Data[[#This Row],[Attrition]]="Yes","Failed","Completed")</f>
        <v>Completed</v>
      </c>
      <c r="AN430">
        <f>Lab_Data[[#This Row],[YearsAtCompany]]</f>
        <v>5</v>
      </c>
      <c r="AO430" t="str">
        <f>IF(Lab_Data[[#This Row],[PerformanceRating]]&gt;=3,"Approved","Review Required")</f>
        <v>Approved</v>
      </c>
    </row>
    <row r="431" spans="1:41"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t="str">
        <f>"LAB-"&amp;Lab_Data[[#This Row],[EmployeeNumber]]</f>
        <v>LAB-575</v>
      </c>
      <c r="AK431" t="str">
        <f>Lab_Data[[#This Row],[JobRole]]</f>
        <v>Research Director</v>
      </c>
      <c r="AL431" t="str">
        <f>Lab_Data[[#This Row],[Department]]</f>
        <v>Research &amp; Development</v>
      </c>
      <c r="AM431" t="str">
        <f>IF(Lab_Data[[#This Row],[Attrition]]="Yes","Failed","Completed")</f>
        <v>Completed</v>
      </c>
      <c r="AN431">
        <f>Lab_Data[[#This Row],[YearsAtCompany]]</f>
        <v>3</v>
      </c>
      <c r="AO431" t="str">
        <f>IF(Lab_Data[[#This Row],[PerformanceRating]]&gt;=3,"Approved","Review Required")</f>
        <v>Approved</v>
      </c>
    </row>
    <row r="432" spans="1:41"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t="str">
        <f>"LAB-"&amp;Lab_Data[[#This Row],[EmployeeNumber]]</f>
        <v>LAB-577</v>
      </c>
      <c r="AK432" t="str">
        <f>Lab_Data[[#This Row],[JobRole]]</f>
        <v>Laboratory Technician</v>
      </c>
      <c r="AL432" t="str">
        <f>Lab_Data[[#This Row],[Department]]</f>
        <v>Research &amp; Development</v>
      </c>
      <c r="AM432" t="str">
        <f>IF(Lab_Data[[#This Row],[Attrition]]="Yes","Failed","Completed")</f>
        <v>Completed</v>
      </c>
      <c r="AN432">
        <f>Lab_Data[[#This Row],[YearsAtCompany]]</f>
        <v>5</v>
      </c>
      <c r="AO432" t="str">
        <f>IF(Lab_Data[[#This Row],[PerformanceRating]]&gt;=3,"Approved","Review Required")</f>
        <v>Approved</v>
      </c>
    </row>
    <row r="433" spans="1:41"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t="str">
        <f>"LAB-"&amp;Lab_Data[[#This Row],[EmployeeNumber]]</f>
        <v>LAB-578</v>
      </c>
      <c r="AK433" t="str">
        <f>Lab_Data[[#This Row],[JobRole]]</f>
        <v>Laboratory Technician</v>
      </c>
      <c r="AL433" t="str">
        <f>Lab_Data[[#This Row],[Department]]</f>
        <v>Research &amp; Development</v>
      </c>
      <c r="AM433" t="str">
        <f>IF(Lab_Data[[#This Row],[Attrition]]="Yes","Failed","Completed")</f>
        <v>Completed</v>
      </c>
      <c r="AN433">
        <f>Lab_Data[[#This Row],[YearsAtCompany]]</f>
        <v>1</v>
      </c>
      <c r="AO433" t="str">
        <f>IF(Lab_Data[[#This Row],[PerformanceRating]]&gt;=3,"Approved","Review Required")</f>
        <v>Approved</v>
      </c>
    </row>
    <row r="434" spans="1:41"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t="str">
        <f>"LAB-"&amp;Lab_Data[[#This Row],[EmployeeNumber]]</f>
        <v>LAB-579</v>
      </c>
      <c r="AK434" t="str">
        <f>Lab_Data[[#This Row],[JobRole]]</f>
        <v>Research Scientist</v>
      </c>
      <c r="AL434" t="str">
        <f>Lab_Data[[#This Row],[Department]]</f>
        <v>Research &amp; Development</v>
      </c>
      <c r="AM434" t="str">
        <f>IF(Lab_Data[[#This Row],[Attrition]]="Yes","Failed","Completed")</f>
        <v>Completed</v>
      </c>
      <c r="AN434">
        <f>Lab_Data[[#This Row],[YearsAtCompany]]</f>
        <v>7</v>
      </c>
      <c r="AO434" t="str">
        <f>IF(Lab_Data[[#This Row],[PerformanceRating]]&gt;=3,"Approved","Review Required")</f>
        <v>Approved</v>
      </c>
    </row>
    <row r="435" spans="1:41"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t="str">
        <f>"LAB-"&amp;Lab_Data[[#This Row],[EmployeeNumber]]</f>
        <v>LAB-580</v>
      </c>
      <c r="AK435" t="str">
        <f>Lab_Data[[#This Row],[JobRole]]</f>
        <v>Sales Executive</v>
      </c>
      <c r="AL435" t="str">
        <f>Lab_Data[[#This Row],[Department]]</f>
        <v>Sales</v>
      </c>
      <c r="AM435" t="str">
        <f>IF(Lab_Data[[#This Row],[Attrition]]="Yes","Failed","Completed")</f>
        <v>Completed</v>
      </c>
      <c r="AN435">
        <f>Lab_Data[[#This Row],[YearsAtCompany]]</f>
        <v>3</v>
      </c>
      <c r="AO435" t="str">
        <f>IF(Lab_Data[[#This Row],[PerformanceRating]]&gt;=3,"Approved","Review Required")</f>
        <v>Approved</v>
      </c>
    </row>
    <row r="436" spans="1:41"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t="str">
        <f>"LAB-"&amp;Lab_Data[[#This Row],[EmployeeNumber]]</f>
        <v>LAB-581</v>
      </c>
      <c r="AK436" t="str">
        <f>Lab_Data[[#This Row],[JobRole]]</f>
        <v>Manufacturing Director</v>
      </c>
      <c r="AL436" t="str">
        <f>Lab_Data[[#This Row],[Department]]</f>
        <v>Research &amp; Development</v>
      </c>
      <c r="AM436" t="str">
        <f>IF(Lab_Data[[#This Row],[Attrition]]="Yes","Failed","Completed")</f>
        <v>Completed</v>
      </c>
      <c r="AN436">
        <f>Lab_Data[[#This Row],[YearsAtCompany]]</f>
        <v>13</v>
      </c>
      <c r="AO436" t="str">
        <f>IF(Lab_Data[[#This Row],[PerformanceRating]]&gt;=3,"Approved","Review Required")</f>
        <v>Approved</v>
      </c>
    </row>
    <row r="437" spans="1:41"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t="str">
        <f>"LAB-"&amp;Lab_Data[[#This Row],[EmployeeNumber]]</f>
        <v>LAB-582</v>
      </c>
      <c r="AK437" t="str">
        <f>Lab_Data[[#This Row],[JobRole]]</f>
        <v>Manager</v>
      </c>
      <c r="AL437" t="str">
        <f>Lab_Data[[#This Row],[Department]]</f>
        <v>Research &amp; Development</v>
      </c>
      <c r="AM437" t="str">
        <f>IF(Lab_Data[[#This Row],[Attrition]]="Yes","Failed","Completed")</f>
        <v>Failed</v>
      </c>
      <c r="AN437">
        <f>Lab_Data[[#This Row],[YearsAtCompany]]</f>
        <v>7</v>
      </c>
      <c r="AO437" t="str">
        <f>IF(Lab_Data[[#This Row],[PerformanceRating]]&gt;=3,"Approved","Review Required")</f>
        <v>Approved</v>
      </c>
    </row>
    <row r="438" spans="1:41"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t="str">
        <f>"LAB-"&amp;Lab_Data[[#This Row],[EmployeeNumber]]</f>
        <v>LAB-584</v>
      </c>
      <c r="AK438" t="str">
        <f>Lab_Data[[#This Row],[JobRole]]</f>
        <v>Laboratory Technician</v>
      </c>
      <c r="AL438" t="str">
        <f>Lab_Data[[#This Row],[Department]]</f>
        <v>Research &amp; Development</v>
      </c>
      <c r="AM438" t="str">
        <f>IF(Lab_Data[[#This Row],[Attrition]]="Yes","Failed","Completed")</f>
        <v>Failed</v>
      </c>
      <c r="AN438">
        <f>Lab_Data[[#This Row],[YearsAtCompany]]</f>
        <v>4</v>
      </c>
      <c r="AO438" t="str">
        <f>IF(Lab_Data[[#This Row],[PerformanceRating]]&gt;=3,"Approved","Review Required")</f>
        <v>Approved</v>
      </c>
    </row>
    <row r="439" spans="1:41"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t="str">
        <f>"LAB-"&amp;Lab_Data[[#This Row],[EmployeeNumber]]</f>
        <v>LAB-585</v>
      </c>
      <c r="AK439" t="str">
        <f>Lab_Data[[#This Row],[JobRole]]</f>
        <v>Sales Representative</v>
      </c>
      <c r="AL439" t="str">
        <f>Lab_Data[[#This Row],[Department]]</f>
        <v>Sales</v>
      </c>
      <c r="AM439" t="str">
        <f>IF(Lab_Data[[#This Row],[Attrition]]="Yes","Failed","Completed")</f>
        <v>Completed</v>
      </c>
      <c r="AN439">
        <f>Lab_Data[[#This Row],[YearsAtCompany]]</f>
        <v>3</v>
      </c>
      <c r="AO439" t="str">
        <f>IF(Lab_Data[[#This Row],[PerformanceRating]]&gt;=3,"Approved","Review Required")</f>
        <v>Approved</v>
      </c>
    </row>
    <row r="440" spans="1:41"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t="str">
        <f>"LAB-"&amp;Lab_Data[[#This Row],[EmployeeNumber]]</f>
        <v>LAB-586</v>
      </c>
      <c r="AK440" t="str">
        <f>Lab_Data[[#This Row],[JobRole]]</f>
        <v>Healthcare Representative</v>
      </c>
      <c r="AL440" t="str">
        <f>Lab_Data[[#This Row],[Department]]</f>
        <v>Research &amp; Development</v>
      </c>
      <c r="AM440" t="str">
        <f>IF(Lab_Data[[#This Row],[Attrition]]="Yes","Failed","Completed")</f>
        <v>Completed</v>
      </c>
      <c r="AN440">
        <f>Lab_Data[[#This Row],[YearsAtCompany]]</f>
        <v>8</v>
      </c>
      <c r="AO440" t="str">
        <f>IF(Lab_Data[[#This Row],[PerformanceRating]]&gt;=3,"Approved","Review Required")</f>
        <v>Approved</v>
      </c>
    </row>
    <row r="441" spans="1:41"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t="str">
        <f>"LAB-"&amp;Lab_Data[[#This Row],[EmployeeNumber]]</f>
        <v>LAB-587</v>
      </c>
      <c r="AK441" t="str">
        <f>Lab_Data[[#This Row],[JobRole]]</f>
        <v>Healthcare Representative</v>
      </c>
      <c r="AL441" t="str">
        <f>Lab_Data[[#This Row],[Department]]</f>
        <v>Research &amp; Development</v>
      </c>
      <c r="AM441" t="str">
        <f>IF(Lab_Data[[#This Row],[Attrition]]="Yes","Failed","Completed")</f>
        <v>Failed</v>
      </c>
      <c r="AN441">
        <f>Lab_Data[[#This Row],[YearsAtCompany]]</f>
        <v>1</v>
      </c>
      <c r="AO441" t="str">
        <f>IF(Lab_Data[[#This Row],[PerformanceRating]]&gt;=3,"Approved","Review Required")</f>
        <v>Approved</v>
      </c>
    </row>
    <row r="442" spans="1:41"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t="str">
        <f>"LAB-"&amp;Lab_Data[[#This Row],[EmployeeNumber]]</f>
        <v>LAB-590</v>
      </c>
      <c r="AK442" t="str">
        <f>Lab_Data[[#This Row],[JobRole]]</f>
        <v>Human Resources</v>
      </c>
      <c r="AL442" t="str">
        <f>Lab_Data[[#This Row],[Department]]</f>
        <v>Human Resources</v>
      </c>
      <c r="AM442" t="str">
        <f>IF(Lab_Data[[#This Row],[Attrition]]="Yes","Failed","Completed")</f>
        <v>Failed</v>
      </c>
      <c r="AN442">
        <f>Lab_Data[[#This Row],[YearsAtCompany]]</f>
        <v>3</v>
      </c>
      <c r="AO442" t="str">
        <f>IF(Lab_Data[[#This Row],[PerformanceRating]]&gt;=3,"Approved","Review Required")</f>
        <v>Approved</v>
      </c>
    </row>
    <row r="443" spans="1:41"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t="str">
        <f>"LAB-"&amp;Lab_Data[[#This Row],[EmployeeNumber]]</f>
        <v>LAB-591</v>
      </c>
      <c r="AK443" t="str">
        <f>Lab_Data[[#This Row],[JobRole]]</f>
        <v>Laboratory Technician</v>
      </c>
      <c r="AL443" t="str">
        <f>Lab_Data[[#This Row],[Department]]</f>
        <v>Research &amp; Development</v>
      </c>
      <c r="AM443" t="str">
        <f>IF(Lab_Data[[#This Row],[Attrition]]="Yes","Failed","Completed")</f>
        <v>Completed</v>
      </c>
      <c r="AN443">
        <f>Lab_Data[[#This Row],[YearsAtCompany]]</f>
        <v>2</v>
      </c>
      <c r="AO443" t="str">
        <f>IF(Lab_Data[[#This Row],[PerformanceRating]]&gt;=3,"Approved","Review Required")</f>
        <v>Approved</v>
      </c>
    </row>
    <row r="444" spans="1:41"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t="str">
        <f>"LAB-"&amp;Lab_Data[[#This Row],[EmployeeNumber]]</f>
        <v>LAB-592</v>
      </c>
      <c r="AK444" t="str">
        <f>Lab_Data[[#This Row],[JobRole]]</f>
        <v>Sales Executive</v>
      </c>
      <c r="AL444" t="str">
        <f>Lab_Data[[#This Row],[Department]]</f>
        <v>Sales</v>
      </c>
      <c r="AM444" t="str">
        <f>IF(Lab_Data[[#This Row],[Attrition]]="Yes","Failed","Completed")</f>
        <v>Completed</v>
      </c>
      <c r="AN444">
        <f>Lab_Data[[#This Row],[YearsAtCompany]]</f>
        <v>10</v>
      </c>
      <c r="AO444" t="str">
        <f>IF(Lab_Data[[#This Row],[PerformanceRating]]&gt;=3,"Approved","Review Required")</f>
        <v>Approved</v>
      </c>
    </row>
    <row r="445" spans="1:41"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t="str">
        <f>"LAB-"&amp;Lab_Data[[#This Row],[EmployeeNumber]]</f>
        <v>LAB-593</v>
      </c>
      <c r="AK445" t="str">
        <f>Lab_Data[[#This Row],[JobRole]]</f>
        <v>Laboratory Technician</v>
      </c>
      <c r="AL445" t="str">
        <f>Lab_Data[[#This Row],[Department]]</f>
        <v>Research &amp; Development</v>
      </c>
      <c r="AM445" t="str">
        <f>IF(Lab_Data[[#This Row],[Attrition]]="Yes","Failed","Completed")</f>
        <v>Failed</v>
      </c>
      <c r="AN445">
        <f>Lab_Data[[#This Row],[YearsAtCompany]]</f>
        <v>2</v>
      </c>
      <c r="AO445" t="str">
        <f>IF(Lab_Data[[#This Row],[PerformanceRating]]&gt;=3,"Approved","Review Required")</f>
        <v>Approved</v>
      </c>
    </row>
    <row r="446" spans="1:41"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t="str">
        <f>"LAB-"&amp;Lab_Data[[#This Row],[EmployeeNumber]]</f>
        <v>LAB-595</v>
      </c>
      <c r="AK446" t="str">
        <f>Lab_Data[[#This Row],[JobRole]]</f>
        <v>Sales Executive</v>
      </c>
      <c r="AL446" t="str">
        <f>Lab_Data[[#This Row],[Department]]</f>
        <v>Sales</v>
      </c>
      <c r="AM446" t="str">
        <f>IF(Lab_Data[[#This Row],[Attrition]]="Yes","Failed","Completed")</f>
        <v>Completed</v>
      </c>
      <c r="AN446">
        <f>Lab_Data[[#This Row],[YearsAtCompany]]</f>
        <v>9</v>
      </c>
      <c r="AO446" t="str">
        <f>IF(Lab_Data[[#This Row],[PerformanceRating]]&gt;=3,"Approved","Review Required")</f>
        <v>Approved</v>
      </c>
    </row>
    <row r="447" spans="1:41"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t="str">
        <f>"LAB-"&amp;Lab_Data[[#This Row],[EmployeeNumber]]</f>
        <v>LAB-597</v>
      </c>
      <c r="AK447" t="str">
        <f>Lab_Data[[#This Row],[JobRole]]</f>
        <v>Manager</v>
      </c>
      <c r="AL447" t="str">
        <f>Lab_Data[[#This Row],[Department]]</f>
        <v>Sales</v>
      </c>
      <c r="AM447" t="str">
        <f>IF(Lab_Data[[#This Row],[Attrition]]="Yes","Failed","Completed")</f>
        <v>Completed</v>
      </c>
      <c r="AN447">
        <f>Lab_Data[[#This Row],[YearsAtCompany]]</f>
        <v>10</v>
      </c>
      <c r="AO447" t="str">
        <f>IF(Lab_Data[[#This Row],[PerformanceRating]]&gt;=3,"Approved","Review Required")</f>
        <v>Approved</v>
      </c>
    </row>
    <row r="448" spans="1:41"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t="str">
        <f>"LAB-"&amp;Lab_Data[[#This Row],[EmployeeNumber]]</f>
        <v>LAB-599</v>
      </c>
      <c r="AK448" t="str">
        <f>Lab_Data[[#This Row],[JobRole]]</f>
        <v>Sales Executive</v>
      </c>
      <c r="AL448" t="str">
        <f>Lab_Data[[#This Row],[Department]]</f>
        <v>Sales</v>
      </c>
      <c r="AM448" t="str">
        <f>IF(Lab_Data[[#This Row],[Attrition]]="Yes","Failed","Completed")</f>
        <v>Completed</v>
      </c>
      <c r="AN448">
        <f>Lab_Data[[#This Row],[YearsAtCompany]]</f>
        <v>14</v>
      </c>
      <c r="AO448" t="str">
        <f>IF(Lab_Data[[#This Row],[PerformanceRating]]&gt;=3,"Approved","Review Required")</f>
        <v>Approved</v>
      </c>
    </row>
    <row r="449" spans="1:41"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t="str">
        <f>"LAB-"&amp;Lab_Data[[#This Row],[EmployeeNumber]]</f>
        <v>LAB-600</v>
      </c>
      <c r="AK449" t="str">
        <f>Lab_Data[[#This Row],[JobRole]]</f>
        <v>Sales Executive</v>
      </c>
      <c r="AL449" t="str">
        <f>Lab_Data[[#This Row],[Department]]</f>
        <v>Sales</v>
      </c>
      <c r="AM449" t="str">
        <f>IF(Lab_Data[[#This Row],[Attrition]]="Yes","Failed","Completed")</f>
        <v>Completed</v>
      </c>
      <c r="AN449">
        <f>Lab_Data[[#This Row],[YearsAtCompany]]</f>
        <v>11</v>
      </c>
      <c r="AO449" t="str">
        <f>IF(Lab_Data[[#This Row],[PerformanceRating]]&gt;=3,"Approved","Review Required")</f>
        <v>Approved</v>
      </c>
    </row>
    <row r="450" spans="1:41"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t="str">
        <f>"LAB-"&amp;Lab_Data[[#This Row],[EmployeeNumber]]</f>
        <v>LAB-601</v>
      </c>
      <c r="AK450" t="str">
        <f>Lab_Data[[#This Row],[JobRole]]</f>
        <v>Manufacturing Director</v>
      </c>
      <c r="AL450" t="str">
        <f>Lab_Data[[#This Row],[Department]]</f>
        <v>Research &amp; Development</v>
      </c>
      <c r="AM450" t="str">
        <f>IF(Lab_Data[[#This Row],[Attrition]]="Yes","Failed","Completed")</f>
        <v>Completed</v>
      </c>
      <c r="AN450">
        <f>Lab_Data[[#This Row],[YearsAtCompany]]</f>
        <v>20</v>
      </c>
      <c r="AO450" t="str">
        <f>IF(Lab_Data[[#This Row],[PerformanceRating]]&gt;=3,"Approved","Review Required")</f>
        <v>Approved</v>
      </c>
    </row>
    <row r="451" spans="1:41"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t="str">
        <f>"LAB-"&amp;Lab_Data[[#This Row],[EmployeeNumber]]</f>
        <v>LAB-602</v>
      </c>
      <c r="AK451" t="str">
        <f>Lab_Data[[#This Row],[JobRole]]</f>
        <v>Laboratory Technician</v>
      </c>
      <c r="AL451" t="str">
        <f>Lab_Data[[#This Row],[Department]]</f>
        <v>Research &amp; Development</v>
      </c>
      <c r="AM451" t="str">
        <f>IF(Lab_Data[[#This Row],[Attrition]]="Yes","Failed","Completed")</f>
        <v>Completed</v>
      </c>
      <c r="AN451">
        <f>Lab_Data[[#This Row],[YearsAtCompany]]</f>
        <v>8</v>
      </c>
      <c r="AO451" t="str">
        <f>IF(Lab_Data[[#This Row],[PerformanceRating]]&gt;=3,"Approved","Review Required")</f>
        <v>Approved</v>
      </c>
    </row>
    <row r="452" spans="1:41"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t="str">
        <f>"LAB-"&amp;Lab_Data[[#This Row],[EmployeeNumber]]</f>
        <v>LAB-604</v>
      </c>
      <c r="AK452" t="str">
        <f>Lab_Data[[#This Row],[JobRole]]</f>
        <v>Sales Executive</v>
      </c>
      <c r="AL452" t="str">
        <f>Lab_Data[[#This Row],[Department]]</f>
        <v>Sales</v>
      </c>
      <c r="AM452" t="str">
        <f>IF(Lab_Data[[#This Row],[Attrition]]="Yes","Failed","Completed")</f>
        <v>Completed</v>
      </c>
      <c r="AN452">
        <f>Lab_Data[[#This Row],[YearsAtCompany]]</f>
        <v>6</v>
      </c>
      <c r="AO452" t="str">
        <f>IF(Lab_Data[[#This Row],[PerformanceRating]]&gt;=3,"Approved","Review Required")</f>
        <v>Approved</v>
      </c>
    </row>
    <row r="453" spans="1:41"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t="str">
        <f>"LAB-"&amp;Lab_Data[[#This Row],[EmployeeNumber]]</f>
        <v>LAB-605</v>
      </c>
      <c r="AK453" t="str">
        <f>Lab_Data[[#This Row],[JobRole]]</f>
        <v>Manufacturing Director</v>
      </c>
      <c r="AL453" t="str">
        <f>Lab_Data[[#This Row],[Department]]</f>
        <v>Research &amp; Development</v>
      </c>
      <c r="AM453" t="str">
        <f>IF(Lab_Data[[#This Row],[Attrition]]="Yes","Failed","Completed")</f>
        <v>Completed</v>
      </c>
      <c r="AN453">
        <f>Lab_Data[[#This Row],[YearsAtCompany]]</f>
        <v>10</v>
      </c>
      <c r="AO453" t="str">
        <f>IF(Lab_Data[[#This Row],[PerformanceRating]]&gt;=3,"Approved","Review Required")</f>
        <v>Approved</v>
      </c>
    </row>
    <row r="454" spans="1:41"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t="str">
        <f>"LAB-"&amp;Lab_Data[[#This Row],[EmployeeNumber]]</f>
        <v>LAB-606</v>
      </c>
      <c r="AK454" t="str">
        <f>Lab_Data[[#This Row],[JobRole]]</f>
        <v>Sales Executive</v>
      </c>
      <c r="AL454" t="str">
        <f>Lab_Data[[#This Row],[Department]]</f>
        <v>Sales</v>
      </c>
      <c r="AM454" t="str">
        <f>IF(Lab_Data[[#This Row],[Attrition]]="Yes","Failed","Completed")</f>
        <v>Completed</v>
      </c>
      <c r="AN454">
        <f>Lab_Data[[#This Row],[YearsAtCompany]]</f>
        <v>8</v>
      </c>
      <c r="AO454" t="str">
        <f>IF(Lab_Data[[#This Row],[PerformanceRating]]&gt;=3,"Approved","Review Required")</f>
        <v>Approved</v>
      </c>
    </row>
    <row r="455" spans="1:41"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t="str">
        <f>"LAB-"&amp;Lab_Data[[#This Row],[EmployeeNumber]]</f>
        <v>LAB-608</v>
      </c>
      <c r="AK455" t="str">
        <f>Lab_Data[[#This Row],[JobRole]]</f>
        <v>Human Resources</v>
      </c>
      <c r="AL455" t="str">
        <f>Lab_Data[[#This Row],[Department]]</f>
        <v>Human Resources</v>
      </c>
      <c r="AM455" t="str">
        <f>IF(Lab_Data[[#This Row],[Attrition]]="Yes","Failed","Completed")</f>
        <v>Failed</v>
      </c>
      <c r="AN455">
        <f>Lab_Data[[#This Row],[YearsAtCompany]]</f>
        <v>7</v>
      </c>
      <c r="AO455" t="str">
        <f>IF(Lab_Data[[#This Row],[PerformanceRating]]&gt;=3,"Approved","Review Required")</f>
        <v>Approved</v>
      </c>
    </row>
    <row r="456" spans="1:41"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t="str">
        <f>"LAB-"&amp;Lab_Data[[#This Row],[EmployeeNumber]]</f>
        <v>LAB-611</v>
      </c>
      <c r="AK456" t="str">
        <f>Lab_Data[[#This Row],[JobRole]]</f>
        <v>Manufacturing Director</v>
      </c>
      <c r="AL456" t="str">
        <f>Lab_Data[[#This Row],[Department]]</f>
        <v>Research &amp; Development</v>
      </c>
      <c r="AM456" t="str">
        <f>IF(Lab_Data[[#This Row],[Attrition]]="Yes","Failed","Completed")</f>
        <v>Completed</v>
      </c>
      <c r="AN456">
        <f>Lab_Data[[#This Row],[YearsAtCompany]]</f>
        <v>3</v>
      </c>
      <c r="AO456" t="str">
        <f>IF(Lab_Data[[#This Row],[PerformanceRating]]&gt;=3,"Approved","Review Required")</f>
        <v>Approved</v>
      </c>
    </row>
    <row r="457" spans="1:41"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t="str">
        <f>"LAB-"&amp;Lab_Data[[#This Row],[EmployeeNumber]]</f>
        <v>LAB-612</v>
      </c>
      <c r="AK457" t="str">
        <f>Lab_Data[[#This Row],[JobRole]]</f>
        <v>Research Director</v>
      </c>
      <c r="AL457" t="str">
        <f>Lab_Data[[#This Row],[Department]]</f>
        <v>Research &amp; Development</v>
      </c>
      <c r="AM457" t="str">
        <f>IF(Lab_Data[[#This Row],[Attrition]]="Yes","Failed","Completed")</f>
        <v>Completed</v>
      </c>
      <c r="AN457">
        <f>Lab_Data[[#This Row],[YearsAtCompany]]</f>
        <v>6</v>
      </c>
      <c r="AO457" t="str">
        <f>IF(Lab_Data[[#This Row],[PerformanceRating]]&gt;=3,"Approved","Review Required")</f>
        <v>Approved</v>
      </c>
    </row>
    <row r="458" spans="1:41"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t="str">
        <f>"LAB-"&amp;Lab_Data[[#This Row],[EmployeeNumber]]</f>
        <v>LAB-613</v>
      </c>
      <c r="AK458" t="str">
        <f>Lab_Data[[#This Row],[JobRole]]</f>
        <v>Manager</v>
      </c>
      <c r="AL458" t="str">
        <f>Lab_Data[[#This Row],[Department]]</f>
        <v>Sales</v>
      </c>
      <c r="AM458" t="str">
        <f>IF(Lab_Data[[#This Row],[Attrition]]="Yes","Failed","Completed")</f>
        <v>Completed</v>
      </c>
      <c r="AN458">
        <f>Lab_Data[[#This Row],[YearsAtCompany]]</f>
        <v>5</v>
      </c>
      <c r="AO458" t="str">
        <f>IF(Lab_Data[[#This Row],[PerformanceRating]]&gt;=3,"Approved","Review Required")</f>
        <v>Approved</v>
      </c>
    </row>
    <row r="459" spans="1:41"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t="str">
        <f>"LAB-"&amp;Lab_Data[[#This Row],[EmployeeNumber]]</f>
        <v>LAB-614</v>
      </c>
      <c r="AK459" t="str">
        <f>Lab_Data[[#This Row],[JobRole]]</f>
        <v>Sales Representative</v>
      </c>
      <c r="AL459" t="str">
        <f>Lab_Data[[#This Row],[Department]]</f>
        <v>Sales</v>
      </c>
      <c r="AM459" t="str">
        <f>IF(Lab_Data[[#This Row],[Attrition]]="Yes","Failed","Completed")</f>
        <v>Failed</v>
      </c>
      <c r="AN459">
        <f>Lab_Data[[#This Row],[YearsAtCompany]]</f>
        <v>0</v>
      </c>
      <c r="AO459" t="str">
        <f>IF(Lab_Data[[#This Row],[PerformanceRating]]&gt;=3,"Approved","Review Required")</f>
        <v>Approved</v>
      </c>
    </row>
    <row r="460" spans="1:41"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t="str">
        <f>"LAB-"&amp;Lab_Data[[#This Row],[EmployeeNumber]]</f>
        <v>LAB-615</v>
      </c>
      <c r="AK460" t="str">
        <f>Lab_Data[[#This Row],[JobRole]]</f>
        <v>Sales Executive</v>
      </c>
      <c r="AL460" t="str">
        <f>Lab_Data[[#This Row],[Department]]</f>
        <v>Sales</v>
      </c>
      <c r="AM460" t="str">
        <f>IF(Lab_Data[[#This Row],[Attrition]]="Yes","Failed","Completed")</f>
        <v>Completed</v>
      </c>
      <c r="AN460">
        <f>Lab_Data[[#This Row],[YearsAtCompany]]</f>
        <v>1</v>
      </c>
      <c r="AO460" t="str">
        <f>IF(Lab_Data[[#This Row],[PerformanceRating]]&gt;=3,"Approved","Review Required")</f>
        <v>Approved</v>
      </c>
    </row>
    <row r="461" spans="1:41"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t="str">
        <f>"LAB-"&amp;Lab_Data[[#This Row],[EmployeeNumber]]</f>
        <v>LAB-616</v>
      </c>
      <c r="AK461" t="str">
        <f>Lab_Data[[#This Row],[JobRole]]</f>
        <v>Healthcare Representative</v>
      </c>
      <c r="AL461" t="str">
        <f>Lab_Data[[#This Row],[Department]]</f>
        <v>Research &amp; Development</v>
      </c>
      <c r="AM461" t="str">
        <f>IF(Lab_Data[[#This Row],[Attrition]]="Yes","Failed","Completed")</f>
        <v>Completed</v>
      </c>
      <c r="AN461">
        <f>Lab_Data[[#This Row],[YearsAtCompany]]</f>
        <v>8</v>
      </c>
      <c r="AO461" t="str">
        <f>IF(Lab_Data[[#This Row],[PerformanceRating]]&gt;=3,"Approved","Review Required")</f>
        <v>Approved</v>
      </c>
    </row>
    <row r="462" spans="1:41"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t="str">
        <f>"LAB-"&amp;Lab_Data[[#This Row],[EmployeeNumber]]</f>
        <v>LAB-618</v>
      </c>
      <c r="AK462" t="str">
        <f>Lab_Data[[#This Row],[JobRole]]</f>
        <v>Sales Executive</v>
      </c>
      <c r="AL462" t="str">
        <f>Lab_Data[[#This Row],[Department]]</f>
        <v>Sales</v>
      </c>
      <c r="AM462" t="str">
        <f>IF(Lab_Data[[#This Row],[Attrition]]="Yes","Failed","Completed")</f>
        <v>Completed</v>
      </c>
      <c r="AN462">
        <f>Lab_Data[[#This Row],[YearsAtCompany]]</f>
        <v>0</v>
      </c>
      <c r="AO462" t="str">
        <f>IF(Lab_Data[[#This Row],[PerformanceRating]]&gt;=3,"Approved","Review Required")</f>
        <v>Approved</v>
      </c>
    </row>
    <row r="463" spans="1:41"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t="str">
        <f>"LAB-"&amp;Lab_Data[[#This Row],[EmployeeNumber]]</f>
        <v>LAB-620</v>
      </c>
      <c r="AK463" t="str">
        <f>Lab_Data[[#This Row],[JobRole]]</f>
        <v>Sales Executive</v>
      </c>
      <c r="AL463" t="str">
        <f>Lab_Data[[#This Row],[Department]]</f>
        <v>Sales</v>
      </c>
      <c r="AM463" t="str">
        <f>IF(Lab_Data[[#This Row],[Attrition]]="Yes","Failed","Completed")</f>
        <v>Completed</v>
      </c>
      <c r="AN463">
        <f>Lab_Data[[#This Row],[YearsAtCompany]]</f>
        <v>5</v>
      </c>
      <c r="AO463" t="str">
        <f>IF(Lab_Data[[#This Row],[PerformanceRating]]&gt;=3,"Approved","Review Required")</f>
        <v>Approved</v>
      </c>
    </row>
    <row r="464" spans="1:41"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t="str">
        <f>"LAB-"&amp;Lab_Data[[#This Row],[EmployeeNumber]]</f>
        <v>LAB-621</v>
      </c>
      <c r="AK464" t="str">
        <f>Lab_Data[[#This Row],[JobRole]]</f>
        <v>Sales Executive</v>
      </c>
      <c r="AL464" t="str">
        <f>Lab_Data[[#This Row],[Department]]</f>
        <v>Sales</v>
      </c>
      <c r="AM464" t="str">
        <f>IF(Lab_Data[[#This Row],[Attrition]]="Yes","Failed","Completed")</f>
        <v>Completed</v>
      </c>
      <c r="AN464">
        <f>Lab_Data[[#This Row],[YearsAtCompany]]</f>
        <v>10</v>
      </c>
      <c r="AO464" t="str">
        <f>IF(Lab_Data[[#This Row],[PerformanceRating]]&gt;=3,"Approved","Review Required")</f>
        <v>Approved</v>
      </c>
    </row>
    <row r="465" spans="1:41"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t="str">
        <f>"LAB-"&amp;Lab_Data[[#This Row],[EmployeeNumber]]</f>
        <v>LAB-622</v>
      </c>
      <c r="AK465" t="str">
        <f>Lab_Data[[#This Row],[JobRole]]</f>
        <v>Laboratory Technician</v>
      </c>
      <c r="AL465" t="str">
        <f>Lab_Data[[#This Row],[Department]]</f>
        <v>Research &amp; Development</v>
      </c>
      <c r="AM465" t="str">
        <f>IF(Lab_Data[[#This Row],[Attrition]]="Yes","Failed","Completed")</f>
        <v>Failed</v>
      </c>
      <c r="AN465">
        <f>Lab_Data[[#This Row],[YearsAtCompany]]</f>
        <v>1</v>
      </c>
      <c r="AO465" t="str">
        <f>IF(Lab_Data[[#This Row],[PerformanceRating]]&gt;=3,"Approved","Review Required")</f>
        <v>Approved</v>
      </c>
    </row>
    <row r="466" spans="1:41"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t="str">
        <f>"LAB-"&amp;Lab_Data[[#This Row],[EmployeeNumber]]</f>
        <v>LAB-623</v>
      </c>
      <c r="AK466" t="str">
        <f>Lab_Data[[#This Row],[JobRole]]</f>
        <v>Manufacturing Director</v>
      </c>
      <c r="AL466" t="str">
        <f>Lab_Data[[#This Row],[Department]]</f>
        <v>Research &amp; Development</v>
      </c>
      <c r="AM466" t="str">
        <f>IF(Lab_Data[[#This Row],[Attrition]]="Yes","Failed","Completed")</f>
        <v>Completed</v>
      </c>
      <c r="AN466">
        <f>Lab_Data[[#This Row],[YearsAtCompany]]</f>
        <v>6</v>
      </c>
      <c r="AO466" t="str">
        <f>IF(Lab_Data[[#This Row],[PerformanceRating]]&gt;=3,"Approved","Review Required")</f>
        <v>Approved</v>
      </c>
    </row>
    <row r="467" spans="1:41"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t="str">
        <f>"LAB-"&amp;Lab_Data[[#This Row],[EmployeeNumber]]</f>
        <v>LAB-624</v>
      </c>
      <c r="AK467" t="str">
        <f>Lab_Data[[#This Row],[JobRole]]</f>
        <v>Healthcare Representative</v>
      </c>
      <c r="AL467" t="str">
        <f>Lab_Data[[#This Row],[Department]]</f>
        <v>Research &amp; Development</v>
      </c>
      <c r="AM467" t="str">
        <f>IF(Lab_Data[[#This Row],[Attrition]]="Yes","Failed","Completed")</f>
        <v>Completed</v>
      </c>
      <c r="AN467">
        <f>Lab_Data[[#This Row],[YearsAtCompany]]</f>
        <v>2</v>
      </c>
      <c r="AO467" t="str">
        <f>IF(Lab_Data[[#This Row],[PerformanceRating]]&gt;=3,"Approved","Review Required")</f>
        <v>Approved</v>
      </c>
    </row>
    <row r="468" spans="1:41"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t="str">
        <f>"LAB-"&amp;Lab_Data[[#This Row],[EmployeeNumber]]</f>
        <v>LAB-625</v>
      </c>
      <c r="AK468" t="str">
        <f>Lab_Data[[#This Row],[JobRole]]</f>
        <v>Manager</v>
      </c>
      <c r="AL468" t="str">
        <f>Lab_Data[[#This Row],[Department]]</f>
        <v>Sales</v>
      </c>
      <c r="AM468" t="str">
        <f>IF(Lab_Data[[#This Row],[Attrition]]="Yes","Failed","Completed")</f>
        <v>Completed</v>
      </c>
      <c r="AN468">
        <f>Lab_Data[[#This Row],[YearsAtCompany]]</f>
        <v>18</v>
      </c>
      <c r="AO468" t="str">
        <f>IF(Lab_Data[[#This Row],[PerformanceRating]]&gt;=3,"Approved","Review Required")</f>
        <v>Approved</v>
      </c>
    </row>
    <row r="469" spans="1:41"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t="str">
        <f>"LAB-"&amp;Lab_Data[[#This Row],[EmployeeNumber]]</f>
        <v>LAB-626</v>
      </c>
      <c r="AK469" t="str">
        <f>Lab_Data[[#This Row],[JobRole]]</f>
        <v>Sales Executive</v>
      </c>
      <c r="AL469" t="str">
        <f>Lab_Data[[#This Row],[Department]]</f>
        <v>Sales</v>
      </c>
      <c r="AM469" t="str">
        <f>IF(Lab_Data[[#This Row],[Attrition]]="Yes","Failed","Completed")</f>
        <v>Completed</v>
      </c>
      <c r="AN469">
        <f>Lab_Data[[#This Row],[YearsAtCompany]]</f>
        <v>9</v>
      </c>
      <c r="AO469" t="str">
        <f>IF(Lab_Data[[#This Row],[PerformanceRating]]&gt;=3,"Approved","Review Required")</f>
        <v>Approved</v>
      </c>
    </row>
    <row r="470" spans="1:41"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t="str">
        <f>"LAB-"&amp;Lab_Data[[#This Row],[EmployeeNumber]]</f>
        <v>LAB-630</v>
      </c>
      <c r="AK470" t="str">
        <f>Lab_Data[[#This Row],[JobRole]]</f>
        <v>Research Scientist</v>
      </c>
      <c r="AL470" t="str">
        <f>Lab_Data[[#This Row],[Department]]</f>
        <v>Research &amp; Development</v>
      </c>
      <c r="AM470" t="str">
        <f>IF(Lab_Data[[#This Row],[Attrition]]="Yes","Failed","Completed")</f>
        <v>Completed</v>
      </c>
      <c r="AN470">
        <f>Lab_Data[[#This Row],[YearsAtCompany]]</f>
        <v>10</v>
      </c>
      <c r="AO470" t="str">
        <f>IF(Lab_Data[[#This Row],[PerformanceRating]]&gt;=3,"Approved","Review Required")</f>
        <v>Approved</v>
      </c>
    </row>
    <row r="471" spans="1:41"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t="str">
        <f>"LAB-"&amp;Lab_Data[[#This Row],[EmployeeNumber]]</f>
        <v>LAB-631</v>
      </c>
      <c r="AK471" t="str">
        <f>Lab_Data[[#This Row],[JobRole]]</f>
        <v>Sales Executive</v>
      </c>
      <c r="AL471" t="str">
        <f>Lab_Data[[#This Row],[Department]]</f>
        <v>Sales</v>
      </c>
      <c r="AM471" t="str">
        <f>IF(Lab_Data[[#This Row],[Attrition]]="Yes","Failed","Completed")</f>
        <v>Failed</v>
      </c>
      <c r="AN471">
        <f>Lab_Data[[#This Row],[YearsAtCompany]]</f>
        <v>4</v>
      </c>
      <c r="AO471" t="str">
        <f>IF(Lab_Data[[#This Row],[PerformanceRating]]&gt;=3,"Approved","Review Required")</f>
        <v>Approved</v>
      </c>
    </row>
    <row r="472" spans="1:41"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t="str">
        <f>"LAB-"&amp;Lab_Data[[#This Row],[EmployeeNumber]]</f>
        <v>LAB-632</v>
      </c>
      <c r="AK472" t="str">
        <f>Lab_Data[[#This Row],[JobRole]]</f>
        <v>Sales Representative</v>
      </c>
      <c r="AL472" t="str">
        <f>Lab_Data[[#This Row],[Department]]</f>
        <v>Sales</v>
      </c>
      <c r="AM472" t="str">
        <f>IF(Lab_Data[[#This Row],[Attrition]]="Yes","Failed","Completed")</f>
        <v>Completed</v>
      </c>
      <c r="AN472">
        <f>Lab_Data[[#This Row],[YearsAtCompany]]</f>
        <v>2</v>
      </c>
      <c r="AO472" t="str">
        <f>IF(Lab_Data[[#This Row],[PerformanceRating]]&gt;=3,"Approved","Review Required")</f>
        <v>Approved</v>
      </c>
    </row>
    <row r="473" spans="1:41"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t="str">
        <f>"LAB-"&amp;Lab_Data[[#This Row],[EmployeeNumber]]</f>
        <v>LAB-634</v>
      </c>
      <c r="AK473" t="str">
        <f>Lab_Data[[#This Row],[JobRole]]</f>
        <v>Healthcare Representative</v>
      </c>
      <c r="AL473" t="str">
        <f>Lab_Data[[#This Row],[Department]]</f>
        <v>Research &amp; Development</v>
      </c>
      <c r="AM473" t="str">
        <f>IF(Lab_Data[[#This Row],[Attrition]]="Yes","Failed","Completed")</f>
        <v>Completed</v>
      </c>
      <c r="AN473">
        <f>Lab_Data[[#This Row],[YearsAtCompany]]</f>
        <v>1</v>
      </c>
      <c r="AO473" t="str">
        <f>IF(Lab_Data[[#This Row],[PerformanceRating]]&gt;=3,"Approved","Review Required")</f>
        <v>Approved</v>
      </c>
    </row>
    <row r="474" spans="1:41"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t="str">
        <f>"LAB-"&amp;Lab_Data[[#This Row],[EmployeeNumber]]</f>
        <v>LAB-635</v>
      </c>
      <c r="AK474" t="str">
        <f>Lab_Data[[#This Row],[JobRole]]</f>
        <v>Manufacturing Director</v>
      </c>
      <c r="AL474" t="str">
        <f>Lab_Data[[#This Row],[Department]]</f>
        <v>Research &amp; Development</v>
      </c>
      <c r="AM474" t="str">
        <f>IF(Lab_Data[[#This Row],[Attrition]]="Yes","Failed","Completed")</f>
        <v>Completed</v>
      </c>
      <c r="AN474">
        <f>Lab_Data[[#This Row],[YearsAtCompany]]</f>
        <v>6</v>
      </c>
      <c r="AO474" t="str">
        <f>IF(Lab_Data[[#This Row],[PerformanceRating]]&gt;=3,"Approved","Review Required")</f>
        <v>Approved</v>
      </c>
    </row>
    <row r="475" spans="1:41"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t="str">
        <f>"LAB-"&amp;Lab_Data[[#This Row],[EmployeeNumber]]</f>
        <v>LAB-638</v>
      </c>
      <c r="AK475" t="str">
        <f>Lab_Data[[#This Row],[JobRole]]</f>
        <v>Research Director</v>
      </c>
      <c r="AL475" t="str">
        <f>Lab_Data[[#This Row],[Department]]</f>
        <v>Research &amp; Development</v>
      </c>
      <c r="AM475" t="str">
        <f>IF(Lab_Data[[#This Row],[Attrition]]="Yes","Failed","Completed")</f>
        <v>Completed</v>
      </c>
      <c r="AN475">
        <f>Lab_Data[[#This Row],[YearsAtCompany]]</f>
        <v>31</v>
      </c>
      <c r="AO475" t="str">
        <f>IF(Lab_Data[[#This Row],[PerformanceRating]]&gt;=3,"Approved","Review Required")</f>
        <v>Approved</v>
      </c>
    </row>
    <row r="476" spans="1:41"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t="str">
        <f>"LAB-"&amp;Lab_Data[[#This Row],[EmployeeNumber]]</f>
        <v>LAB-639</v>
      </c>
      <c r="AK476" t="str">
        <f>Lab_Data[[#This Row],[JobRole]]</f>
        <v>Research Scientist</v>
      </c>
      <c r="AL476" t="str">
        <f>Lab_Data[[#This Row],[Department]]</f>
        <v>Research &amp; Development</v>
      </c>
      <c r="AM476" t="str">
        <f>IF(Lab_Data[[#This Row],[Attrition]]="Yes","Failed","Completed")</f>
        <v>Completed</v>
      </c>
      <c r="AN476">
        <f>Lab_Data[[#This Row],[YearsAtCompany]]</f>
        <v>6</v>
      </c>
      <c r="AO476" t="str">
        <f>IF(Lab_Data[[#This Row],[PerformanceRating]]&gt;=3,"Approved","Review Required")</f>
        <v>Approved</v>
      </c>
    </row>
    <row r="477" spans="1:41"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t="str">
        <f>"LAB-"&amp;Lab_Data[[#This Row],[EmployeeNumber]]</f>
        <v>LAB-641</v>
      </c>
      <c r="AK477" t="str">
        <f>Lab_Data[[#This Row],[JobRole]]</f>
        <v>Sales Executive</v>
      </c>
      <c r="AL477" t="str">
        <f>Lab_Data[[#This Row],[Department]]</f>
        <v>Sales</v>
      </c>
      <c r="AM477" t="str">
        <f>IF(Lab_Data[[#This Row],[Attrition]]="Yes","Failed","Completed")</f>
        <v>Completed</v>
      </c>
      <c r="AN477">
        <f>Lab_Data[[#This Row],[YearsAtCompany]]</f>
        <v>5</v>
      </c>
      <c r="AO477" t="str">
        <f>IF(Lab_Data[[#This Row],[PerformanceRating]]&gt;=3,"Approved","Review Required")</f>
        <v>Approved</v>
      </c>
    </row>
    <row r="478" spans="1:41"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t="str">
        <f>"LAB-"&amp;Lab_Data[[#This Row],[EmployeeNumber]]</f>
        <v>LAB-643</v>
      </c>
      <c r="AK478" t="str">
        <f>Lab_Data[[#This Row],[JobRole]]</f>
        <v>Laboratory Technician</v>
      </c>
      <c r="AL478" t="str">
        <f>Lab_Data[[#This Row],[Department]]</f>
        <v>Research &amp; Development</v>
      </c>
      <c r="AM478" t="str">
        <f>IF(Lab_Data[[#This Row],[Attrition]]="Yes","Failed","Completed")</f>
        <v>Completed</v>
      </c>
      <c r="AN478">
        <f>Lab_Data[[#This Row],[YearsAtCompany]]</f>
        <v>1</v>
      </c>
      <c r="AO478" t="str">
        <f>IF(Lab_Data[[#This Row],[PerformanceRating]]&gt;=3,"Approved","Review Required")</f>
        <v>Approved</v>
      </c>
    </row>
    <row r="479" spans="1:41"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t="str">
        <f>"LAB-"&amp;Lab_Data[[#This Row],[EmployeeNumber]]</f>
        <v>LAB-644</v>
      </c>
      <c r="AK479" t="str">
        <f>Lab_Data[[#This Row],[JobRole]]</f>
        <v>Manager</v>
      </c>
      <c r="AL479" t="str">
        <f>Lab_Data[[#This Row],[Department]]</f>
        <v>Human Resources</v>
      </c>
      <c r="AM479" t="str">
        <f>IF(Lab_Data[[#This Row],[Attrition]]="Yes","Failed","Completed")</f>
        <v>Completed</v>
      </c>
      <c r="AN479">
        <f>Lab_Data[[#This Row],[YearsAtCompany]]</f>
        <v>32</v>
      </c>
      <c r="AO479" t="str">
        <f>IF(Lab_Data[[#This Row],[PerformanceRating]]&gt;=3,"Approved","Review Required")</f>
        <v>Approved</v>
      </c>
    </row>
    <row r="480" spans="1:41"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t="str">
        <f>"LAB-"&amp;Lab_Data[[#This Row],[EmployeeNumber]]</f>
        <v>LAB-645</v>
      </c>
      <c r="AK480" t="str">
        <f>Lab_Data[[#This Row],[JobRole]]</f>
        <v>Sales Representative</v>
      </c>
      <c r="AL480" t="str">
        <f>Lab_Data[[#This Row],[Department]]</f>
        <v>Sales</v>
      </c>
      <c r="AM480" t="str">
        <f>IF(Lab_Data[[#This Row],[Attrition]]="Yes","Failed","Completed")</f>
        <v>Completed</v>
      </c>
      <c r="AN480">
        <f>Lab_Data[[#This Row],[YearsAtCompany]]</f>
        <v>7</v>
      </c>
      <c r="AO480" t="str">
        <f>IF(Lab_Data[[#This Row],[PerformanceRating]]&gt;=3,"Approved","Review Required")</f>
        <v>Approved</v>
      </c>
    </row>
    <row r="481" spans="1:41"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t="str">
        <f>"LAB-"&amp;Lab_Data[[#This Row],[EmployeeNumber]]</f>
        <v>LAB-647</v>
      </c>
      <c r="AK481" t="str">
        <f>Lab_Data[[#This Row],[JobRole]]</f>
        <v>Laboratory Technician</v>
      </c>
      <c r="AL481" t="str">
        <f>Lab_Data[[#This Row],[Department]]</f>
        <v>Research &amp; Development</v>
      </c>
      <c r="AM481" t="str">
        <f>IF(Lab_Data[[#This Row],[Attrition]]="Yes","Failed","Completed")</f>
        <v>Failed</v>
      </c>
      <c r="AN481">
        <f>Lab_Data[[#This Row],[YearsAtCompany]]</f>
        <v>6</v>
      </c>
      <c r="AO481" t="str">
        <f>IF(Lab_Data[[#This Row],[PerformanceRating]]&gt;=3,"Approved","Review Required")</f>
        <v>Approved</v>
      </c>
    </row>
    <row r="482" spans="1:41"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t="str">
        <f>"LAB-"&amp;Lab_Data[[#This Row],[EmployeeNumber]]</f>
        <v>LAB-648</v>
      </c>
      <c r="AK482" t="str">
        <f>Lab_Data[[#This Row],[JobRole]]</f>
        <v>Sales Representative</v>
      </c>
      <c r="AL482" t="str">
        <f>Lab_Data[[#This Row],[Department]]</f>
        <v>Sales</v>
      </c>
      <c r="AM482" t="str">
        <f>IF(Lab_Data[[#This Row],[Attrition]]="Yes","Failed","Completed")</f>
        <v>Failed</v>
      </c>
      <c r="AN482">
        <f>Lab_Data[[#This Row],[YearsAtCompany]]</f>
        <v>1</v>
      </c>
      <c r="AO482" t="str">
        <f>IF(Lab_Data[[#This Row],[PerformanceRating]]&gt;=3,"Approved","Review Required")</f>
        <v>Approved</v>
      </c>
    </row>
    <row r="483" spans="1:41"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t="str">
        <f>"LAB-"&amp;Lab_Data[[#This Row],[EmployeeNumber]]</f>
        <v>LAB-649</v>
      </c>
      <c r="AK483" t="str">
        <f>Lab_Data[[#This Row],[JobRole]]</f>
        <v>Research Scientist</v>
      </c>
      <c r="AL483" t="str">
        <f>Lab_Data[[#This Row],[Department]]</f>
        <v>Research &amp; Development</v>
      </c>
      <c r="AM483" t="str">
        <f>IF(Lab_Data[[#This Row],[Attrition]]="Yes","Failed","Completed")</f>
        <v>Completed</v>
      </c>
      <c r="AN483">
        <f>Lab_Data[[#This Row],[YearsAtCompany]]</f>
        <v>6</v>
      </c>
      <c r="AO483" t="str">
        <f>IF(Lab_Data[[#This Row],[PerformanceRating]]&gt;=3,"Approved","Review Required")</f>
        <v>Approved</v>
      </c>
    </row>
    <row r="484" spans="1:41"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t="str">
        <f>"LAB-"&amp;Lab_Data[[#This Row],[EmployeeNumber]]</f>
        <v>LAB-650</v>
      </c>
      <c r="AK484" t="str">
        <f>Lab_Data[[#This Row],[JobRole]]</f>
        <v>Sales Executive</v>
      </c>
      <c r="AL484" t="str">
        <f>Lab_Data[[#This Row],[Department]]</f>
        <v>Sales</v>
      </c>
      <c r="AM484" t="str">
        <f>IF(Lab_Data[[#This Row],[Attrition]]="Yes","Failed","Completed")</f>
        <v>Failed</v>
      </c>
      <c r="AN484">
        <f>Lab_Data[[#This Row],[YearsAtCompany]]</f>
        <v>3</v>
      </c>
      <c r="AO484" t="str">
        <f>IF(Lab_Data[[#This Row],[PerformanceRating]]&gt;=3,"Approved","Review Required")</f>
        <v>Approved</v>
      </c>
    </row>
    <row r="485" spans="1:41"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t="str">
        <f>"LAB-"&amp;Lab_Data[[#This Row],[EmployeeNumber]]</f>
        <v>LAB-652</v>
      </c>
      <c r="AK485" t="str">
        <f>Lab_Data[[#This Row],[JobRole]]</f>
        <v>Laboratory Technician</v>
      </c>
      <c r="AL485" t="str">
        <f>Lab_Data[[#This Row],[Department]]</f>
        <v>Research &amp; Development</v>
      </c>
      <c r="AM485" t="str">
        <f>IF(Lab_Data[[#This Row],[Attrition]]="Yes","Failed","Completed")</f>
        <v>Completed</v>
      </c>
      <c r="AN485">
        <f>Lab_Data[[#This Row],[YearsAtCompany]]</f>
        <v>3</v>
      </c>
      <c r="AO485" t="str">
        <f>IF(Lab_Data[[#This Row],[PerformanceRating]]&gt;=3,"Approved","Review Required")</f>
        <v>Approved</v>
      </c>
    </row>
    <row r="486" spans="1:41"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t="str">
        <f>"LAB-"&amp;Lab_Data[[#This Row],[EmployeeNumber]]</f>
        <v>LAB-653</v>
      </c>
      <c r="AK486" t="str">
        <f>Lab_Data[[#This Row],[JobRole]]</f>
        <v>Sales Executive</v>
      </c>
      <c r="AL486" t="str">
        <f>Lab_Data[[#This Row],[Department]]</f>
        <v>Sales</v>
      </c>
      <c r="AM486" t="str">
        <f>IF(Lab_Data[[#This Row],[Attrition]]="Yes","Failed","Completed")</f>
        <v>Completed</v>
      </c>
      <c r="AN486">
        <f>Lab_Data[[#This Row],[YearsAtCompany]]</f>
        <v>7</v>
      </c>
      <c r="AO486" t="str">
        <f>IF(Lab_Data[[#This Row],[PerformanceRating]]&gt;=3,"Approved","Review Required")</f>
        <v>Approved</v>
      </c>
    </row>
    <row r="487" spans="1:41"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t="str">
        <f>"LAB-"&amp;Lab_Data[[#This Row],[EmployeeNumber]]</f>
        <v>LAB-655</v>
      </c>
      <c r="AK487" t="str">
        <f>Lab_Data[[#This Row],[JobRole]]</f>
        <v>Research Scientist</v>
      </c>
      <c r="AL487" t="str">
        <f>Lab_Data[[#This Row],[Department]]</f>
        <v>Research &amp; Development</v>
      </c>
      <c r="AM487" t="str">
        <f>IF(Lab_Data[[#This Row],[Attrition]]="Yes","Failed","Completed")</f>
        <v>Completed</v>
      </c>
      <c r="AN487">
        <f>Lab_Data[[#This Row],[YearsAtCompany]]</f>
        <v>5</v>
      </c>
      <c r="AO487" t="str">
        <f>IF(Lab_Data[[#This Row],[PerformanceRating]]&gt;=3,"Approved","Review Required")</f>
        <v>Approved</v>
      </c>
    </row>
    <row r="488" spans="1:41"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t="str">
        <f>"LAB-"&amp;Lab_Data[[#This Row],[EmployeeNumber]]</f>
        <v>LAB-656</v>
      </c>
      <c r="AK488" t="str">
        <f>Lab_Data[[#This Row],[JobRole]]</f>
        <v>Sales Executive</v>
      </c>
      <c r="AL488" t="str">
        <f>Lab_Data[[#This Row],[Department]]</f>
        <v>Sales</v>
      </c>
      <c r="AM488" t="str">
        <f>IF(Lab_Data[[#This Row],[Attrition]]="Yes","Failed","Completed")</f>
        <v>Completed</v>
      </c>
      <c r="AN488">
        <f>Lab_Data[[#This Row],[YearsAtCompany]]</f>
        <v>3</v>
      </c>
      <c r="AO488" t="str">
        <f>IF(Lab_Data[[#This Row],[PerformanceRating]]&gt;=3,"Approved","Review Required")</f>
        <v>Approved</v>
      </c>
    </row>
    <row r="489" spans="1:41"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t="str">
        <f>"LAB-"&amp;Lab_Data[[#This Row],[EmployeeNumber]]</f>
        <v>LAB-657</v>
      </c>
      <c r="AK489" t="str">
        <f>Lab_Data[[#This Row],[JobRole]]</f>
        <v>Research Scientist</v>
      </c>
      <c r="AL489" t="str">
        <f>Lab_Data[[#This Row],[Department]]</f>
        <v>Research &amp; Development</v>
      </c>
      <c r="AM489" t="str">
        <f>IF(Lab_Data[[#This Row],[Attrition]]="Yes","Failed","Completed")</f>
        <v>Completed</v>
      </c>
      <c r="AN489">
        <f>Lab_Data[[#This Row],[YearsAtCompany]]</f>
        <v>1</v>
      </c>
      <c r="AO489" t="str">
        <f>IF(Lab_Data[[#This Row],[PerformanceRating]]&gt;=3,"Approved","Review Required")</f>
        <v>Approved</v>
      </c>
    </row>
    <row r="490" spans="1:41"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t="str">
        <f>"LAB-"&amp;Lab_Data[[#This Row],[EmployeeNumber]]</f>
        <v>LAB-659</v>
      </c>
      <c r="AK490" t="str">
        <f>Lab_Data[[#This Row],[JobRole]]</f>
        <v>Healthcare Representative</v>
      </c>
      <c r="AL490" t="str">
        <f>Lab_Data[[#This Row],[Department]]</f>
        <v>Research &amp; Development</v>
      </c>
      <c r="AM490" t="str">
        <f>IF(Lab_Data[[#This Row],[Attrition]]="Yes","Failed","Completed")</f>
        <v>Completed</v>
      </c>
      <c r="AN490">
        <f>Lab_Data[[#This Row],[YearsAtCompany]]</f>
        <v>10</v>
      </c>
      <c r="AO490" t="str">
        <f>IF(Lab_Data[[#This Row],[PerformanceRating]]&gt;=3,"Approved","Review Required")</f>
        <v>Approved</v>
      </c>
    </row>
    <row r="491" spans="1:41"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t="str">
        <f>"LAB-"&amp;Lab_Data[[#This Row],[EmployeeNumber]]</f>
        <v>LAB-661</v>
      </c>
      <c r="AK491" t="str">
        <f>Lab_Data[[#This Row],[JobRole]]</f>
        <v>Research Director</v>
      </c>
      <c r="AL491" t="str">
        <f>Lab_Data[[#This Row],[Department]]</f>
        <v>Research &amp; Development</v>
      </c>
      <c r="AM491" t="str">
        <f>IF(Lab_Data[[#This Row],[Attrition]]="Yes","Failed","Completed")</f>
        <v>Completed</v>
      </c>
      <c r="AN491">
        <f>Lab_Data[[#This Row],[YearsAtCompany]]</f>
        <v>1</v>
      </c>
      <c r="AO491" t="str">
        <f>IF(Lab_Data[[#This Row],[PerformanceRating]]&gt;=3,"Approved","Review Required")</f>
        <v>Approved</v>
      </c>
    </row>
    <row r="492" spans="1:41"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t="str">
        <f>"LAB-"&amp;Lab_Data[[#This Row],[EmployeeNumber]]</f>
        <v>LAB-662</v>
      </c>
      <c r="AK492" t="str">
        <f>Lab_Data[[#This Row],[JobRole]]</f>
        <v>Research Scientist</v>
      </c>
      <c r="AL492" t="str">
        <f>Lab_Data[[#This Row],[Department]]</f>
        <v>Research &amp; Development</v>
      </c>
      <c r="AM492" t="str">
        <f>IF(Lab_Data[[#This Row],[Attrition]]="Yes","Failed","Completed")</f>
        <v>Completed</v>
      </c>
      <c r="AN492">
        <f>Lab_Data[[#This Row],[YearsAtCompany]]</f>
        <v>0</v>
      </c>
      <c r="AO492" t="str">
        <f>IF(Lab_Data[[#This Row],[PerformanceRating]]&gt;=3,"Approved","Review Required")</f>
        <v>Approved</v>
      </c>
    </row>
    <row r="493" spans="1:41"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t="str">
        <f>"LAB-"&amp;Lab_Data[[#This Row],[EmployeeNumber]]</f>
        <v>LAB-663</v>
      </c>
      <c r="AK493" t="str">
        <f>Lab_Data[[#This Row],[JobRole]]</f>
        <v>Laboratory Technician</v>
      </c>
      <c r="AL493" t="str">
        <f>Lab_Data[[#This Row],[Department]]</f>
        <v>Research &amp; Development</v>
      </c>
      <c r="AM493" t="str">
        <f>IF(Lab_Data[[#This Row],[Attrition]]="Yes","Failed","Completed")</f>
        <v>Completed</v>
      </c>
      <c r="AN493">
        <f>Lab_Data[[#This Row],[YearsAtCompany]]</f>
        <v>8</v>
      </c>
      <c r="AO493" t="str">
        <f>IF(Lab_Data[[#This Row],[PerformanceRating]]&gt;=3,"Approved","Review Required")</f>
        <v>Approved</v>
      </c>
    </row>
    <row r="494" spans="1:41"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t="str">
        <f>"LAB-"&amp;Lab_Data[[#This Row],[EmployeeNumber]]</f>
        <v>LAB-664</v>
      </c>
      <c r="AK494" t="str">
        <f>Lab_Data[[#This Row],[JobRole]]</f>
        <v>Manager</v>
      </c>
      <c r="AL494" t="str">
        <f>Lab_Data[[#This Row],[Department]]</f>
        <v>Research &amp; Development</v>
      </c>
      <c r="AM494" t="str">
        <f>IF(Lab_Data[[#This Row],[Attrition]]="Yes","Failed","Completed")</f>
        <v>Completed</v>
      </c>
      <c r="AN494">
        <f>Lab_Data[[#This Row],[YearsAtCompany]]</f>
        <v>3</v>
      </c>
      <c r="AO494" t="str">
        <f>IF(Lab_Data[[#This Row],[PerformanceRating]]&gt;=3,"Approved","Review Required")</f>
        <v>Approved</v>
      </c>
    </row>
    <row r="495" spans="1:41"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t="str">
        <f>"LAB-"&amp;Lab_Data[[#This Row],[EmployeeNumber]]</f>
        <v>LAB-665</v>
      </c>
      <c r="AK495" t="str">
        <f>Lab_Data[[#This Row],[JobRole]]</f>
        <v>Human Resources</v>
      </c>
      <c r="AL495" t="str">
        <f>Lab_Data[[#This Row],[Department]]</f>
        <v>Human Resources</v>
      </c>
      <c r="AM495" t="str">
        <f>IF(Lab_Data[[#This Row],[Attrition]]="Yes","Failed","Completed")</f>
        <v>Completed</v>
      </c>
      <c r="AN495">
        <f>Lab_Data[[#This Row],[YearsAtCompany]]</f>
        <v>2</v>
      </c>
      <c r="AO495" t="str">
        <f>IF(Lab_Data[[#This Row],[PerformanceRating]]&gt;=3,"Approved","Review Required")</f>
        <v>Approved</v>
      </c>
    </row>
    <row r="496" spans="1:41"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t="str">
        <f>"LAB-"&amp;Lab_Data[[#This Row],[EmployeeNumber]]</f>
        <v>LAB-666</v>
      </c>
      <c r="AK496" t="str">
        <f>Lab_Data[[#This Row],[JobRole]]</f>
        <v>Sales Representative</v>
      </c>
      <c r="AL496" t="str">
        <f>Lab_Data[[#This Row],[Department]]</f>
        <v>Sales</v>
      </c>
      <c r="AM496" t="str">
        <f>IF(Lab_Data[[#This Row],[Attrition]]="Yes","Failed","Completed")</f>
        <v>Completed</v>
      </c>
      <c r="AN496">
        <f>Lab_Data[[#This Row],[YearsAtCompany]]</f>
        <v>8</v>
      </c>
      <c r="AO496" t="str">
        <f>IF(Lab_Data[[#This Row],[PerformanceRating]]&gt;=3,"Approved","Review Required")</f>
        <v>Approved</v>
      </c>
    </row>
    <row r="497" spans="1:41"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t="str">
        <f>"LAB-"&amp;Lab_Data[[#This Row],[EmployeeNumber]]</f>
        <v>LAB-667</v>
      </c>
      <c r="AK497" t="str">
        <f>Lab_Data[[#This Row],[JobRole]]</f>
        <v>Sales Representative</v>
      </c>
      <c r="AL497" t="str">
        <f>Lab_Data[[#This Row],[Department]]</f>
        <v>Sales</v>
      </c>
      <c r="AM497" t="str">
        <f>IF(Lab_Data[[#This Row],[Attrition]]="Yes","Failed","Completed")</f>
        <v>Failed</v>
      </c>
      <c r="AN497">
        <f>Lab_Data[[#This Row],[YearsAtCompany]]</f>
        <v>4</v>
      </c>
      <c r="AO497" t="str">
        <f>IF(Lab_Data[[#This Row],[PerformanceRating]]&gt;=3,"Approved","Review Required")</f>
        <v>Approved</v>
      </c>
    </row>
    <row r="498" spans="1:41"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t="str">
        <f>"LAB-"&amp;Lab_Data[[#This Row],[EmployeeNumber]]</f>
        <v>LAB-669</v>
      </c>
      <c r="AK498" t="str">
        <f>Lab_Data[[#This Row],[JobRole]]</f>
        <v>Sales Representative</v>
      </c>
      <c r="AL498" t="str">
        <f>Lab_Data[[#This Row],[Department]]</f>
        <v>Sales</v>
      </c>
      <c r="AM498" t="str">
        <f>IF(Lab_Data[[#This Row],[Attrition]]="Yes","Failed","Completed")</f>
        <v>Completed</v>
      </c>
      <c r="AN498">
        <f>Lab_Data[[#This Row],[YearsAtCompany]]</f>
        <v>3</v>
      </c>
      <c r="AO498" t="str">
        <f>IF(Lab_Data[[#This Row],[PerformanceRating]]&gt;=3,"Approved","Review Required")</f>
        <v>Approved</v>
      </c>
    </row>
    <row r="499" spans="1:41"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t="str">
        <f>"LAB-"&amp;Lab_Data[[#This Row],[EmployeeNumber]]</f>
        <v>LAB-671</v>
      </c>
      <c r="AK499" t="str">
        <f>Lab_Data[[#This Row],[JobRole]]</f>
        <v>Manager</v>
      </c>
      <c r="AL499" t="str">
        <f>Lab_Data[[#This Row],[Department]]</f>
        <v>Research &amp; Development</v>
      </c>
      <c r="AM499" t="str">
        <f>IF(Lab_Data[[#This Row],[Attrition]]="Yes","Failed","Completed")</f>
        <v>Completed</v>
      </c>
      <c r="AN499">
        <f>Lab_Data[[#This Row],[YearsAtCompany]]</f>
        <v>2</v>
      </c>
      <c r="AO499" t="str">
        <f>IF(Lab_Data[[#This Row],[PerformanceRating]]&gt;=3,"Approved","Review Required")</f>
        <v>Approved</v>
      </c>
    </row>
    <row r="500" spans="1:41"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t="str">
        <f>"LAB-"&amp;Lab_Data[[#This Row],[EmployeeNumber]]</f>
        <v>LAB-675</v>
      </c>
      <c r="AK500" t="str">
        <f>Lab_Data[[#This Row],[JobRole]]</f>
        <v>Research Scientist</v>
      </c>
      <c r="AL500" t="str">
        <f>Lab_Data[[#This Row],[Department]]</f>
        <v>Research &amp; Development</v>
      </c>
      <c r="AM500" t="str">
        <f>IF(Lab_Data[[#This Row],[Attrition]]="Yes","Failed","Completed")</f>
        <v>Completed</v>
      </c>
      <c r="AN500">
        <f>Lab_Data[[#This Row],[YearsAtCompany]]</f>
        <v>2</v>
      </c>
      <c r="AO500" t="str">
        <f>IF(Lab_Data[[#This Row],[PerformanceRating]]&gt;=3,"Approved","Review Required")</f>
        <v>Approved</v>
      </c>
    </row>
    <row r="501" spans="1:41"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t="str">
        <f>"LAB-"&amp;Lab_Data[[#This Row],[EmployeeNumber]]</f>
        <v>LAB-677</v>
      </c>
      <c r="AK501" t="str">
        <f>Lab_Data[[#This Row],[JobRole]]</f>
        <v>Sales Executive</v>
      </c>
      <c r="AL501" t="str">
        <f>Lab_Data[[#This Row],[Department]]</f>
        <v>Sales</v>
      </c>
      <c r="AM501" t="str">
        <f>IF(Lab_Data[[#This Row],[Attrition]]="Yes","Failed","Completed")</f>
        <v>Completed</v>
      </c>
      <c r="AN501">
        <f>Lab_Data[[#This Row],[YearsAtCompany]]</f>
        <v>5</v>
      </c>
      <c r="AO501" t="str">
        <f>IF(Lab_Data[[#This Row],[PerformanceRating]]&gt;=3,"Approved","Review Required")</f>
        <v>Approved</v>
      </c>
    </row>
    <row r="502" spans="1:41"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t="str">
        <f>"LAB-"&amp;Lab_Data[[#This Row],[EmployeeNumber]]</f>
        <v>LAB-679</v>
      </c>
      <c r="AK502" t="str">
        <f>Lab_Data[[#This Row],[JobRole]]</f>
        <v>Research Scientist</v>
      </c>
      <c r="AL502" t="str">
        <f>Lab_Data[[#This Row],[Department]]</f>
        <v>Research &amp; Development</v>
      </c>
      <c r="AM502" t="str">
        <f>IF(Lab_Data[[#This Row],[Attrition]]="Yes","Failed","Completed")</f>
        <v>Completed</v>
      </c>
      <c r="AN502">
        <f>Lab_Data[[#This Row],[YearsAtCompany]]</f>
        <v>6</v>
      </c>
      <c r="AO502" t="str">
        <f>IF(Lab_Data[[#This Row],[PerformanceRating]]&gt;=3,"Approved","Review Required")</f>
        <v>Approved</v>
      </c>
    </row>
    <row r="503" spans="1:41"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t="str">
        <f>"LAB-"&amp;Lab_Data[[#This Row],[EmployeeNumber]]</f>
        <v>LAB-680</v>
      </c>
      <c r="AK503" t="str">
        <f>Lab_Data[[#This Row],[JobRole]]</f>
        <v>Research Scientist</v>
      </c>
      <c r="AL503" t="str">
        <f>Lab_Data[[#This Row],[Department]]</f>
        <v>Research &amp; Development</v>
      </c>
      <c r="AM503" t="str">
        <f>IF(Lab_Data[[#This Row],[Attrition]]="Yes","Failed","Completed")</f>
        <v>Completed</v>
      </c>
      <c r="AN503">
        <f>Lab_Data[[#This Row],[YearsAtCompany]]</f>
        <v>1</v>
      </c>
      <c r="AO503" t="str">
        <f>IF(Lab_Data[[#This Row],[PerformanceRating]]&gt;=3,"Approved","Review Required")</f>
        <v>Approved</v>
      </c>
    </row>
    <row r="504" spans="1:41"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t="str">
        <f>"LAB-"&amp;Lab_Data[[#This Row],[EmployeeNumber]]</f>
        <v>LAB-682</v>
      </c>
      <c r="AK504" t="str">
        <f>Lab_Data[[#This Row],[JobRole]]</f>
        <v>Sales Executive</v>
      </c>
      <c r="AL504" t="str">
        <f>Lab_Data[[#This Row],[Department]]</f>
        <v>Sales</v>
      </c>
      <c r="AM504" t="str">
        <f>IF(Lab_Data[[#This Row],[Attrition]]="Yes","Failed","Completed")</f>
        <v>Completed</v>
      </c>
      <c r="AN504">
        <f>Lab_Data[[#This Row],[YearsAtCompany]]</f>
        <v>14</v>
      </c>
      <c r="AO504" t="str">
        <f>IF(Lab_Data[[#This Row],[PerformanceRating]]&gt;=3,"Approved","Review Required")</f>
        <v>Approved</v>
      </c>
    </row>
    <row r="505" spans="1:41"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t="str">
        <f>"LAB-"&amp;Lab_Data[[#This Row],[EmployeeNumber]]</f>
        <v>LAB-683</v>
      </c>
      <c r="AK505" t="str">
        <f>Lab_Data[[#This Row],[JobRole]]</f>
        <v>Research Scientist</v>
      </c>
      <c r="AL505" t="str">
        <f>Lab_Data[[#This Row],[Department]]</f>
        <v>Research &amp; Development</v>
      </c>
      <c r="AM505" t="str">
        <f>IF(Lab_Data[[#This Row],[Attrition]]="Yes","Failed","Completed")</f>
        <v>Completed</v>
      </c>
      <c r="AN505">
        <f>Lab_Data[[#This Row],[YearsAtCompany]]</f>
        <v>10</v>
      </c>
      <c r="AO505" t="str">
        <f>IF(Lab_Data[[#This Row],[PerformanceRating]]&gt;=3,"Approved","Review Required")</f>
        <v>Approved</v>
      </c>
    </row>
    <row r="506" spans="1:41"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t="str">
        <f>"LAB-"&amp;Lab_Data[[#This Row],[EmployeeNumber]]</f>
        <v>LAB-684</v>
      </c>
      <c r="AK506" t="str">
        <f>Lab_Data[[#This Row],[JobRole]]</f>
        <v>Sales Executive</v>
      </c>
      <c r="AL506" t="str">
        <f>Lab_Data[[#This Row],[Department]]</f>
        <v>Sales</v>
      </c>
      <c r="AM506" t="str">
        <f>IF(Lab_Data[[#This Row],[Attrition]]="Yes","Failed","Completed")</f>
        <v>Failed</v>
      </c>
      <c r="AN506">
        <f>Lab_Data[[#This Row],[YearsAtCompany]]</f>
        <v>1</v>
      </c>
      <c r="AO506" t="str">
        <f>IF(Lab_Data[[#This Row],[PerformanceRating]]&gt;=3,"Approved","Review Required")</f>
        <v>Approved</v>
      </c>
    </row>
    <row r="507" spans="1:41"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t="str">
        <f>"LAB-"&amp;Lab_Data[[#This Row],[EmployeeNumber]]</f>
        <v>LAB-686</v>
      </c>
      <c r="AK507" t="str">
        <f>Lab_Data[[#This Row],[JobRole]]</f>
        <v>Laboratory Technician</v>
      </c>
      <c r="AL507" t="str">
        <f>Lab_Data[[#This Row],[Department]]</f>
        <v>Research &amp; Development</v>
      </c>
      <c r="AM507" t="str">
        <f>IF(Lab_Data[[#This Row],[Attrition]]="Yes","Failed","Completed")</f>
        <v>Completed</v>
      </c>
      <c r="AN507">
        <f>Lab_Data[[#This Row],[YearsAtCompany]]</f>
        <v>3</v>
      </c>
      <c r="AO507" t="str">
        <f>IF(Lab_Data[[#This Row],[PerformanceRating]]&gt;=3,"Approved","Review Required")</f>
        <v>Approved</v>
      </c>
    </row>
    <row r="508" spans="1:41"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t="str">
        <f>"LAB-"&amp;Lab_Data[[#This Row],[EmployeeNumber]]</f>
        <v>LAB-689</v>
      </c>
      <c r="AK508" t="str">
        <f>Lab_Data[[#This Row],[JobRole]]</f>
        <v>Manufacturing Director</v>
      </c>
      <c r="AL508" t="str">
        <f>Lab_Data[[#This Row],[Department]]</f>
        <v>Research &amp; Development</v>
      </c>
      <c r="AM508" t="str">
        <f>IF(Lab_Data[[#This Row],[Attrition]]="Yes","Failed","Completed")</f>
        <v>Completed</v>
      </c>
      <c r="AN508">
        <f>Lab_Data[[#This Row],[YearsAtCompany]]</f>
        <v>10</v>
      </c>
      <c r="AO508" t="str">
        <f>IF(Lab_Data[[#This Row],[PerformanceRating]]&gt;=3,"Approved","Review Required")</f>
        <v>Approved</v>
      </c>
    </row>
    <row r="509" spans="1:41"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t="str">
        <f>"LAB-"&amp;Lab_Data[[#This Row],[EmployeeNumber]]</f>
        <v>LAB-690</v>
      </c>
      <c r="AK509" t="str">
        <f>Lab_Data[[#This Row],[JobRole]]</f>
        <v>Sales Executive</v>
      </c>
      <c r="AL509" t="str">
        <f>Lab_Data[[#This Row],[Department]]</f>
        <v>Sales</v>
      </c>
      <c r="AM509" t="str">
        <f>IF(Lab_Data[[#This Row],[Attrition]]="Yes","Failed","Completed")</f>
        <v>Completed</v>
      </c>
      <c r="AN509">
        <f>Lab_Data[[#This Row],[YearsAtCompany]]</f>
        <v>6</v>
      </c>
      <c r="AO509" t="str">
        <f>IF(Lab_Data[[#This Row],[PerformanceRating]]&gt;=3,"Approved","Review Required")</f>
        <v>Approved</v>
      </c>
    </row>
    <row r="510" spans="1:41"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t="str">
        <f>"LAB-"&amp;Lab_Data[[#This Row],[EmployeeNumber]]</f>
        <v>LAB-691</v>
      </c>
      <c r="AK510" t="str">
        <f>Lab_Data[[#This Row],[JobRole]]</f>
        <v>Research Scientist</v>
      </c>
      <c r="AL510" t="str">
        <f>Lab_Data[[#This Row],[Department]]</f>
        <v>Research &amp; Development</v>
      </c>
      <c r="AM510" t="str">
        <f>IF(Lab_Data[[#This Row],[Attrition]]="Yes","Failed","Completed")</f>
        <v>Completed</v>
      </c>
      <c r="AN510">
        <f>Lab_Data[[#This Row],[YearsAtCompany]]</f>
        <v>17</v>
      </c>
      <c r="AO510" t="str">
        <f>IF(Lab_Data[[#This Row],[PerformanceRating]]&gt;=3,"Approved","Review Required")</f>
        <v>Approved</v>
      </c>
    </row>
    <row r="511" spans="1:41"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t="str">
        <f>"LAB-"&amp;Lab_Data[[#This Row],[EmployeeNumber]]</f>
        <v>LAB-692</v>
      </c>
      <c r="AK511" t="str">
        <f>Lab_Data[[#This Row],[JobRole]]</f>
        <v>Healthcare Representative</v>
      </c>
      <c r="AL511" t="str">
        <f>Lab_Data[[#This Row],[Department]]</f>
        <v>Research &amp; Development</v>
      </c>
      <c r="AM511" t="str">
        <f>IF(Lab_Data[[#This Row],[Attrition]]="Yes","Failed","Completed")</f>
        <v>Completed</v>
      </c>
      <c r="AN511">
        <f>Lab_Data[[#This Row],[YearsAtCompany]]</f>
        <v>13</v>
      </c>
      <c r="AO511" t="str">
        <f>IF(Lab_Data[[#This Row],[PerformanceRating]]&gt;=3,"Approved","Review Required")</f>
        <v>Approved</v>
      </c>
    </row>
    <row r="512" spans="1:41"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t="str">
        <f>"LAB-"&amp;Lab_Data[[#This Row],[EmployeeNumber]]</f>
        <v>LAB-698</v>
      </c>
      <c r="AK512" t="str">
        <f>Lab_Data[[#This Row],[JobRole]]</f>
        <v>Human Resources</v>
      </c>
      <c r="AL512" t="str">
        <f>Lab_Data[[#This Row],[Department]]</f>
        <v>Human Resources</v>
      </c>
      <c r="AM512" t="str">
        <f>IF(Lab_Data[[#This Row],[Attrition]]="Yes","Failed","Completed")</f>
        <v>Completed</v>
      </c>
      <c r="AN512">
        <f>Lab_Data[[#This Row],[YearsAtCompany]]</f>
        <v>9</v>
      </c>
      <c r="AO512" t="str">
        <f>IF(Lab_Data[[#This Row],[PerformanceRating]]&gt;=3,"Approved","Review Required")</f>
        <v>Approved</v>
      </c>
    </row>
    <row r="513" spans="1:41"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t="str">
        <f>"LAB-"&amp;Lab_Data[[#This Row],[EmployeeNumber]]</f>
        <v>LAB-699</v>
      </c>
      <c r="AK513" t="str">
        <f>Lab_Data[[#This Row],[JobRole]]</f>
        <v>Manufacturing Director</v>
      </c>
      <c r="AL513" t="str">
        <f>Lab_Data[[#This Row],[Department]]</f>
        <v>Research &amp; Development</v>
      </c>
      <c r="AM513" t="str">
        <f>IF(Lab_Data[[#This Row],[Attrition]]="Yes","Failed","Completed")</f>
        <v>Completed</v>
      </c>
      <c r="AN513">
        <f>Lab_Data[[#This Row],[YearsAtCompany]]</f>
        <v>3</v>
      </c>
      <c r="AO513" t="str">
        <f>IF(Lab_Data[[#This Row],[PerformanceRating]]&gt;=3,"Approved","Review Required")</f>
        <v>Approved</v>
      </c>
    </row>
    <row r="514" spans="1:41"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t="str">
        <f>"LAB-"&amp;Lab_Data[[#This Row],[EmployeeNumber]]</f>
        <v>LAB-700</v>
      </c>
      <c r="AK514" t="str">
        <f>Lab_Data[[#This Row],[JobRole]]</f>
        <v>Research Scientist</v>
      </c>
      <c r="AL514" t="str">
        <f>Lab_Data[[#This Row],[Department]]</f>
        <v>Research &amp; Development</v>
      </c>
      <c r="AM514" t="str">
        <f>IF(Lab_Data[[#This Row],[Attrition]]="Yes","Failed","Completed")</f>
        <v>Completed</v>
      </c>
      <c r="AN514">
        <f>Lab_Data[[#This Row],[YearsAtCompany]]</f>
        <v>4</v>
      </c>
      <c r="AO514" t="str">
        <f>IF(Lab_Data[[#This Row],[PerformanceRating]]&gt;=3,"Approved","Review Required")</f>
        <v>Approved</v>
      </c>
    </row>
    <row r="515" spans="1:41"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t="str">
        <f>"LAB-"&amp;Lab_Data[[#This Row],[EmployeeNumber]]</f>
        <v>LAB-701</v>
      </c>
      <c r="AK515" t="str">
        <f>Lab_Data[[#This Row],[JobRole]]</f>
        <v>Research Scientist</v>
      </c>
      <c r="AL515" t="str">
        <f>Lab_Data[[#This Row],[Department]]</f>
        <v>Research &amp; Development</v>
      </c>
      <c r="AM515" t="str">
        <f>IF(Lab_Data[[#This Row],[Attrition]]="Yes","Failed","Completed")</f>
        <v>Failed</v>
      </c>
      <c r="AN515">
        <f>Lab_Data[[#This Row],[YearsAtCompany]]</f>
        <v>1</v>
      </c>
      <c r="AO515" t="str">
        <f>IF(Lab_Data[[#This Row],[PerformanceRating]]&gt;=3,"Approved","Review Required")</f>
        <v>Approved</v>
      </c>
    </row>
    <row r="516" spans="1:41"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t="str">
        <f>"LAB-"&amp;Lab_Data[[#This Row],[EmployeeNumber]]</f>
        <v>LAB-702</v>
      </c>
      <c r="AK516" t="str">
        <f>Lab_Data[[#This Row],[JobRole]]</f>
        <v>Research Scientist</v>
      </c>
      <c r="AL516" t="str">
        <f>Lab_Data[[#This Row],[Department]]</f>
        <v>Research &amp; Development</v>
      </c>
      <c r="AM516" t="str">
        <f>IF(Lab_Data[[#This Row],[Attrition]]="Yes","Failed","Completed")</f>
        <v>Failed</v>
      </c>
      <c r="AN516">
        <f>Lab_Data[[#This Row],[YearsAtCompany]]</f>
        <v>10</v>
      </c>
      <c r="AO516" t="str">
        <f>IF(Lab_Data[[#This Row],[PerformanceRating]]&gt;=3,"Approved","Review Required")</f>
        <v>Approved</v>
      </c>
    </row>
    <row r="517" spans="1:41"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t="str">
        <f>"LAB-"&amp;Lab_Data[[#This Row],[EmployeeNumber]]</f>
        <v>LAB-704</v>
      </c>
      <c r="AK517" t="str">
        <f>Lab_Data[[#This Row],[JobRole]]</f>
        <v>Laboratory Technician</v>
      </c>
      <c r="AL517" t="str">
        <f>Lab_Data[[#This Row],[Department]]</f>
        <v>Research &amp; Development</v>
      </c>
      <c r="AM517" t="str">
        <f>IF(Lab_Data[[#This Row],[Attrition]]="Yes","Failed","Completed")</f>
        <v>Completed</v>
      </c>
      <c r="AN517">
        <f>Lab_Data[[#This Row],[YearsAtCompany]]</f>
        <v>1</v>
      </c>
      <c r="AO517" t="str">
        <f>IF(Lab_Data[[#This Row],[PerformanceRating]]&gt;=3,"Approved","Review Required")</f>
        <v>Approved</v>
      </c>
    </row>
    <row r="518" spans="1:41"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t="str">
        <f>"LAB-"&amp;Lab_Data[[#This Row],[EmployeeNumber]]</f>
        <v>LAB-705</v>
      </c>
      <c r="AK518" t="str">
        <f>Lab_Data[[#This Row],[JobRole]]</f>
        <v>Research Scientist</v>
      </c>
      <c r="AL518" t="str">
        <f>Lab_Data[[#This Row],[Department]]</f>
        <v>Research &amp; Development</v>
      </c>
      <c r="AM518" t="str">
        <f>IF(Lab_Data[[#This Row],[Attrition]]="Yes","Failed","Completed")</f>
        <v>Completed</v>
      </c>
      <c r="AN518">
        <f>Lab_Data[[#This Row],[YearsAtCompany]]</f>
        <v>3</v>
      </c>
      <c r="AO518" t="str">
        <f>IF(Lab_Data[[#This Row],[PerformanceRating]]&gt;=3,"Approved","Review Required")</f>
        <v>Approved</v>
      </c>
    </row>
    <row r="519" spans="1:41"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t="str">
        <f>"LAB-"&amp;Lab_Data[[#This Row],[EmployeeNumber]]</f>
        <v>LAB-707</v>
      </c>
      <c r="AK519" t="str">
        <f>Lab_Data[[#This Row],[JobRole]]</f>
        <v>Sales Executive</v>
      </c>
      <c r="AL519" t="str">
        <f>Lab_Data[[#This Row],[Department]]</f>
        <v>Sales</v>
      </c>
      <c r="AM519" t="str">
        <f>IF(Lab_Data[[#This Row],[Attrition]]="Yes","Failed","Completed")</f>
        <v>Completed</v>
      </c>
      <c r="AN519">
        <f>Lab_Data[[#This Row],[YearsAtCompany]]</f>
        <v>3</v>
      </c>
      <c r="AO519" t="str">
        <f>IF(Lab_Data[[#This Row],[PerformanceRating]]&gt;=3,"Approved","Review Required")</f>
        <v>Approved</v>
      </c>
    </row>
    <row r="520" spans="1:41"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t="str">
        <f>"LAB-"&amp;Lab_Data[[#This Row],[EmployeeNumber]]</f>
        <v>LAB-709</v>
      </c>
      <c r="AK520" t="str">
        <f>Lab_Data[[#This Row],[JobRole]]</f>
        <v>Sales Executive</v>
      </c>
      <c r="AL520" t="str">
        <f>Lab_Data[[#This Row],[Department]]</f>
        <v>Sales</v>
      </c>
      <c r="AM520" t="str">
        <f>IF(Lab_Data[[#This Row],[Attrition]]="Yes","Failed","Completed")</f>
        <v>Completed</v>
      </c>
      <c r="AN520">
        <f>Lab_Data[[#This Row],[YearsAtCompany]]</f>
        <v>7</v>
      </c>
      <c r="AO520" t="str">
        <f>IF(Lab_Data[[#This Row],[PerformanceRating]]&gt;=3,"Approved","Review Required")</f>
        <v>Approved</v>
      </c>
    </row>
    <row r="521" spans="1:41"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t="str">
        <f>"LAB-"&amp;Lab_Data[[#This Row],[EmployeeNumber]]</f>
        <v>LAB-710</v>
      </c>
      <c r="AK521" t="str">
        <f>Lab_Data[[#This Row],[JobRole]]</f>
        <v>Research Scientist</v>
      </c>
      <c r="AL521" t="str">
        <f>Lab_Data[[#This Row],[Department]]</f>
        <v>Research &amp; Development</v>
      </c>
      <c r="AM521" t="str">
        <f>IF(Lab_Data[[#This Row],[Attrition]]="Yes","Failed","Completed")</f>
        <v>Completed</v>
      </c>
      <c r="AN521">
        <f>Lab_Data[[#This Row],[YearsAtCompany]]</f>
        <v>10</v>
      </c>
      <c r="AO521" t="str">
        <f>IF(Lab_Data[[#This Row],[PerformanceRating]]&gt;=3,"Approved","Review Required")</f>
        <v>Approved</v>
      </c>
    </row>
    <row r="522" spans="1:41"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t="str">
        <f>"LAB-"&amp;Lab_Data[[#This Row],[EmployeeNumber]]</f>
        <v>LAB-712</v>
      </c>
      <c r="AK522" t="str">
        <f>Lab_Data[[#This Row],[JobRole]]</f>
        <v>Sales Executive</v>
      </c>
      <c r="AL522" t="str">
        <f>Lab_Data[[#This Row],[Department]]</f>
        <v>Sales</v>
      </c>
      <c r="AM522" t="str">
        <f>IF(Lab_Data[[#This Row],[Attrition]]="Yes","Failed","Completed")</f>
        <v>Completed</v>
      </c>
      <c r="AN522">
        <f>Lab_Data[[#This Row],[YearsAtCompany]]</f>
        <v>2</v>
      </c>
      <c r="AO522" t="str">
        <f>IF(Lab_Data[[#This Row],[PerformanceRating]]&gt;=3,"Approved","Review Required")</f>
        <v>Approved</v>
      </c>
    </row>
    <row r="523" spans="1:41"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t="str">
        <f>"LAB-"&amp;Lab_Data[[#This Row],[EmployeeNumber]]</f>
        <v>LAB-714</v>
      </c>
      <c r="AK523" t="str">
        <f>Lab_Data[[#This Row],[JobRole]]</f>
        <v>Sales Executive</v>
      </c>
      <c r="AL523" t="str">
        <f>Lab_Data[[#This Row],[Department]]</f>
        <v>Sales</v>
      </c>
      <c r="AM523" t="str">
        <f>IF(Lab_Data[[#This Row],[Attrition]]="Yes","Failed","Completed")</f>
        <v>Completed</v>
      </c>
      <c r="AN523">
        <f>Lab_Data[[#This Row],[YearsAtCompany]]</f>
        <v>6</v>
      </c>
      <c r="AO523" t="str">
        <f>IF(Lab_Data[[#This Row],[PerformanceRating]]&gt;=3,"Approved","Review Required")</f>
        <v>Approved</v>
      </c>
    </row>
    <row r="524" spans="1:41"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t="str">
        <f>"LAB-"&amp;Lab_Data[[#This Row],[EmployeeNumber]]</f>
        <v>LAB-715</v>
      </c>
      <c r="AK524" t="str">
        <f>Lab_Data[[#This Row],[JobRole]]</f>
        <v>Research Scientist</v>
      </c>
      <c r="AL524" t="str">
        <f>Lab_Data[[#This Row],[Department]]</f>
        <v>Research &amp; Development</v>
      </c>
      <c r="AM524" t="str">
        <f>IF(Lab_Data[[#This Row],[Attrition]]="Yes","Failed","Completed")</f>
        <v>Completed</v>
      </c>
      <c r="AN524">
        <f>Lab_Data[[#This Row],[YearsAtCompany]]</f>
        <v>1</v>
      </c>
      <c r="AO524" t="str">
        <f>IF(Lab_Data[[#This Row],[PerformanceRating]]&gt;=3,"Approved","Review Required")</f>
        <v>Approved</v>
      </c>
    </row>
    <row r="525" spans="1:41"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t="str">
        <f>"LAB-"&amp;Lab_Data[[#This Row],[EmployeeNumber]]</f>
        <v>LAB-716</v>
      </c>
      <c r="AK525" t="str">
        <f>Lab_Data[[#This Row],[JobRole]]</f>
        <v>Laboratory Technician</v>
      </c>
      <c r="AL525" t="str">
        <f>Lab_Data[[#This Row],[Department]]</f>
        <v>Research &amp; Development</v>
      </c>
      <c r="AM525" t="str">
        <f>IF(Lab_Data[[#This Row],[Attrition]]="Yes","Failed","Completed")</f>
        <v>Completed</v>
      </c>
      <c r="AN525">
        <f>Lab_Data[[#This Row],[YearsAtCompany]]</f>
        <v>20</v>
      </c>
      <c r="AO525" t="str">
        <f>IF(Lab_Data[[#This Row],[PerformanceRating]]&gt;=3,"Approved","Review Required")</f>
        <v>Approved</v>
      </c>
    </row>
    <row r="526" spans="1:41"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t="str">
        <f>"LAB-"&amp;Lab_Data[[#This Row],[EmployeeNumber]]</f>
        <v>LAB-717</v>
      </c>
      <c r="AK526" t="str">
        <f>Lab_Data[[#This Row],[JobRole]]</f>
        <v>Healthcare Representative</v>
      </c>
      <c r="AL526" t="str">
        <f>Lab_Data[[#This Row],[Department]]</f>
        <v>Research &amp; Development</v>
      </c>
      <c r="AM526" t="str">
        <f>IF(Lab_Data[[#This Row],[Attrition]]="Yes","Failed","Completed")</f>
        <v>Completed</v>
      </c>
      <c r="AN526">
        <f>Lab_Data[[#This Row],[YearsAtCompany]]</f>
        <v>8</v>
      </c>
      <c r="AO526" t="str">
        <f>IF(Lab_Data[[#This Row],[PerformanceRating]]&gt;=3,"Approved","Review Required")</f>
        <v>Approved</v>
      </c>
    </row>
    <row r="527" spans="1:41"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t="str">
        <f>"LAB-"&amp;Lab_Data[[#This Row],[EmployeeNumber]]</f>
        <v>LAB-720</v>
      </c>
      <c r="AK527" t="str">
        <f>Lab_Data[[#This Row],[JobRole]]</f>
        <v>Sales Executive</v>
      </c>
      <c r="AL527" t="str">
        <f>Lab_Data[[#This Row],[Department]]</f>
        <v>Sales</v>
      </c>
      <c r="AM527" t="str">
        <f>IF(Lab_Data[[#This Row],[Attrition]]="Yes","Failed","Completed")</f>
        <v>Failed</v>
      </c>
      <c r="AN527">
        <f>Lab_Data[[#This Row],[YearsAtCompany]]</f>
        <v>2</v>
      </c>
      <c r="AO527" t="str">
        <f>IF(Lab_Data[[#This Row],[PerformanceRating]]&gt;=3,"Approved","Review Required")</f>
        <v>Approved</v>
      </c>
    </row>
    <row r="528" spans="1:41"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t="str">
        <f>"LAB-"&amp;Lab_Data[[#This Row],[EmployeeNumber]]</f>
        <v>LAB-721</v>
      </c>
      <c r="AK528" t="str">
        <f>Lab_Data[[#This Row],[JobRole]]</f>
        <v>Healthcare Representative</v>
      </c>
      <c r="AL528" t="str">
        <f>Lab_Data[[#This Row],[Department]]</f>
        <v>Research &amp; Development</v>
      </c>
      <c r="AM528" t="str">
        <f>IF(Lab_Data[[#This Row],[Attrition]]="Yes","Failed","Completed")</f>
        <v>Completed</v>
      </c>
      <c r="AN528">
        <f>Lab_Data[[#This Row],[YearsAtCompany]]</f>
        <v>20</v>
      </c>
      <c r="AO528" t="str">
        <f>IF(Lab_Data[[#This Row],[PerformanceRating]]&gt;=3,"Approved","Review Required")</f>
        <v>Approved</v>
      </c>
    </row>
    <row r="529" spans="1:41"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t="str">
        <f>"LAB-"&amp;Lab_Data[[#This Row],[EmployeeNumber]]</f>
        <v>LAB-722</v>
      </c>
      <c r="AK529" t="str">
        <f>Lab_Data[[#This Row],[JobRole]]</f>
        <v>Sales Executive</v>
      </c>
      <c r="AL529" t="str">
        <f>Lab_Data[[#This Row],[Department]]</f>
        <v>Sales</v>
      </c>
      <c r="AM529" t="str">
        <f>IF(Lab_Data[[#This Row],[Attrition]]="Yes","Failed","Completed")</f>
        <v>Completed</v>
      </c>
      <c r="AN529">
        <f>Lab_Data[[#This Row],[YearsAtCompany]]</f>
        <v>10</v>
      </c>
      <c r="AO529" t="str">
        <f>IF(Lab_Data[[#This Row],[PerformanceRating]]&gt;=3,"Approved","Review Required")</f>
        <v>Approved</v>
      </c>
    </row>
    <row r="530" spans="1:41"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t="str">
        <f>"LAB-"&amp;Lab_Data[[#This Row],[EmployeeNumber]]</f>
        <v>LAB-723</v>
      </c>
      <c r="AK530" t="str">
        <f>Lab_Data[[#This Row],[JobRole]]</f>
        <v>Sales Executive</v>
      </c>
      <c r="AL530" t="str">
        <f>Lab_Data[[#This Row],[Department]]</f>
        <v>Sales</v>
      </c>
      <c r="AM530" t="str">
        <f>IF(Lab_Data[[#This Row],[Attrition]]="Yes","Failed","Completed")</f>
        <v>Failed</v>
      </c>
      <c r="AN530">
        <f>Lab_Data[[#This Row],[YearsAtCompany]]</f>
        <v>4</v>
      </c>
      <c r="AO530" t="str">
        <f>IF(Lab_Data[[#This Row],[PerformanceRating]]&gt;=3,"Approved","Review Required")</f>
        <v>Approved</v>
      </c>
    </row>
    <row r="531" spans="1:41"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t="str">
        <f>"LAB-"&amp;Lab_Data[[#This Row],[EmployeeNumber]]</f>
        <v>LAB-724</v>
      </c>
      <c r="AK531" t="str">
        <f>Lab_Data[[#This Row],[JobRole]]</f>
        <v>Healthcare Representative</v>
      </c>
      <c r="AL531" t="str">
        <f>Lab_Data[[#This Row],[Department]]</f>
        <v>Research &amp; Development</v>
      </c>
      <c r="AM531" t="str">
        <f>IF(Lab_Data[[#This Row],[Attrition]]="Yes","Failed","Completed")</f>
        <v>Completed</v>
      </c>
      <c r="AN531">
        <f>Lab_Data[[#This Row],[YearsAtCompany]]</f>
        <v>9</v>
      </c>
      <c r="AO531" t="str">
        <f>IF(Lab_Data[[#This Row],[PerformanceRating]]&gt;=3,"Approved","Review Required")</f>
        <v>Approved</v>
      </c>
    </row>
    <row r="532" spans="1:41"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t="str">
        <f>"LAB-"&amp;Lab_Data[[#This Row],[EmployeeNumber]]</f>
        <v>LAB-725</v>
      </c>
      <c r="AK532" t="str">
        <f>Lab_Data[[#This Row],[JobRole]]</f>
        <v>Manufacturing Director</v>
      </c>
      <c r="AL532" t="str">
        <f>Lab_Data[[#This Row],[Department]]</f>
        <v>Research &amp; Development</v>
      </c>
      <c r="AM532" t="str">
        <f>IF(Lab_Data[[#This Row],[Attrition]]="Yes","Failed","Completed")</f>
        <v>Completed</v>
      </c>
      <c r="AN532">
        <f>Lab_Data[[#This Row],[YearsAtCompany]]</f>
        <v>9</v>
      </c>
      <c r="AO532" t="str">
        <f>IF(Lab_Data[[#This Row],[PerformanceRating]]&gt;=3,"Approved","Review Required")</f>
        <v>Approved</v>
      </c>
    </row>
    <row r="533" spans="1:41"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t="str">
        <f>"LAB-"&amp;Lab_Data[[#This Row],[EmployeeNumber]]</f>
        <v>LAB-727</v>
      </c>
      <c r="AK533" t="str">
        <f>Lab_Data[[#This Row],[JobRole]]</f>
        <v>Research Director</v>
      </c>
      <c r="AL533" t="str">
        <f>Lab_Data[[#This Row],[Department]]</f>
        <v>Research &amp; Development</v>
      </c>
      <c r="AM533" t="str">
        <f>IF(Lab_Data[[#This Row],[Attrition]]="Yes","Failed","Completed")</f>
        <v>Completed</v>
      </c>
      <c r="AN533">
        <f>Lab_Data[[#This Row],[YearsAtCompany]]</f>
        <v>7</v>
      </c>
      <c r="AO533" t="str">
        <f>IF(Lab_Data[[#This Row],[PerformanceRating]]&gt;=3,"Approved","Review Required")</f>
        <v>Approved</v>
      </c>
    </row>
    <row r="534" spans="1:41"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t="str">
        <f>"LAB-"&amp;Lab_Data[[#This Row],[EmployeeNumber]]</f>
        <v>LAB-728</v>
      </c>
      <c r="AK534" t="str">
        <f>Lab_Data[[#This Row],[JobRole]]</f>
        <v>Sales Executive</v>
      </c>
      <c r="AL534" t="str">
        <f>Lab_Data[[#This Row],[Department]]</f>
        <v>Sales</v>
      </c>
      <c r="AM534" t="str">
        <f>IF(Lab_Data[[#This Row],[Attrition]]="Yes","Failed","Completed")</f>
        <v>Completed</v>
      </c>
      <c r="AN534">
        <f>Lab_Data[[#This Row],[YearsAtCompany]]</f>
        <v>7</v>
      </c>
      <c r="AO534" t="str">
        <f>IF(Lab_Data[[#This Row],[PerformanceRating]]&gt;=3,"Approved","Review Required")</f>
        <v>Approved</v>
      </c>
    </row>
    <row r="535" spans="1:41"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t="str">
        <f>"LAB-"&amp;Lab_Data[[#This Row],[EmployeeNumber]]</f>
        <v>LAB-729</v>
      </c>
      <c r="AK535" t="str">
        <f>Lab_Data[[#This Row],[JobRole]]</f>
        <v>Sales Executive</v>
      </c>
      <c r="AL535" t="str">
        <f>Lab_Data[[#This Row],[Department]]</f>
        <v>Sales</v>
      </c>
      <c r="AM535" t="str">
        <f>IF(Lab_Data[[#This Row],[Attrition]]="Yes","Failed","Completed")</f>
        <v>Completed</v>
      </c>
      <c r="AN535">
        <f>Lab_Data[[#This Row],[YearsAtCompany]]</f>
        <v>18</v>
      </c>
      <c r="AO535" t="str">
        <f>IF(Lab_Data[[#This Row],[PerformanceRating]]&gt;=3,"Approved","Review Required")</f>
        <v>Approved</v>
      </c>
    </row>
    <row r="536" spans="1:41"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t="str">
        <f>"LAB-"&amp;Lab_Data[[#This Row],[EmployeeNumber]]</f>
        <v>LAB-730</v>
      </c>
      <c r="AK536" t="str">
        <f>Lab_Data[[#This Row],[JobRole]]</f>
        <v>Research Director</v>
      </c>
      <c r="AL536" t="str">
        <f>Lab_Data[[#This Row],[Department]]</f>
        <v>Research &amp; Development</v>
      </c>
      <c r="AM536" t="str">
        <f>IF(Lab_Data[[#This Row],[Attrition]]="Yes","Failed","Completed")</f>
        <v>Completed</v>
      </c>
      <c r="AN536">
        <f>Lab_Data[[#This Row],[YearsAtCompany]]</f>
        <v>5</v>
      </c>
      <c r="AO536" t="str">
        <f>IF(Lab_Data[[#This Row],[PerformanceRating]]&gt;=3,"Approved","Review Required")</f>
        <v>Approved</v>
      </c>
    </row>
    <row r="537" spans="1:41"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t="str">
        <f>"LAB-"&amp;Lab_Data[[#This Row],[EmployeeNumber]]</f>
        <v>LAB-731</v>
      </c>
      <c r="AK537" t="str">
        <f>Lab_Data[[#This Row],[JobRole]]</f>
        <v>Manager</v>
      </c>
      <c r="AL537" t="str">
        <f>Lab_Data[[#This Row],[Department]]</f>
        <v>Human Resources</v>
      </c>
      <c r="AM537" t="str">
        <f>IF(Lab_Data[[#This Row],[Attrition]]="Yes","Failed","Completed")</f>
        <v>Completed</v>
      </c>
      <c r="AN537">
        <f>Lab_Data[[#This Row],[YearsAtCompany]]</f>
        <v>21</v>
      </c>
      <c r="AO537" t="str">
        <f>IF(Lab_Data[[#This Row],[PerformanceRating]]&gt;=3,"Approved","Review Required")</f>
        <v>Approved</v>
      </c>
    </row>
    <row r="538" spans="1:41"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t="str">
        <f>"LAB-"&amp;Lab_Data[[#This Row],[EmployeeNumber]]</f>
        <v>LAB-732</v>
      </c>
      <c r="AK538" t="str">
        <f>Lab_Data[[#This Row],[JobRole]]</f>
        <v>Sales Executive</v>
      </c>
      <c r="AL538" t="str">
        <f>Lab_Data[[#This Row],[Department]]</f>
        <v>Sales</v>
      </c>
      <c r="AM538" t="str">
        <f>IF(Lab_Data[[#This Row],[Attrition]]="Yes","Failed","Completed")</f>
        <v>Completed</v>
      </c>
      <c r="AN538">
        <f>Lab_Data[[#This Row],[YearsAtCompany]]</f>
        <v>2</v>
      </c>
      <c r="AO538" t="str">
        <f>IF(Lab_Data[[#This Row],[PerformanceRating]]&gt;=3,"Approved","Review Required")</f>
        <v>Approved</v>
      </c>
    </row>
    <row r="539" spans="1:41"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t="str">
        <f>"LAB-"&amp;Lab_Data[[#This Row],[EmployeeNumber]]</f>
        <v>LAB-733</v>
      </c>
      <c r="AK539" t="str">
        <f>Lab_Data[[#This Row],[JobRole]]</f>
        <v>Manufacturing Director</v>
      </c>
      <c r="AL539" t="str">
        <f>Lab_Data[[#This Row],[Department]]</f>
        <v>Research &amp; Development</v>
      </c>
      <c r="AM539" t="str">
        <f>IF(Lab_Data[[#This Row],[Attrition]]="Yes","Failed","Completed")</f>
        <v>Completed</v>
      </c>
      <c r="AN539">
        <f>Lab_Data[[#This Row],[YearsAtCompany]]</f>
        <v>9</v>
      </c>
      <c r="AO539" t="str">
        <f>IF(Lab_Data[[#This Row],[PerformanceRating]]&gt;=3,"Approved","Review Required")</f>
        <v>Approved</v>
      </c>
    </row>
    <row r="540" spans="1:41"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t="str">
        <f>"LAB-"&amp;Lab_Data[[#This Row],[EmployeeNumber]]</f>
        <v>LAB-734</v>
      </c>
      <c r="AK540" t="str">
        <f>Lab_Data[[#This Row],[JobRole]]</f>
        <v>Manager</v>
      </c>
      <c r="AL540" t="str">
        <f>Lab_Data[[#This Row],[Department]]</f>
        <v>Human Resources</v>
      </c>
      <c r="AM540" t="str">
        <f>IF(Lab_Data[[#This Row],[Attrition]]="Yes","Failed","Completed")</f>
        <v>Completed</v>
      </c>
      <c r="AN540">
        <f>Lab_Data[[#This Row],[YearsAtCompany]]</f>
        <v>22</v>
      </c>
      <c r="AO540" t="str">
        <f>IF(Lab_Data[[#This Row],[PerformanceRating]]&gt;=3,"Approved","Review Required")</f>
        <v>Approved</v>
      </c>
    </row>
    <row r="541" spans="1:41"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t="str">
        <f>"LAB-"&amp;Lab_Data[[#This Row],[EmployeeNumber]]</f>
        <v>LAB-738</v>
      </c>
      <c r="AK541" t="str">
        <f>Lab_Data[[#This Row],[JobRole]]</f>
        <v>Sales Representative</v>
      </c>
      <c r="AL541" t="str">
        <f>Lab_Data[[#This Row],[Department]]</f>
        <v>Sales</v>
      </c>
      <c r="AM541" t="str">
        <f>IF(Lab_Data[[#This Row],[Attrition]]="Yes","Failed","Completed")</f>
        <v>Completed</v>
      </c>
      <c r="AN541">
        <f>Lab_Data[[#This Row],[YearsAtCompany]]</f>
        <v>2</v>
      </c>
      <c r="AO541" t="str">
        <f>IF(Lab_Data[[#This Row],[PerformanceRating]]&gt;=3,"Approved","Review Required")</f>
        <v>Approved</v>
      </c>
    </row>
    <row r="542" spans="1:41"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t="str">
        <f>"LAB-"&amp;Lab_Data[[#This Row],[EmployeeNumber]]</f>
        <v>LAB-741</v>
      </c>
      <c r="AK542" t="str">
        <f>Lab_Data[[#This Row],[JobRole]]</f>
        <v>Research Scientist</v>
      </c>
      <c r="AL542" t="str">
        <f>Lab_Data[[#This Row],[Department]]</f>
        <v>Research &amp; Development</v>
      </c>
      <c r="AM542" t="str">
        <f>IF(Lab_Data[[#This Row],[Attrition]]="Yes","Failed","Completed")</f>
        <v>Failed</v>
      </c>
      <c r="AN542">
        <f>Lab_Data[[#This Row],[YearsAtCompany]]</f>
        <v>7</v>
      </c>
      <c r="AO542" t="str">
        <f>IF(Lab_Data[[#This Row],[PerformanceRating]]&gt;=3,"Approved","Review Required")</f>
        <v>Approved</v>
      </c>
    </row>
    <row r="543" spans="1:41"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t="str">
        <f>"LAB-"&amp;Lab_Data[[#This Row],[EmployeeNumber]]</f>
        <v>LAB-742</v>
      </c>
      <c r="AK543" t="str">
        <f>Lab_Data[[#This Row],[JobRole]]</f>
        <v>Research Director</v>
      </c>
      <c r="AL543" t="str">
        <f>Lab_Data[[#This Row],[Department]]</f>
        <v>Research &amp; Development</v>
      </c>
      <c r="AM543" t="str">
        <f>IF(Lab_Data[[#This Row],[Attrition]]="Yes","Failed","Completed")</f>
        <v>Completed</v>
      </c>
      <c r="AN543">
        <f>Lab_Data[[#This Row],[YearsAtCompany]]</f>
        <v>8</v>
      </c>
      <c r="AO543" t="str">
        <f>IF(Lab_Data[[#This Row],[PerformanceRating]]&gt;=3,"Approved","Review Required")</f>
        <v>Approved</v>
      </c>
    </row>
    <row r="544" spans="1:41"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t="str">
        <f>"LAB-"&amp;Lab_Data[[#This Row],[EmployeeNumber]]</f>
        <v>LAB-743</v>
      </c>
      <c r="AK544" t="str">
        <f>Lab_Data[[#This Row],[JobRole]]</f>
        <v>Manufacturing Director</v>
      </c>
      <c r="AL544" t="str">
        <f>Lab_Data[[#This Row],[Department]]</f>
        <v>Research &amp; Development</v>
      </c>
      <c r="AM544" t="str">
        <f>IF(Lab_Data[[#This Row],[Attrition]]="Yes","Failed","Completed")</f>
        <v>Completed</v>
      </c>
      <c r="AN544">
        <f>Lab_Data[[#This Row],[YearsAtCompany]]</f>
        <v>1</v>
      </c>
      <c r="AO544" t="str">
        <f>IF(Lab_Data[[#This Row],[PerformanceRating]]&gt;=3,"Approved","Review Required")</f>
        <v>Approved</v>
      </c>
    </row>
    <row r="545" spans="1:41"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t="str">
        <f>"LAB-"&amp;Lab_Data[[#This Row],[EmployeeNumber]]</f>
        <v>LAB-744</v>
      </c>
      <c r="AK545" t="str">
        <f>Lab_Data[[#This Row],[JobRole]]</f>
        <v>Laboratory Technician</v>
      </c>
      <c r="AL545" t="str">
        <f>Lab_Data[[#This Row],[Department]]</f>
        <v>Research &amp; Development</v>
      </c>
      <c r="AM545" t="str">
        <f>IF(Lab_Data[[#This Row],[Attrition]]="Yes","Failed","Completed")</f>
        <v>Completed</v>
      </c>
      <c r="AN545">
        <f>Lab_Data[[#This Row],[YearsAtCompany]]</f>
        <v>5</v>
      </c>
      <c r="AO545" t="str">
        <f>IF(Lab_Data[[#This Row],[PerformanceRating]]&gt;=3,"Approved","Review Required")</f>
        <v>Approved</v>
      </c>
    </row>
    <row r="546" spans="1:41"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t="str">
        <f>"LAB-"&amp;Lab_Data[[#This Row],[EmployeeNumber]]</f>
        <v>LAB-746</v>
      </c>
      <c r="AK546" t="str">
        <f>Lab_Data[[#This Row],[JobRole]]</f>
        <v>Sales Executive</v>
      </c>
      <c r="AL546" t="str">
        <f>Lab_Data[[#This Row],[Department]]</f>
        <v>Sales</v>
      </c>
      <c r="AM546" t="str">
        <f>IF(Lab_Data[[#This Row],[Attrition]]="Yes","Failed","Completed")</f>
        <v>Completed</v>
      </c>
      <c r="AN546">
        <f>Lab_Data[[#This Row],[YearsAtCompany]]</f>
        <v>22</v>
      </c>
      <c r="AO546" t="str">
        <f>IF(Lab_Data[[#This Row],[PerformanceRating]]&gt;=3,"Approved","Review Required")</f>
        <v>Approved</v>
      </c>
    </row>
    <row r="547" spans="1:41"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t="str">
        <f>"LAB-"&amp;Lab_Data[[#This Row],[EmployeeNumber]]</f>
        <v>LAB-747</v>
      </c>
      <c r="AK547" t="str">
        <f>Lab_Data[[#This Row],[JobRole]]</f>
        <v>Sales Executive</v>
      </c>
      <c r="AL547" t="str">
        <f>Lab_Data[[#This Row],[Department]]</f>
        <v>Sales</v>
      </c>
      <c r="AM547" t="str">
        <f>IF(Lab_Data[[#This Row],[Attrition]]="Yes","Failed","Completed")</f>
        <v>Completed</v>
      </c>
      <c r="AN547">
        <f>Lab_Data[[#This Row],[YearsAtCompany]]</f>
        <v>8</v>
      </c>
      <c r="AO547" t="str">
        <f>IF(Lab_Data[[#This Row],[PerformanceRating]]&gt;=3,"Approved","Review Required")</f>
        <v>Approved</v>
      </c>
    </row>
    <row r="548" spans="1:41"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t="str">
        <f>"LAB-"&amp;Lab_Data[[#This Row],[EmployeeNumber]]</f>
        <v>LAB-749</v>
      </c>
      <c r="AK548" t="str">
        <f>Lab_Data[[#This Row],[JobRole]]</f>
        <v>Sales Representative</v>
      </c>
      <c r="AL548" t="str">
        <f>Lab_Data[[#This Row],[Department]]</f>
        <v>Sales</v>
      </c>
      <c r="AM548" t="str">
        <f>IF(Lab_Data[[#This Row],[Attrition]]="Yes","Failed","Completed")</f>
        <v>Completed</v>
      </c>
      <c r="AN548">
        <f>Lab_Data[[#This Row],[YearsAtCompany]]</f>
        <v>1</v>
      </c>
      <c r="AO548" t="str">
        <f>IF(Lab_Data[[#This Row],[PerformanceRating]]&gt;=3,"Approved","Review Required")</f>
        <v>Approved</v>
      </c>
    </row>
    <row r="549" spans="1:41"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t="str">
        <f>"LAB-"&amp;Lab_Data[[#This Row],[EmployeeNumber]]</f>
        <v>LAB-752</v>
      </c>
      <c r="AK549" t="str">
        <f>Lab_Data[[#This Row],[JobRole]]</f>
        <v>Research Scientist</v>
      </c>
      <c r="AL549" t="str">
        <f>Lab_Data[[#This Row],[Department]]</f>
        <v>Research &amp; Development</v>
      </c>
      <c r="AM549" t="str">
        <f>IF(Lab_Data[[#This Row],[Attrition]]="Yes","Failed","Completed")</f>
        <v>Failed</v>
      </c>
      <c r="AN549">
        <f>Lab_Data[[#This Row],[YearsAtCompany]]</f>
        <v>2</v>
      </c>
      <c r="AO549" t="str">
        <f>IF(Lab_Data[[#This Row],[PerformanceRating]]&gt;=3,"Approved","Review Required")</f>
        <v>Approved</v>
      </c>
    </row>
    <row r="550" spans="1:41"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t="str">
        <f>"LAB-"&amp;Lab_Data[[#This Row],[EmployeeNumber]]</f>
        <v>LAB-754</v>
      </c>
      <c r="AK550" t="str">
        <f>Lab_Data[[#This Row],[JobRole]]</f>
        <v>Sales Executive</v>
      </c>
      <c r="AL550" t="str">
        <f>Lab_Data[[#This Row],[Department]]</f>
        <v>Sales</v>
      </c>
      <c r="AM550" t="str">
        <f>IF(Lab_Data[[#This Row],[Attrition]]="Yes","Failed","Completed")</f>
        <v>Completed</v>
      </c>
      <c r="AN550">
        <f>Lab_Data[[#This Row],[YearsAtCompany]]</f>
        <v>2</v>
      </c>
      <c r="AO550" t="str">
        <f>IF(Lab_Data[[#This Row],[PerformanceRating]]&gt;=3,"Approved","Review Required")</f>
        <v>Approved</v>
      </c>
    </row>
    <row r="551" spans="1:41"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t="str">
        <f>"LAB-"&amp;Lab_Data[[#This Row],[EmployeeNumber]]</f>
        <v>LAB-757</v>
      </c>
      <c r="AK551" t="str">
        <f>Lab_Data[[#This Row],[JobRole]]</f>
        <v>Healthcare Representative</v>
      </c>
      <c r="AL551" t="str">
        <f>Lab_Data[[#This Row],[Department]]</f>
        <v>Research &amp; Development</v>
      </c>
      <c r="AM551" t="str">
        <f>IF(Lab_Data[[#This Row],[Attrition]]="Yes","Failed","Completed")</f>
        <v>Completed</v>
      </c>
      <c r="AN551">
        <f>Lab_Data[[#This Row],[YearsAtCompany]]</f>
        <v>5</v>
      </c>
      <c r="AO551" t="str">
        <f>IF(Lab_Data[[#This Row],[PerformanceRating]]&gt;=3,"Approved","Review Required")</f>
        <v>Approved</v>
      </c>
    </row>
    <row r="552" spans="1:41"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t="str">
        <f>"LAB-"&amp;Lab_Data[[#This Row],[EmployeeNumber]]</f>
        <v>LAB-758</v>
      </c>
      <c r="AK552" t="str">
        <f>Lab_Data[[#This Row],[JobRole]]</f>
        <v>Laboratory Technician</v>
      </c>
      <c r="AL552" t="str">
        <f>Lab_Data[[#This Row],[Department]]</f>
        <v>Research &amp; Development</v>
      </c>
      <c r="AM552" t="str">
        <f>IF(Lab_Data[[#This Row],[Attrition]]="Yes","Failed","Completed")</f>
        <v>Completed</v>
      </c>
      <c r="AN552">
        <f>Lab_Data[[#This Row],[YearsAtCompany]]</f>
        <v>4</v>
      </c>
      <c r="AO552" t="str">
        <f>IF(Lab_Data[[#This Row],[PerformanceRating]]&gt;=3,"Approved","Review Required")</f>
        <v>Approved</v>
      </c>
    </row>
    <row r="553" spans="1:41"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t="str">
        <f>"LAB-"&amp;Lab_Data[[#This Row],[EmployeeNumber]]</f>
        <v>LAB-760</v>
      </c>
      <c r="AK553" t="str">
        <f>Lab_Data[[#This Row],[JobRole]]</f>
        <v>Human Resources</v>
      </c>
      <c r="AL553" t="str">
        <f>Lab_Data[[#This Row],[Department]]</f>
        <v>Human Resources</v>
      </c>
      <c r="AM553" t="str">
        <f>IF(Lab_Data[[#This Row],[Attrition]]="Yes","Failed","Completed")</f>
        <v>Completed</v>
      </c>
      <c r="AN553">
        <f>Lab_Data[[#This Row],[YearsAtCompany]]</f>
        <v>8</v>
      </c>
      <c r="AO553" t="str">
        <f>IF(Lab_Data[[#This Row],[PerformanceRating]]&gt;=3,"Approved","Review Required")</f>
        <v>Approved</v>
      </c>
    </row>
    <row r="554" spans="1:41"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t="str">
        <f>"LAB-"&amp;Lab_Data[[#This Row],[EmployeeNumber]]</f>
        <v>LAB-762</v>
      </c>
      <c r="AK554" t="str">
        <f>Lab_Data[[#This Row],[JobRole]]</f>
        <v>Healthcare Representative</v>
      </c>
      <c r="AL554" t="str">
        <f>Lab_Data[[#This Row],[Department]]</f>
        <v>Research &amp; Development</v>
      </c>
      <c r="AM554" t="str">
        <f>IF(Lab_Data[[#This Row],[Attrition]]="Yes","Failed","Completed")</f>
        <v>Completed</v>
      </c>
      <c r="AN554">
        <f>Lab_Data[[#This Row],[YearsAtCompany]]</f>
        <v>10</v>
      </c>
      <c r="AO554" t="str">
        <f>IF(Lab_Data[[#This Row],[PerformanceRating]]&gt;=3,"Approved","Review Required")</f>
        <v>Approved</v>
      </c>
    </row>
    <row r="555" spans="1:41"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t="str">
        <f>"LAB-"&amp;Lab_Data[[#This Row],[EmployeeNumber]]</f>
        <v>LAB-763</v>
      </c>
      <c r="AK555" t="str">
        <f>Lab_Data[[#This Row],[JobRole]]</f>
        <v>Research Scientist</v>
      </c>
      <c r="AL555" t="str">
        <f>Lab_Data[[#This Row],[Department]]</f>
        <v>Research &amp; Development</v>
      </c>
      <c r="AM555" t="str">
        <f>IF(Lab_Data[[#This Row],[Attrition]]="Yes","Failed","Completed")</f>
        <v>Completed</v>
      </c>
      <c r="AN555">
        <f>Lab_Data[[#This Row],[YearsAtCompany]]</f>
        <v>4</v>
      </c>
      <c r="AO555" t="str">
        <f>IF(Lab_Data[[#This Row],[PerformanceRating]]&gt;=3,"Approved","Review Required")</f>
        <v>Approved</v>
      </c>
    </row>
    <row r="556" spans="1:41"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t="str">
        <f>"LAB-"&amp;Lab_Data[[#This Row],[EmployeeNumber]]</f>
        <v>LAB-764</v>
      </c>
      <c r="AK556" t="str">
        <f>Lab_Data[[#This Row],[JobRole]]</f>
        <v>Healthcare Representative</v>
      </c>
      <c r="AL556" t="str">
        <f>Lab_Data[[#This Row],[Department]]</f>
        <v>Research &amp; Development</v>
      </c>
      <c r="AM556" t="str">
        <f>IF(Lab_Data[[#This Row],[Attrition]]="Yes","Failed","Completed")</f>
        <v>Completed</v>
      </c>
      <c r="AN556">
        <f>Lab_Data[[#This Row],[YearsAtCompany]]</f>
        <v>7</v>
      </c>
      <c r="AO556" t="str">
        <f>IF(Lab_Data[[#This Row],[PerformanceRating]]&gt;=3,"Approved","Review Required")</f>
        <v>Approved</v>
      </c>
    </row>
    <row r="557" spans="1:41"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t="str">
        <f>"LAB-"&amp;Lab_Data[[#This Row],[EmployeeNumber]]</f>
        <v>LAB-766</v>
      </c>
      <c r="AK557" t="str">
        <f>Lab_Data[[#This Row],[JobRole]]</f>
        <v>Sales Representative</v>
      </c>
      <c r="AL557" t="str">
        <f>Lab_Data[[#This Row],[Department]]</f>
        <v>Sales</v>
      </c>
      <c r="AM557" t="str">
        <f>IF(Lab_Data[[#This Row],[Attrition]]="Yes","Failed","Completed")</f>
        <v>Completed</v>
      </c>
      <c r="AN557">
        <f>Lab_Data[[#This Row],[YearsAtCompany]]</f>
        <v>2</v>
      </c>
      <c r="AO557" t="str">
        <f>IF(Lab_Data[[#This Row],[PerformanceRating]]&gt;=3,"Approved","Review Required")</f>
        <v>Approved</v>
      </c>
    </row>
    <row r="558" spans="1:41"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t="str">
        <f>"LAB-"&amp;Lab_Data[[#This Row],[EmployeeNumber]]</f>
        <v>LAB-769</v>
      </c>
      <c r="AK558" t="str">
        <f>Lab_Data[[#This Row],[JobRole]]</f>
        <v>Laboratory Technician</v>
      </c>
      <c r="AL558" t="str">
        <f>Lab_Data[[#This Row],[Department]]</f>
        <v>Research &amp; Development</v>
      </c>
      <c r="AM558" t="str">
        <f>IF(Lab_Data[[#This Row],[Attrition]]="Yes","Failed","Completed")</f>
        <v>Completed</v>
      </c>
      <c r="AN558">
        <f>Lab_Data[[#This Row],[YearsAtCompany]]</f>
        <v>2</v>
      </c>
      <c r="AO558" t="str">
        <f>IF(Lab_Data[[#This Row],[PerformanceRating]]&gt;=3,"Approved","Review Required")</f>
        <v>Approved</v>
      </c>
    </row>
    <row r="559" spans="1:41"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t="str">
        <f>"LAB-"&amp;Lab_Data[[#This Row],[EmployeeNumber]]</f>
        <v>LAB-771</v>
      </c>
      <c r="AK559" t="str">
        <f>Lab_Data[[#This Row],[JobRole]]</f>
        <v>Healthcare Representative</v>
      </c>
      <c r="AL559" t="str">
        <f>Lab_Data[[#This Row],[Department]]</f>
        <v>Research &amp; Development</v>
      </c>
      <c r="AM559" t="str">
        <f>IF(Lab_Data[[#This Row],[Attrition]]="Yes","Failed","Completed")</f>
        <v>Completed</v>
      </c>
      <c r="AN559">
        <f>Lab_Data[[#This Row],[YearsAtCompany]]</f>
        <v>1</v>
      </c>
      <c r="AO559" t="str">
        <f>IF(Lab_Data[[#This Row],[PerformanceRating]]&gt;=3,"Approved","Review Required")</f>
        <v>Approved</v>
      </c>
    </row>
    <row r="560" spans="1:41"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t="str">
        <f>"LAB-"&amp;Lab_Data[[#This Row],[EmployeeNumber]]</f>
        <v>LAB-772</v>
      </c>
      <c r="AK560" t="str">
        <f>Lab_Data[[#This Row],[JobRole]]</f>
        <v>Laboratory Technician</v>
      </c>
      <c r="AL560" t="str">
        <f>Lab_Data[[#This Row],[Department]]</f>
        <v>Research &amp; Development</v>
      </c>
      <c r="AM560" t="str">
        <f>IF(Lab_Data[[#This Row],[Attrition]]="Yes","Failed","Completed")</f>
        <v>Completed</v>
      </c>
      <c r="AN560">
        <f>Lab_Data[[#This Row],[YearsAtCompany]]</f>
        <v>10</v>
      </c>
      <c r="AO560" t="str">
        <f>IF(Lab_Data[[#This Row],[PerformanceRating]]&gt;=3,"Approved","Review Required")</f>
        <v>Approved</v>
      </c>
    </row>
    <row r="561" spans="1:41"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t="str">
        <f>"LAB-"&amp;Lab_Data[[#This Row],[EmployeeNumber]]</f>
        <v>LAB-773</v>
      </c>
      <c r="AK561" t="str">
        <f>Lab_Data[[#This Row],[JobRole]]</f>
        <v>Research Scientist</v>
      </c>
      <c r="AL561" t="str">
        <f>Lab_Data[[#This Row],[Department]]</f>
        <v>Research &amp; Development</v>
      </c>
      <c r="AM561" t="str">
        <f>IF(Lab_Data[[#This Row],[Attrition]]="Yes","Failed","Completed")</f>
        <v>Completed</v>
      </c>
      <c r="AN561">
        <f>Lab_Data[[#This Row],[YearsAtCompany]]</f>
        <v>1</v>
      </c>
      <c r="AO561" t="str">
        <f>IF(Lab_Data[[#This Row],[PerformanceRating]]&gt;=3,"Approved","Review Required")</f>
        <v>Approved</v>
      </c>
    </row>
    <row r="562" spans="1:41"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t="str">
        <f>"LAB-"&amp;Lab_Data[[#This Row],[EmployeeNumber]]</f>
        <v>LAB-775</v>
      </c>
      <c r="AK562" t="str">
        <f>Lab_Data[[#This Row],[JobRole]]</f>
        <v>Manufacturing Director</v>
      </c>
      <c r="AL562" t="str">
        <f>Lab_Data[[#This Row],[Department]]</f>
        <v>Research &amp; Development</v>
      </c>
      <c r="AM562" t="str">
        <f>IF(Lab_Data[[#This Row],[Attrition]]="Yes","Failed","Completed")</f>
        <v>Completed</v>
      </c>
      <c r="AN562">
        <f>Lab_Data[[#This Row],[YearsAtCompany]]</f>
        <v>0</v>
      </c>
      <c r="AO562" t="str">
        <f>IF(Lab_Data[[#This Row],[PerformanceRating]]&gt;=3,"Approved","Review Required")</f>
        <v>Approved</v>
      </c>
    </row>
    <row r="563" spans="1:41"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t="str">
        <f>"LAB-"&amp;Lab_Data[[#This Row],[EmployeeNumber]]</f>
        <v>LAB-776</v>
      </c>
      <c r="AK563" t="str">
        <f>Lab_Data[[#This Row],[JobRole]]</f>
        <v>Manager</v>
      </c>
      <c r="AL563" t="str">
        <f>Lab_Data[[#This Row],[Department]]</f>
        <v>Sales</v>
      </c>
      <c r="AM563" t="str">
        <f>IF(Lab_Data[[#This Row],[Attrition]]="Yes","Failed","Completed")</f>
        <v>Completed</v>
      </c>
      <c r="AN563">
        <f>Lab_Data[[#This Row],[YearsAtCompany]]</f>
        <v>34</v>
      </c>
      <c r="AO563" t="str">
        <f>IF(Lab_Data[[#This Row],[PerformanceRating]]&gt;=3,"Approved","Review Required")</f>
        <v>Approved</v>
      </c>
    </row>
    <row r="564" spans="1:41"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t="str">
        <f>"LAB-"&amp;Lab_Data[[#This Row],[EmployeeNumber]]</f>
        <v>LAB-780</v>
      </c>
      <c r="AK564" t="str">
        <f>Lab_Data[[#This Row],[JobRole]]</f>
        <v>Research Scientist</v>
      </c>
      <c r="AL564" t="str">
        <f>Lab_Data[[#This Row],[Department]]</f>
        <v>Research &amp; Development</v>
      </c>
      <c r="AM564" t="str">
        <f>IF(Lab_Data[[#This Row],[Attrition]]="Yes","Failed","Completed")</f>
        <v>Failed</v>
      </c>
      <c r="AN564">
        <f>Lab_Data[[#This Row],[YearsAtCompany]]</f>
        <v>10</v>
      </c>
      <c r="AO564" t="str">
        <f>IF(Lab_Data[[#This Row],[PerformanceRating]]&gt;=3,"Approved","Review Required")</f>
        <v>Approved</v>
      </c>
    </row>
    <row r="565" spans="1:41"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t="str">
        <f>"LAB-"&amp;Lab_Data[[#This Row],[EmployeeNumber]]</f>
        <v>LAB-781</v>
      </c>
      <c r="AK565" t="str">
        <f>Lab_Data[[#This Row],[JobRole]]</f>
        <v>Sales Executive</v>
      </c>
      <c r="AL565" t="str">
        <f>Lab_Data[[#This Row],[Department]]</f>
        <v>Sales</v>
      </c>
      <c r="AM565" t="str">
        <f>IF(Lab_Data[[#This Row],[Attrition]]="Yes","Failed","Completed")</f>
        <v>Completed</v>
      </c>
      <c r="AN565">
        <f>Lab_Data[[#This Row],[YearsAtCompany]]</f>
        <v>6</v>
      </c>
      <c r="AO565" t="str">
        <f>IF(Lab_Data[[#This Row],[PerformanceRating]]&gt;=3,"Approved","Review Required")</f>
        <v>Approved</v>
      </c>
    </row>
    <row r="566" spans="1:41"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t="str">
        <f>"LAB-"&amp;Lab_Data[[#This Row],[EmployeeNumber]]</f>
        <v>LAB-783</v>
      </c>
      <c r="AK566" t="str">
        <f>Lab_Data[[#This Row],[JobRole]]</f>
        <v>Sales Representative</v>
      </c>
      <c r="AL566" t="str">
        <f>Lab_Data[[#This Row],[Department]]</f>
        <v>Sales</v>
      </c>
      <c r="AM566" t="str">
        <f>IF(Lab_Data[[#This Row],[Attrition]]="Yes","Failed","Completed")</f>
        <v>Completed</v>
      </c>
      <c r="AN566">
        <f>Lab_Data[[#This Row],[YearsAtCompany]]</f>
        <v>8</v>
      </c>
      <c r="AO566" t="str">
        <f>IF(Lab_Data[[#This Row],[PerformanceRating]]&gt;=3,"Approved","Review Required")</f>
        <v>Approved</v>
      </c>
    </row>
    <row r="567" spans="1:41"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t="str">
        <f>"LAB-"&amp;Lab_Data[[#This Row],[EmployeeNumber]]</f>
        <v>LAB-784</v>
      </c>
      <c r="AK567" t="str">
        <f>Lab_Data[[#This Row],[JobRole]]</f>
        <v>Research Scientist</v>
      </c>
      <c r="AL567" t="str">
        <f>Lab_Data[[#This Row],[Department]]</f>
        <v>Research &amp; Development</v>
      </c>
      <c r="AM567" t="str">
        <f>IF(Lab_Data[[#This Row],[Attrition]]="Yes","Failed","Completed")</f>
        <v>Completed</v>
      </c>
      <c r="AN567">
        <f>Lab_Data[[#This Row],[YearsAtCompany]]</f>
        <v>2</v>
      </c>
      <c r="AO567" t="str">
        <f>IF(Lab_Data[[#This Row],[PerformanceRating]]&gt;=3,"Approved","Review Required")</f>
        <v>Approved</v>
      </c>
    </row>
    <row r="568" spans="1:41"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t="str">
        <f>"LAB-"&amp;Lab_Data[[#This Row],[EmployeeNumber]]</f>
        <v>LAB-785</v>
      </c>
      <c r="AK568" t="str">
        <f>Lab_Data[[#This Row],[JobRole]]</f>
        <v>Sales Executive</v>
      </c>
      <c r="AL568" t="str">
        <f>Lab_Data[[#This Row],[Department]]</f>
        <v>Sales</v>
      </c>
      <c r="AM568" t="str">
        <f>IF(Lab_Data[[#This Row],[Attrition]]="Yes","Failed","Completed")</f>
        <v>Failed</v>
      </c>
      <c r="AN568">
        <f>Lab_Data[[#This Row],[YearsAtCompany]]</f>
        <v>5</v>
      </c>
      <c r="AO568" t="str">
        <f>IF(Lab_Data[[#This Row],[PerformanceRating]]&gt;=3,"Approved","Review Required")</f>
        <v>Approved</v>
      </c>
    </row>
    <row r="569" spans="1:41"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t="str">
        <f>"LAB-"&amp;Lab_Data[[#This Row],[EmployeeNumber]]</f>
        <v>LAB-786</v>
      </c>
      <c r="AK569" t="str">
        <f>Lab_Data[[#This Row],[JobRole]]</f>
        <v>Sales Executive</v>
      </c>
      <c r="AL569" t="str">
        <f>Lab_Data[[#This Row],[Department]]</f>
        <v>Sales</v>
      </c>
      <c r="AM569" t="str">
        <f>IF(Lab_Data[[#This Row],[Attrition]]="Yes","Failed","Completed")</f>
        <v>Completed</v>
      </c>
      <c r="AN569">
        <f>Lab_Data[[#This Row],[YearsAtCompany]]</f>
        <v>6</v>
      </c>
      <c r="AO569" t="str">
        <f>IF(Lab_Data[[#This Row],[PerformanceRating]]&gt;=3,"Approved","Review Required")</f>
        <v>Approved</v>
      </c>
    </row>
    <row r="570" spans="1:41"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t="str">
        <f>"LAB-"&amp;Lab_Data[[#This Row],[EmployeeNumber]]</f>
        <v>LAB-787</v>
      </c>
      <c r="AK570" t="str">
        <f>Lab_Data[[#This Row],[JobRole]]</f>
        <v>Manager</v>
      </c>
      <c r="AL570" t="str">
        <f>Lab_Data[[#This Row],[Department]]</f>
        <v>Research &amp; Development</v>
      </c>
      <c r="AM570" t="str">
        <f>IF(Lab_Data[[#This Row],[Attrition]]="Yes","Failed","Completed")</f>
        <v>Failed</v>
      </c>
      <c r="AN570">
        <f>Lab_Data[[#This Row],[YearsAtCompany]]</f>
        <v>5</v>
      </c>
      <c r="AO570" t="str">
        <f>IF(Lab_Data[[#This Row],[PerformanceRating]]&gt;=3,"Approved","Review Required")</f>
        <v>Approved</v>
      </c>
    </row>
    <row r="571" spans="1:41"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t="str">
        <f>"LAB-"&amp;Lab_Data[[#This Row],[EmployeeNumber]]</f>
        <v>LAB-789</v>
      </c>
      <c r="AK571" t="str">
        <f>Lab_Data[[#This Row],[JobRole]]</f>
        <v>Sales Executive</v>
      </c>
      <c r="AL571" t="str">
        <f>Lab_Data[[#This Row],[Department]]</f>
        <v>Sales</v>
      </c>
      <c r="AM571" t="str">
        <f>IF(Lab_Data[[#This Row],[Attrition]]="Yes","Failed","Completed")</f>
        <v>Completed</v>
      </c>
      <c r="AN571">
        <f>Lab_Data[[#This Row],[YearsAtCompany]]</f>
        <v>10</v>
      </c>
      <c r="AO571" t="str">
        <f>IF(Lab_Data[[#This Row],[PerformanceRating]]&gt;=3,"Approved","Review Required")</f>
        <v>Approved</v>
      </c>
    </row>
    <row r="572" spans="1:41"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t="str">
        <f>"LAB-"&amp;Lab_Data[[#This Row],[EmployeeNumber]]</f>
        <v>LAB-791</v>
      </c>
      <c r="AK572" t="str">
        <f>Lab_Data[[#This Row],[JobRole]]</f>
        <v>Research Scientist</v>
      </c>
      <c r="AL572" t="str">
        <f>Lab_Data[[#This Row],[Department]]</f>
        <v>Research &amp; Development</v>
      </c>
      <c r="AM572" t="str">
        <f>IF(Lab_Data[[#This Row],[Attrition]]="Yes","Failed","Completed")</f>
        <v>Completed</v>
      </c>
      <c r="AN572">
        <f>Lab_Data[[#This Row],[YearsAtCompany]]</f>
        <v>4</v>
      </c>
      <c r="AO572" t="str">
        <f>IF(Lab_Data[[#This Row],[PerformanceRating]]&gt;=3,"Approved","Review Required")</f>
        <v>Approved</v>
      </c>
    </row>
    <row r="573" spans="1:41"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t="str">
        <f>"LAB-"&amp;Lab_Data[[#This Row],[EmployeeNumber]]</f>
        <v>LAB-792</v>
      </c>
      <c r="AK573" t="str">
        <f>Lab_Data[[#This Row],[JobRole]]</f>
        <v>Laboratory Technician</v>
      </c>
      <c r="AL573" t="str">
        <f>Lab_Data[[#This Row],[Department]]</f>
        <v>Research &amp; Development</v>
      </c>
      <c r="AM573" t="str">
        <f>IF(Lab_Data[[#This Row],[Attrition]]="Yes","Failed","Completed")</f>
        <v>Completed</v>
      </c>
      <c r="AN573">
        <f>Lab_Data[[#This Row],[YearsAtCompany]]</f>
        <v>2</v>
      </c>
      <c r="AO573" t="str">
        <f>IF(Lab_Data[[#This Row],[PerformanceRating]]&gt;=3,"Approved","Review Required")</f>
        <v>Approved</v>
      </c>
    </row>
    <row r="574" spans="1:41"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t="str">
        <f>"LAB-"&amp;Lab_Data[[#This Row],[EmployeeNumber]]</f>
        <v>LAB-793</v>
      </c>
      <c r="AK574" t="str">
        <f>Lab_Data[[#This Row],[JobRole]]</f>
        <v>Healthcare Representative</v>
      </c>
      <c r="AL574" t="str">
        <f>Lab_Data[[#This Row],[Department]]</f>
        <v>Research &amp; Development</v>
      </c>
      <c r="AM574" t="str">
        <f>IF(Lab_Data[[#This Row],[Attrition]]="Yes","Failed","Completed")</f>
        <v>Completed</v>
      </c>
      <c r="AN574">
        <f>Lab_Data[[#This Row],[YearsAtCompany]]</f>
        <v>8</v>
      </c>
      <c r="AO574" t="str">
        <f>IF(Lab_Data[[#This Row],[PerformanceRating]]&gt;=3,"Approved","Review Required")</f>
        <v>Approved</v>
      </c>
    </row>
    <row r="575" spans="1:41"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t="str">
        <f>"LAB-"&amp;Lab_Data[[#This Row],[EmployeeNumber]]</f>
        <v>LAB-796</v>
      </c>
      <c r="AK575" t="str">
        <f>Lab_Data[[#This Row],[JobRole]]</f>
        <v>Sales Executive</v>
      </c>
      <c r="AL575" t="str">
        <f>Lab_Data[[#This Row],[Department]]</f>
        <v>Sales</v>
      </c>
      <c r="AM575" t="str">
        <f>IF(Lab_Data[[#This Row],[Attrition]]="Yes","Failed","Completed")</f>
        <v>Failed</v>
      </c>
      <c r="AN575">
        <f>Lab_Data[[#This Row],[YearsAtCompany]]</f>
        <v>4</v>
      </c>
      <c r="AO575" t="str">
        <f>IF(Lab_Data[[#This Row],[PerformanceRating]]&gt;=3,"Approved","Review Required")</f>
        <v>Approved</v>
      </c>
    </row>
    <row r="576" spans="1:41"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t="str">
        <f>"LAB-"&amp;Lab_Data[[#This Row],[EmployeeNumber]]</f>
        <v>LAB-797</v>
      </c>
      <c r="AK576" t="str">
        <f>Lab_Data[[#This Row],[JobRole]]</f>
        <v>Research Scientist</v>
      </c>
      <c r="AL576" t="str">
        <f>Lab_Data[[#This Row],[Department]]</f>
        <v>Research &amp; Development</v>
      </c>
      <c r="AM576" t="str">
        <f>IF(Lab_Data[[#This Row],[Attrition]]="Yes","Failed","Completed")</f>
        <v>Completed</v>
      </c>
      <c r="AN576">
        <f>Lab_Data[[#This Row],[YearsAtCompany]]</f>
        <v>4</v>
      </c>
      <c r="AO576" t="str">
        <f>IF(Lab_Data[[#This Row],[PerformanceRating]]&gt;=3,"Approved","Review Required")</f>
        <v>Approved</v>
      </c>
    </row>
    <row r="577" spans="1:41"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t="str">
        <f>"LAB-"&amp;Lab_Data[[#This Row],[EmployeeNumber]]</f>
        <v>LAB-799</v>
      </c>
      <c r="AK577" t="str">
        <f>Lab_Data[[#This Row],[JobRole]]</f>
        <v>Manufacturing Director</v>
      </c>
      <c r="AL577" t="str">
        <f>Lab_Data[[#This Row],[Department]]</f>
        <v>Research &amp; Development</v>
      </c>
      <c r="AM577" t="str">
        <f>IF(Lab_Data[[#This Row],[Attrition]]="Yes","Failed","Completed")</f>
        <v>Completed</v>
      </c>
      <c r="AN577">
        <f>Lab_Data[[#This Row],[YearsAtCompany]]</f>
        <v>5</v>
      </c>
      <c r="AO577" t="str">
        <f>IF(Lab_Data[[#This Row],[PerformanceRating]]&gt;=3,"Approved","Review Required")</f>
        <v>Approved</v>
      </c>
    </row>
    <row r="578" spans="1:41"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t="str">
        <f>"LAB-"&amp;Lab_Data[[#This Row],[EmployeeNumber]]</f>
        <v>LAB-800</v>
      </c>
      <c r="AK578" t="str">
        <f>Lab_Data[[#This Row],[JobRole]]</f>
        <v>Sales Executive</v>
      </c>
      <c r="AL578" t="str">
        <f>Lab_Data[[#This Row],[Department]]</f>
        <v>Sales</v>
      </c>
      <c r="AM578" t="str">
        <f>IF(Lab_Data[[#This Row],[Attrition]]="Yes","Failed","Completed")</f>
        <v>Completed</v>
      </c>
      <c r="AN578">
        <f>Lab_Data[[#This Row],[YearsAtCompany]]</f>
        <v>4</v>
      </c>
      <c r="AO578" t="str">
        <f>IF(Lab_Data[[#This Row],[PerformanceRating]]&gt;=3,"Approved","Review Required")</f>
        <v>Approved</v>
      </c>
    </row>
    <row r="579" spans="1:41"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t="str">
        <f>"LAB-"&amp;Lab_Data[[#This Row],[EmployeeNumber]]</f>
        <v>LAB-802</v>
      </c>
      <c r="AK579" t="str">
        <f>Lab_Data[[#This Row],[JobRole]]</f>
        <v>Research Scientist</v>
      </c>
      <c r="AL579" t="str">
        <f>Lab_Data[[#This Row],[Department]]</f>
        <v>Research &amp; Development</v>
      </c>
      <c r="AM579" t="str">
        <f>IF(Lab_Data[[#This Row],[Attrition]]="Yes","Failed","Completed")</f>
        <v>Completed</v>
      </c>
      <c r="AN579">
        <f>Lab_Data[[#This Row],[YearsAtCompany]]</f>
        <v>5</v>
      </c>
      <c r="AO579" t="str">
        <f>IF(Lab_Data[[#This Row],[PerformanceRating]]&gt;=3,"Approved","Review Required")</f>
        <v>Approved</v>
      </c>
    </row>
    <row r="580" spans="1:41"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t="str">
        <f>"LAB-"&amp;Lab_Data[[#This Row],[EmployeeNumber]]</f>
        <v>LAB-803</v>
      </c>
      <c r="AK580" t="str">
        <f>Lab_Data[[#This Row],[JobRole]]</f>
        <v>Manufacturing Director</v>
      </c>
      <c r="AL580" t="str">
        <f>Lab_Data[[#This Row],[Department]]</f>
        <v>Research &amp; Development</v>
      </c>
      <c r="AM580" t="str">
        <f>IF(Lab_Data[[#This Row],[Attrition]]="Yes","Failed","Completed")</f>
        <v>Completed</v>
      </c>
      <c r="AN580">
        <f>Lab_Data[[#This Row],[YearsAtCompany]]</f>
        <v>15</v>
      </c>
      <c r="AO580" t="str">
        <f>IF(Lab_Data[[#This Row],[PerformanceRating]]&gt;=3,"Approved","Review Required")</f>
        <v>Approved</v>
      </c>
    </row>
    <row r="581" spans="1:41"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t="str">
        <f>"LAB-"&amp;Lab_Data[[#This Row],[EmployeeNumber]]</f>
        <v>LAB-804</v>
      </c>
      <c r="AK581" t="str">
        <f>Lab_Data[[#This Row],[JobRole]]</f>
        <v>Research Scientist</v>
      </c>
      <c r="AL581" t="str">
        <f>Lab_Data[[#This Row],[Department]]</f>
        <v>Research &amp; Development</v>
      </c>
      <c r="AM581" t="str">
        <f>IF(Lab_Data[[#This Row],[Attrition]]="Yes","Failed","Completed")</f>
        <v>Completed</v>
      </c>
      <c r="AN581">
        <f>Lab_Data[[#This Row],[YearsAtCompany]]</f>
        <v>6</v>
      </c>
      <c r="AO581" t="str">
        <f>IF(Lab_Data[[#This Row],[PerformanceRating]]&gt;=3,"Approved","Review Required")</f>
        <v>Approved</v>
      </c>
    </row>
    <row r="582" spans="1:41"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t="str">
        <f>"LAB-"&amp;Lab_Data[[#This Row],[EmployeeNumber]]</f>
        <v>LAB-805</v>
      </c>
      <c r="AK582" t="str">
        <f>Lab_Data[[#This Row],[JobRole]]</f>
        <v>Sales Representative</v>
      </c>
      <c r="AL582" t="str">
        <f>Lab_Data[[#This Row],[Department]]</f>
        <v>Sales</v>
      </c>
      <c r="AM582" t="str">
        <f>IF(Lab_Data[[#This Row],[Attrition]]="Yes","Failed","Completed")</f>
        <v>Completed</v>
      </c>
      <c r="AN582">
        <f>Lab_Data[[#This Row],[YearsAtCompany]]</f>
        <v>3</v>
      </c>
      <c r="AO582" t="str">
        <f>IF(Lab_Data[[#This Row],[PerformanceRating]]&gt;=3,"Approved","Review Required")</f>
        <v>Approved</v>
      </c>
    </row>
    <row r="583" spans="1:41"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t="str">
        <f>"LAB-"&amp;Lab_Data[[#This Row],[EmployeeNumber]]</f>
        <v>LAB-806</v>
      </c>
      <c r="AK583" t="str">
        <f>Lab_Data[[#This Row],[JobRole]]</f>
        <v>Laboratory Technician</v>
      </c>
      <c r="AL583" t="str">
        <f>Lab_Data[[#This Row],[Department]]</f>
        <v>Research &amp; Development</v>
      </c>
      <c r="AM583" t="str">
        <f>IF(Lab_Data[[#This Row],[Attrition]]="Yes","Failed","Completed")</f>
        <v>Completed</v>
      </c>
      <c r="AN583">
        <f>Lab_Data[[#This Row],[YearsAtCompany]]</f>
        <v>2</v>
      </c>
      <c r="AO583" t="str">
        <f>IF(Lab_Data[[#This Row],[PerformanceRating]]&gt;=3,"Approved","Review Required")</f>
        <v>Approved</v>
      </c>
    </row>
    <row r="584" spans="1:41"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t="str">
        <f>"LAB-"&amp;Lab_Data[[#This Row],[EmployeeNumber]]</f>
        <v>LAB-807</v>
      </c>
      <c r="AK584" t="str">
        <f>Lab_Data[[#This Row],[JobRole]]</f>
        <v>Healthcare Representative</v>
      </c>
      <c r="AL584" t="str">
        <f>Lab_Data[[#This Row],[Department]]</f>
        <v>Research &amp; Development</v>
      </c>
      <c r="AM584" t="str">
        <f>IF(Lab_Data[[#This Row],[Attrition]]="Yes","Failed","Completed")</f>
        <v>Completed</v>
      </c>
      <c r="AN584">
        <f>Lab_Data[[#This Row],[YearsAtCompany]]</f>
        <v>8</v>
      </c>
      <c r="AO584" t="str">
        <f>IF(Lab_Data[[#This Row],[PerformanceRating]]&gt;=3,"Approved","Review Required")</f>
        <v>Approved</v>
      </c>
    </row>
    <row r="585" spans="1:41"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t="str">
        <f>"LAB-"&amp;Lab_Data[[#This Row],[EmployeeNumber]]</f>
        <v>LAB-808</v>
      </c>
      <c r="AK585" t="str">
        <f>Lab_Data[[#This Row],[JobRole]]</f>
        <v>Sales Executive</v>
      </c>
      <c r="AL585" t="str">
        <f>Lab_Data[[#This Row],[Department]]</f>
        <v>Sales</v>
      </c>
      <c r="AM585" t="str">
        <f>IF(Lab_Data[[#This Row],[Attrition]]="Yes","Failed","Completed")</f>
        <v>Completed</v>
      </c>
      <c r="AN585">
        <f>Lab_Data[[#This Row],[YearsAtCompany]]</f>
        <v>3</v>
      </c>
      <c r="AO585" t="str">
        <f>IF(Lab_Data[[#This Row],[PerformanceRating]]&gt;=3,"Approved","Review Required")</f>
        <v>Approved</v>
      </c>
    </row>
    <row r="586" spans="1:41"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t="str">
        <f>"LAB-"&amp;Lab_Data[[#This Row],[EmployeeNumber]]</f>
        <v>LAB-809</v>
      </c>
      <c r="AK586" t="str">
        <f>Lab_Data[[#This Row],[JobRole]]</f>
        <v>Manager</v>
      </c>
      <c r="AL586" t="str">
        <f>Lab_Data[[#This Row],[Department]]</f>
        <v>Research &amp; Development</v>
      </c>
      <c r="AM586" t="str">
        <f>IF(Lab_Data[[#This Row],[Attrition]]="Yes","Failed","Completed")</f>
        <v>Completed</v>
      </c>
      <c r="AN586">
        <f>Lab_Data[[#This Row],[YearsAtCompany]]</f>
        <v>24</v>
      </c>
      <c r="AO586" t="str">
        <f>IF(Lab_Data[[#This Row],[PerformanceRating]]&gt;=3,"Approved","Review Required")</f>
        <v>Approved</v>
      </c>
    </row>
    <row r="587" spans="1:41"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t="str">
        <f>"LAB-"&amp;Lab_Data[[#This Row],[EmployeeNumber]]</f>
        <v>LAB-811</v>
      </c>
      <c r="AK587" t="str">
        <f>Lab_Data[[#This Row],[JobRole]]</f>
        <v>Laboratory Technician</v>
      </c>
      <c r="AL587" t="str">
        <f>Lab_Data[[#This Row],[Department]]</f>
        <v>Research &amp; Development</v>
      </c>
      <c r="AM587" t="str">
        <f>IF(Lab_Data[[#This Row],[Attrition]]="Yes","Failed","Completed")</f>
        <v>Failed</v>
      </c>
      <c r="AN587">
        <f>Lab_Data[[#This Row],[YearsAtCompany]]</f>
        <v>0</v>
      </c>
      <c r="AO587" t="str">
        <f>IF(Lab_Data[[#This Row],[PerformanceRating]]&gt;=3,"Approved","Review Required")</f>
        <v>Approved</v>
      </c>
    </row>
    <row r="588" spans="1:41"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t="str">
        <f>"LAB-"&amp;Lab_Data[[#This Row],[EmployeeNumber]]</f>
        <v>LAB-812</v>
      </c>
      <c r="AK588" t="str">
        <f>Lab_Data[[#This Row],[JobRole]]</f>
        <v>Laboratory Technician</v>
      </c>
      <c r="AL588" t="str">
        <f>Lab_Data[[#This Row],[Department]]</f>
        <v>Research &amp; Development</v>
      </c>
      <c r="AM588" t="str">
        <f>IF(Lab_Data[[#This Row],[Attrition]]="Yes","Failed","Completed")</f>
        <v>Completed</v>
      </c>
      <c r="AN588">
        <f>Lab_Data[[#This Row],[YearsAtCompany]]</f>
        <v>1</v>
      </c>
      <c r="AO588" t="str">
        <f>IF(Lab_Data[[#This Row],[PerformanceRating]]&gt;=3,"Approved","Review Required")</f>
        <v>Approved</v>
      </c>
    </row>
    <row r="589" spans="1:41"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t="str">
        <f>"LAB-"&amp;Lab_Data[[#This Row],[EmployeeNumber]]</f>
        <v>LAB-813</v>
      </c>
      <c r="AK589" t="str">
        <f>Lab_Data[[#This Row],[JobRole]]</f>
        <v>Laboratory Technician</v>
      </c>
      <c r="AL589" t="str">
        <f>Lab_Data[[#This Row],[Department]]</f>
        <v>Research &amp; Development</v>
      </c>
      <c r="AM589" t="str">
        <f>IF(Lab_Data[[#This Row],[Attrition]]="Yes","Failed","Completed")</f>
        <v>Completed</v>
      </c>
      <c r="AN589">
        <f>Lab_Data[[#This Row],[YearsAtCompany]]</f>
        <v>5</v>
      </c>
      <c r="AO589" t="str">
        <f>IF(Lab_Data[[#This Row],[PerformanceRating]]&gt;=3,"Approved","Review Required")</f>
        <v>Approved</v>
      </c>
    </row>
    <row r="590" spans="1:41"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t="str">
        <f>"LAB-"&amp;Lab_Data[[#This Row],[EmployeeNumber]]</f>
        <v>LAB-815</v>
      </c>
      <c r="AK590" t="str">
        <f>Lab_Data[[#This Row],[JobRole]]</f>
        <v>Research Director</v>
      </c>
      <c r="AL590" t="str">
        <f>Lab_Data[[#This Row],[Department]]</f>
        <v>Research &amp; Development</v>
      </c>
      <c r="AM590" t="str">
        <f>IF(Lab_Data[[#This Row],[Attrition]]="Yes","Failed","Completed")</f>
        <v>Completed</v>
      </c>
      <c r="AN590">
        <f>Lab_Data[[#This Row],[YearsAtCompany]]</f>
        <v>4</v>
      </c>
      <c r="AO590" t="str">
        <f>IF(Lab_Data[[#This Row],[PerformanceRating]]&gt;=3,"Approved","Review Required")</f>
        <v>Approved</v>
      </c>
    </row>
    <row r="591" spans="1:41"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t="str">
        <f>"LAB-"&amp;Lab_Data[[#This Row],[EmployeeNumber]]</f>
        <v>LAB-816</v>
      </c>
      <c r="AK591" t="str">
        <f>Lab_Data[[#This Row],[JobRole]]</f>
        <v>Laboratory Technician</v>
      </c>
      <c r="AL591" t="str">
        <f>Lab_Data[[#This Row],[Department]]</f>
        <v>Research &amp; Development</v>
      </c>
      <c r="AM591" t="str">
        <f>IF(Lab_Data[[#This Row],[Attrition]]="Yes","Failed","Completed")</f>
        <v>Failed</v>
      </c>
      <c r="AN591">
        <f>Lab_Data[[#This Row],[YearsAtCompany]]</f>
        <v>1</v>
      </c>
      <c r="AO591" t="str">
        <f>IF(Lab_Data[[#This Row],[PerformanceRating]]&gt;=3,"Approved","Review Required")</f>
        <v>Approved</v>
      </c>
    </row>
    <row r="592" spans="1:41"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t="str">
        <f>"LAB-"&amp;Lab_Data[[#This Row],[EmployeeNumber]]</f>
        <v>LAB-817</v>
      </c>
      <c r="AK592" t="str">
        <f>Lab_Data[[#This Row],[JobRole]]</f>
        <v>Research Director</v>
      </c>
      <c r="AL592" t="str">
        <f>Lab_Data[[#This Row],[Department]]</f>
        <v>Research &amp; Development</v>
      </c>
      <c r="AM592" t="str">
        <f>IF(Lab_Data[[#This Row],[Attrition]]="Yes","Failed","Completed")</f>
        <v>Completed</v>
      </c>
      <c r="AN592">
        <f>Lab_Data[[#This Row],[YearsAtCompany]]</f>
        <v>13</v>
      </c>
      <c r="AO592" t="str">
        <f>IF(Lab_Data[[#This Row],[PerformanceRating]]&gt;=3,"Approved","Review Required")</f>
        <v>Approved</v>
      </c>
    </row>
    <row r="593" spans="1:41"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t="str">
        <f>"LAB-"&amp;Lab_Data[[#This Row],[EmployeeNumber]]</f>
        <v>LAB-819</v>
      </c>
      <c r="AK593" t="str">
        <f>Lab_Data[[#This Row],[JobRole]]</f>
        <v>Sales Executive</v>
      </c>
      <c r="AL593" t="str">
        <f>Lab_Data[[#This Row],[Department]]</f>
        <v>Sales</v>
      </c>
      <c r="AM593" t="str">
        <f>IF(Lab_Data[[#This Row],[Attrition]]="Yes","Failed","Completed")</f>
        <v>Failed</v>
      </c>
      <c r="AN593">
        <f>Lab_Data[[#This Row],[YearsAtCompany]]</f>
        <v>3</v>
      </c>
      <c r="AO593" t="str">
        <f>IF(Lab_Data[[#This Row],[PerformanceRating]]&gt;=3,"Approved","Review Required")</f>
        <v>Approved</v>
      </c>
    </row>
    <row r="594" spans="1:41"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t="str">
        <f>"LAB-"&amp;Lab_Data[[#This Row],[EmployeeNumber]]</f>
        <v>LAB-820</v>
      </c>
      <c r="AK594" t="str">
        <f>Lab_Data[[#This Row],[JobRole]]</f>
        <v>Manager</v>
      </c>
      <c r="AL594" t="str">
        <f>Lab_Data[[#This Row],[Department]]</f>
        <v>Research &amp; Development</v>
      </c>
      <c r="AM594" t="str">
        <f>IF(Lab_Data[[#This Row],[Attrition]]="Yes","Failed","Completed")</f>
        <v>Completed</v>
      </c>
      <c r="AN594">
        <f>Lab_Data[[#This Row],[YearsAtCompany]]</f>
        <v>26</v>
      </c>
      <c r="AO594" t="str">
        <f>IF(Lab_Data[[#This Row],[PerformanceRating]]&gt;=3,"Approved","Review Required")</f>
        <v>Approved</v>
      </c>
    </row>
    <row r="595" spans="1:41"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t="str">
        <f>"LAB-"&amp;Lab_Data[[#This Row],[EmployeeNumber]]</f>
        <v>LAB-823</v>
      </c>
      <c r="AK595" t="str">
        <f>Lab_Data[[#This Row],[JobRole]]</f>
        <v>Manufacturing Director</v>
      </c>
      <c r="AL595" t="str">
        <f>Lab_Data[[#This Row],[Department]]</f>
        <v>Research &amp; Development</v>
      </c>
      <c r="AM595" t="str">
        <f>IF(Lab_Data[[#This Row],[Attrition]]="Yes","Failed","Completed")</f>
        <v>Completed</v>
      </c>
      <c r="AN595">
        <f>Lab_Data[[#This Row],[YearsAtCompany]]</f>
        <v>9</v>
      </c>
      <c r="AO595" t="str">
        <f>IF(Lab_Data[[#This Row],[PerformanceRating]]&gt;=3,"Approved","Review Required")</f>
        <v>Approved</v>
      </c>
    </row>
    <row r="596" spans="1:41"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t="str">
        <f>"LAB-"&amp;Lab_Data[[#This Row],[EmployeeNumber]]</f>
        <v>LAB-824</v>
      </c>
      <c r="AK596" t="str">
        <f>Lab_Data[[#This Row],[JobRole]]</f>
        <v>Research Scientist</v>
      </c>
      <c r="AL596" t="str">
        <f>Lab_Data[[#This Row],[Department]]</f>
        <v>Research &amp; Development</v>
      </c>
      <c r="AM596" t="str">
        <f>IF(Lab_Data[[#This Row],[Attrition]]="Yes","Failed","Completed")</f>
        <v>Completed</v>
      </c>
      <c r="AN596">
        <f>Lab_Data[[#This Row],[YearsAtCompany]]</f>
        <v>10</v>
      </c>
      <c r="AO596" t="str">
        <f>IF(Lab_Data[[#This Row],[PerformanceRating]]&gt;=3,"Approved","Review Required")</f>
        <v>Approved</v>
      </c>
    </row>
    <row r="597" spans="1:41"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t="str">
        <f>"LAB-"&amp;Lab_Data[[#This Row],[EmployeeNumber]]</f>
        <v>LAB-825</v>
      </c>
      <c r="AK597" t="str">
        <f>Lab_Data[[#This Row],[JobRole]]</f>
        <v>Research Director</v>
      </c>
      <c r="AL597" t="str">
        <f>Lab_Data[[#This Row],[Department]]</f>
        <v>Research &amp; Development</v>
      </c>
      <c r="AM597" t="str">
        <f>IF(Lab_Data[[#This Row],[Attrition]]="Yes","Failed","Completed")</f>
        <v>Failed</v>
      </c>
      <c r="AN597">
        <f>Lab_Data[[#This Row],[YearsAtCompany]]</f>
        <v>31</v>
      </c>
      <c r="AO597" t="str">
        <f>IF(Lab_Data[[#This Row],[PerformanceRating]]&gt;=3,"Approved","Review Required")</f>
        <v>Approved</v>
      </c>
    </row>
    <row r="598" spans="1:41"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t="str">
        <f>"LAB-"&amp;Lab_Data[[#This Row],[EmployeeNumber]]</f>
        <v>LAB-826</v>
      </c>
      <c r="AK598" t="str">
        <f>Lab_Data[[#This Row],[JobRole]]</f>
        <v>Research Scientist</v>
      </c>
      <c r="AL598" t="str">
        <f>Lab_Data[[#This Row],[Department]]</f>
        <v>Research &amp; Development</v>
      </c>
      <c r="AM598" t="str">
        <f>IF(Lab_Data[[#This Row],[Attrition]]="Yes","Failed","Completed")</f>
        <v>Completed</v>
      </c>
      <c r="AN598">
        <f>Lab_Data[[#This Row],[YearsAtCompany]]</f>
        <v>2</v>
      </c>
      <c r="AO598" t="str">
        <f>IF(Lab_Data[[#This Row],[PerformanceRating]]&gt;=3,"Approved","Review Required")</f>
        <v>Approved</v>
      </c>
    </row>
    <row r="599" spans="1:41"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t="str">
        <f>"LAB-"&amp;Lab_Data[[#This Row],[EmployeeNumber]]</f>
        <v>LAB-827</v>
      </c>
      <c r="AK599" t="str">
        <f>Lab_Data[[#This Row],[JobRole]]</f>
        <v>Manufacturing Director</v>
      </c>
      <c r="AL599" t="str">
        <f>Lab_Data[[#This Row],[Department]]</f>
        <v>Research &amp; Development</v>
      </c>
      <c r="AM599" t="str">
        <f>IF(Lab_Data[[#This Row],[Attrition]]="Yes","Failed","Completed")</f>
        <v>Completed</v>
      </c>
      <c r="AN599">
        <f>Lab_Data[[#This Row],[YearsAtCompany]]</f>
        <v>4</v>
      </c>
      <c r="AO599" t="str">
        <f>IF(Lab_Data[[#This Row],[PerformanceRating]]&gt;=3,"Approved","Review Required")</f>
        <v>Approved</v>
      </c>
    </row>
    <row r="600" spans="1:41"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t="str">
        <f>"LAB-"&amp;Lab_Data[[#This Row],[EmployeeNumber]]</f>
        <v>LAB-828</v>
      </c>
      <c r="AK600" t="str">
        <f>Lab_Data[[#This Row],[JobRole]]</f>
        <v>Research Scientist</v>
      </c>
      <c r="AL600" t="str">
        <f>Lab_Data[[#This Row],[Department]]</f>
        <v>Research &amp; Development</v>
      </c>
      <c r="AM600" t="str">
        <f>IF(Lab_Data[[#This Row],[Attrition]]="Yes","Failed","Completed")</f>
        <v>Failed</v>
      </c>
      <c r="AN600">
        <f>Lab_Data[[#This Row],[YearsAtCompany]]</f>
        <v>2</v>
      </c>
      <c r="AO600" t="str">
        <f>IF(Lab_Data[[#This Row],[PerformanceRating]]&gt;=3,"Approved","Review Required")</f>
        <v>Approved</v>
      </c>
    </row>
    <row r="601" spans="1:41"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t="str">
        <f>"LAB-"&amp;Lab_Data[[#This Row],[EmployeeNumber]]</f>
        <v>LAB-829</v>
      </c>
      <c r="AK601" t="str">
        <f>Lab_Data[[#This Row],[JobRole]]</f>
        <v>Human Resources</v>
      </c>
      <c r="AL601" t="str">
        <f>Lab_Data[[#This Row],[Department]]</f>
        <v>Human Resources</v>
      </c>
      <c r="AM601" t="str">
        <f>IF(Lab_Data[[#This Row],[Attrition]]="Yes","Failed","Completed")</f>
        <v>Completed</v>
      </c>
      <c r="AN601">
        <f>Lab_Data[[#This Row],[YearsAtCompany]]</f>
        <v>5</v>
      </c>
      <c r="AO601" t="str">
        <f>IF(Lab_Data[[#This Row],[PerformanceRating]]&gt;=3,"Approved","Review Required")</f>
        <v>Approved</v>
      </c>
    </row>
    <row r="602" spans="1:41"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t="str">
        <f>"LAB-"&amp;Lab_Data[[#This Row],[EmployeeNumber]]</f>
        <v>LAB-830</v>
      </c>
      <c r="AK602" t="str">
        <f>Lab_Data[[#This Row],[JobRole]]</f>
        <v>Manufacturing Director</v>
      </c>
      <c r="AL602" t="str">
        <f>Lab_Data[[#This Row],[Department]]</f>
        <v>Research &amp; Development</v>
      </c>
      <c r="AM602" t="str">
        <f>IF(Lab_Data[[#This Row],[Attrition]]="Yes","Failed","Completed")</f>
        <v>Completed</v>
      </c>
      <c r="AN602">
        <f>Lab_Data[[#This Row],[YearsAtCompany]]</f>
        <v>14</v>
      </c>
      <c r="AO602" t="str">
        <f>IF(Lab_Data[[#This Row],[PerformanceRating]]&gt;=3,"Approved","Review Required")</f>
        <v>Approved</v>
      </c>
    </row>
    <row r="603" spans="1:41"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t="str">
        <f>"LAB-"&amp;Lab_Data[[#This Row],[EmployeeNumber]]</f>
        <v>LAB-832</v>
      </c>
      <c r="AK603" t="str">
        <f>Lab_Data[[#This Row],[JobRole]]</f>
        <v>Laboratory Technician</v>
      </c>
      <c r="AL603" t="str">
        <f>Lab_Data[[#This Row],[Department]]</f>
        <v>Research &amp; Development</v>
      </c>
      <c r="AM603" t="str">
        <f>IF(Lab_Data[[#This Row],[Attrition]]="Yes","Failed","Completed")</f>
        <v>Completed</v>
      </c>
      <c r="AN603">
        <f>Lab_Data[[#This Row],[YearsAtCompany]]</f>
        <v>1</v>
      </c>
      <c r="AO603" t="str">
        <f>IF(Lab_Data[[#This Row],[PerformanceRating]]&gt;=3,"Approved","Review Required")</f>
        <v>Approved</v>
      </c>
    </row>
    <row r="604" spans="1:41"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t="str">
        <f>"LAB-"&amp;Lab_Data[[#This Row],[EmployeeNumber]]</f>
        <v>LAB-833</v>
      </c>
      <c r="AK604" t="str">
        <f>Lab_Data[[#This Row],[JobRole]]</f>
        <v>Manufacturing Director</v>
      </c>
      <c r="AL604" t="str">
        <f>Lab_Data[[#This Row],[Department]]</f>
        <v>Research &amp; Development</v>
      </c>
      <c r="AM604" t="str">
        <f>IF(Lab_Data[[#This Row],[Attrition]]="Yes","Failed","Completed")</f>
        <v>Completed</v>
      </c>
      <c r="AN604">
        <f>Lab_Data[[#This Row],[YearsAtCompany]]</f>
        <v>0</v>
      </c>
      <c r="AO604" t="str">
        <f>IF(Lab_Data[[#This Row],[PerformanceRating]]&gt;=3,"Approved","Review Required")</f>
        <v>Approved</v>
      </c>
    </row>
    <row r="605" spans="1:41"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t="str">
        <f>"LAB-"&amp;Lab_Data[[#This Row],[EmployeeNumber]]</f>
        <v>LAB-834</v>
      </c>
      <c r="AK605" t="str">
        <f>Lab_Data[[#This Row],[JobRole]]</f>
        <v>Research Scientist</v>
      </c>
      <c r="AL605" t="str">
        <f>Lab_Data[[#This Row],[Department]]</f>
        <v>Research &amp; Development</v>
      </c>
      <c r="AM605" t="str">
        <f>IF(Lab_Data[[#This Row],[Attrition]]="Yes","Failed","Completed")</f>
        <v>Completed</v>
      </c>
      <c r="AN605">
        <f>Lab_Data[[#This Row],[YearsAtCompany]]</f>
        <v>1</v>
      </c>
      <c r="AO605" t="str">
        <f>IF(Lab_Data[[#This Row],[PerformanceRating]]&gt;=3,"Approved","Review Required")</f>
        <v>Approved</v>
      </c>
    </row>
    <row r="606" spans="1:41"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t="str">
        <f>"LAB-"&amp;Lab_Data[[#This Row],[EmployeeNumber]]</f>
        <v>LAB-836</v>
      </c>
      <c r="AK606" t="str">
        <f>Lab_Data[[#This Row],[JobRole]]</f>
        <v>Manufacturing Director</v>
      </c>
      <c r="AL606" t="str">
        <f>Lab_Data[[#This Row],[Department]]</f>
        <v>Research &amp; Development</v>
      </c>
      <c r="AM606" t="str">
        <f>IF(Lab_Data[[#This Row],[Attrition]]="Yes","Failed","Completed")</f>
        <v>Completed</v>
      </c>
      <c r="AN606">
        <f>Lab_Data[[#This Row],[YearsAtCompany]]</f>
        <v>9</v>
      </c>
      <c r="AO606" t="str">
        <f>IF(Lab_Data[[#This Row],[PerformanceRating]]&gt;=3,"Approved","Review Required")</f>
        <v>Approved</v>
      </c>
    </row>
    <row r="607" spans="1:41"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t="str">
        <f>"LAB-"&amp;Lab_Data[[#This Row],[EmployeeNumber]]</f>
        <v>LAB-837</v>
      </c>
      <c r="AK607" t="str">
        <f>Lab_Data[[#This Row],[JobRole]]</f>
        <v>Healthcare Representative</v>
      </c>
      <c r="AL607" t="str">
        <f>Lab_Data[[#This Row],[Department]]</f>
        <v>Research &amp; Development</v>
      </c>
      <c r="AM607" t="str">
        <f>IF(Lab_Data[[#This Row],[Attrition]]="Yes","Failed","Completed")</f>
        <v>Completed</v>
      </c>
      <c r="AN607">
        <f>Lab_Data[[#This Row],[YearsAtCompany]]</f>
        <v>4</v>
      </c>
      <c r="AO607" t="str">
        <f>IF(Lab_Data[[#This Row],[PerformanceRating]]&gt;=3,"Approved","Review Required")</f>
        <v>Approved</v>
      </c>
    </row>
    <row r="608" spans="1:41"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t="str">
        <f>"LAB-"&amp;Lab_Data[[#This Row],[EmployeeNumber]]</f>
        <v>LAB-838</v>
      </c>
      <c r="AK608" t="str">
        <f>Lab_Data[[#This Row],[JobRole]]</f>
        <v>Research Scientist</v>
      </c>
      <c r="AL608" t="str">
        <f>Lab_Data[[#This Row],[Department]]</f>
        <v>Research &amp; Development</v>
      </c>
      <c r="AM608" t="str">
        <f>IF(Lab_Data[[#This Row],[Attrition]]="Yes","Failed","Completed")</f>
        <v>Completed</v>
      </c>
      <c r="AN608">
        <f>Lab_Data[[#This Row],[YearsAtCompany]]</f>
        <v>5</v>
      </c>
      <c r="AO608" t="str">
        <f>IF(Lab_Data[[#This Row],[PerformanceRating]]&gt;=3,"Approved","Review Required")</f>
        <v>Approved</v>
      </c>
    </row>
    <row r="609" spans="1:41"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t="str">
        <f>"LAB-"&amp;Lab_Data[[#This Row],[EmployeeNumber]]</f>
        <v>LAB-840</v>
      </c>
      <c r="AK609" t="str">
        <f>Lab_Data[[#This Row],[JobRole]]</f>
        <v>Sales Executive</v>
      </c>
      <c r="AL609" t="str">
        <f>Lab_Data[[#This Row],[Department]]</f>
        <v>Sales</v>
      </c>
      <c r="AM609" t="str">
        <f>IF(Lab_Data[[#This Row],[Attrition]]="Yes","Failed","Completed")</f>
        <v>Failed</v>
      </c>
      <c r="AN609">
        <f>Lab_Data[[#This Row],[YearsAtCompany]]</f>
        <v>9</v>
      </c>
      <c r="AO609" t="str">
        <f>IF(Lab_Data[[#This Row],[PerformanceRating]]&gt;=3,"Approved","Review Required")</f>
        <v>Approved</v>
      </c>
    </row>
    <row r="610" spans="1:41"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t="str">
        <f>"LAB-"&amp;Lab_Data[[#This Row],[EmployeeNumber]]</f>
        <v>LAB-842</v>
      </c>
      <c r="AK610" t="str">
        <f>Lab_Data[[#This Row],[JobRole]]</f>
        <v>Sales Executive</v>
      </c>
      <c r="AL610" t="str">
        <f>Lab_Data[[#This Row],[Department]]</f>
        <v>Sales</v>
      </c>
      <c r="AM610" t="str">
        <f>IF(Lab_Data[[#This Row],[Attrition]]="Yes","Failed","Completed")</f>
        <v>Failed</v>
      </c>
      <c r="AN610">
        <f>Lab_Data[[#This Row],[YearsAtCompany]]</f>
        <v>9</v>
      </c>
      <c r="AO610" t="str">
        <f>IF(Lab_Data[[#This Row],[PerformanceRating]]&gt;=3,"Approved","Review Required")</f>
        <v>Approved</v>
      </c>
    </row>
    <row r="611" spans="1:41"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t="str">
        <f>"LAB-"&amp;Lab_Data[[#This Row],[EmployeeNumber]]</f>
        <v>LAB-843</v>
      </c>
      <c r="AK611" t="str">
        <f>Lab_Data[[#This Row],[JobRole]]</f>
        <v>Research Director</v>
      </c>
      <c r="AL611" t="str">
        <f>Lab_Data[[#This Row],[Department]]</f>
        <v>Research &amp; Development</v>
      </c>
      <c r="AM611" t="str">
        <f>IF(Lab_Data[[#This Row],[Attrition]]="Yes","Failed","Completed")</f>
        <v>Completed</v>
      </c>
      <c r="AN611">
        <f>Lab_Data[[#This Row],[YearsAtCompany]]</f>
        <v>4</v>
      </c>
      <c r="AO611" t="str">
        <f>IF(Lab_Data[[#This Row],[PerformanceRating]]&gt;=3,"Approved","Review Required")</f>
        <v>Approved</v>
      </c>
    </row>
    <row r="612" spans="1:41"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t="str">
        <f>"LAB-"&amp;Lab_Data[[#This Row],[EmployeeNumber]]</f>
        <v>LAB-844</v>
      </c>
      <c r="AK612" t="str">
        <f>Lab_Data[[#This Row],[JobRole]]</f>
        <v>Research Director</v>
      </c>
      <c r="AL612" t="str">
        <f>Lab_Data[[#This Row],[Department]]</f>
        <v>Research &amp; Development</v>
      </c>
      <c r="AM612" t="str">
        <f>IF(Lab_Data[[#This Row],[Attrition]]="Yes","Failed","Completed")</f>
        <v>Completed</v>
      </c>
      <c r="AN612">
        <f>Lab_Data[[#This Row],[YearsAtCompany]]</f>
        <v>9</v>
      </c>
      <c r="AO612" t="str">
        <f>IF(Lab_Data[[#This Row],[PerformanceRating]]&gt;=3,"Approved","Review Required")</f>
        <v>Approved</v>
      </c>
    </row>
    <row r="613" spans="1:41"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t="str">
        <f>"LAB-"&amp;Lab_Data[[#This Row],[EmployeeNumber]]</f>
        <v>LAB-845</v>
      </c>
      <c r="AK613" t="str">
        <f>Lab_Data[[#This Row],[JobRole]]</f>
        <v>Manufacturing Director</v>
      </c>
      <c r="AL613" t="str">
        <f>Lab_Data[[#This Row],[Department]]</f>
        <v>Research &amp; Development</v>
      </c>
      <c r="AM613" t="str">
        <f>IF(Lab_Data[[#This Row],[Attrition]]="Yes","Failed","Completed")</f>
        <v>Completed</v>
      </c>
      <c r="AN613">
        <f>Lab_Data[[#This Row],[YearsAtCompany]]</f>
        <v>8</v>
      </c>
      <c r="AO613" t="str">
        <f>IF(Lab_Data[[#This Row],[PerformanceRating]]&gt;=3,"Approved","Review Required")</f>
        <v>Approved</v>
      </c>
    </row>
    <row r="614" spans="1:41"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t="str">
        <f>"LAB-"&amp;Lab_Data[[#This Row],[EmployeeNumber]]</f>
        <v>LAB-846</v>
      </c>
      <c r="AK614" t="str">
        <f>Lab_Data[[#This Row],[JobRole]]</f>
        <v>Sales Executive</v>
      </c>
      <c r="AL614" t="str">
        <f>Lab_Data[[#This Row],[Department]]</f>
        <v>Sales</v>
      </c>
      <c r="AM614" t="str">
        <f>IF(Lab_Data[[#This Row],[Attrition]]="Yes","Failed","Completed")</f>
        <v>Completed</v>
      </c>
      <c r="AN614">
        <f>Lab_Data[[#This Row],[YearsAtCompany]]</f>
        <v>8</v>
      </c>
      <c r="AO614" t="str">
        <f>IF(Lab_Data[[#This Row],[PerformanceRating]]&gt;=3,"Approved","Review Required")</f>
        <v>Approved</v>
      </c>
    </row>
    <row r="615" spans="1:41"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t="str">
        <f>"LAB-"&amp;Lab_Data[[#This Row],[EmployeeNumber]]</f>
        <v>LAB-847</v>
      </c>
      <c r="AK615" t="str">
        <f>Lab_Data[[#This Row],[JobRole]]</f>
        <v>Human Resources</v>
      </c>
      <c r="AL615" t="str">
        <f>Lab_Data[[#This Row],[Department]]</f>
        <v>Human Resources</v>
      </c>
      <c r="AM615" t="str">
        <f>IF(Lab_Data[[#This Row],[Attrition]]="Yes","Failed","Completed")</f>
        <v>Completed</v>
      </c>
      <c r="AN615">
        <f>Lab_Data[[#This Row],[YearsAtCompany]]</f>
        <v>3</v>
      </c>
      <c r="AO615" t="str">
        <f>IF(Lab_Data[[#This Row],[PerformanceRating]]&gt;=3,"Approved","Review Required")</f>
        <v>Approved</v>
      </c>
    </row>
    <row r="616" spans="1:41"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t="str">
        <f>"LAB-"&amp;Lab_Data[[#This Row],[EmployeeNumber]]</f>
        <v>LAB-848</v>
      </c>
      <c r="AK616" t="str">
        <f>Lab_Data[[#This Row],[JobRole]]</f>
        <v>Research Scientist</v>
      </c>
      <c r="AL616" t="str">
        <f>Lab_Data[[#This Row],[Department]]</f>
        <v>Research &amp; Development</v>
      </c>
      <c r="AM616" t="str">
        <f>IF(Lab_Data[[#This Row],[Attrition]]="Yes","Failed","Completed")</f>
        <v>Failed</v>
      </c>
      <c r="AN616">
        <f>Lab_Data[[#This Row],[YearsAtCompany]]</f>
        <v>8</v>
      </c>
      <c r="AO616" t="str">
        <f>IF(Lab_Data[[#This Row],[PerformanceRating]]&gt;=3,"Approved","Review Required")</f>
        <v>Approved</v>
      </c>
    </row>
    <row r="617" spans="1:41"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t="str">
        <f>"LAB-"&amp;Lab_Data[[#This Row],[EmployeeNumber]]</f>
        <v>LAB-850</v>
      </c>
      <c r="AK617" t="str">
        <f>Lab_Data[[#This Row],[JobRole]]</f>
        <v>Research Scientist</v>
      </c>
      <c r="AL617" t="str">
        <f>Lab_Data[[#This Row],[Department]]</f>
        <v>Research &amp; Development</v>
      </c>
      <c r="AM617" t="str">
        <f>IF(Lab_Data[[#This Row],[Attrition]]="Yes","Failed","Completed")</f>
        <v>Completed</v>
      </c>
      <c r="AN617">
        <f>Lab_Data[[#This Row],[YearsAtCompany]]</f>
        <v>0</v>
      </c>
      <c r="AO617" t="str">
        <f>IF(Lab_Data[[#This Row],[PerformanceRating]]&gt;=3,"Approved","Review Required")</f>
        <v>Approved</v>
      </c>
    </row>
    <row r="618" spans="1:41"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t="str">
        <f>"LAB-"&amp;Lab_Data[[#This Row],[EmployeeNumber]]</f>
        <v>LAB-851</v>
      </c>
      <c r="AK618" t="str">
        <f>Lab_Data[[#This Row],[JobRole]]</f>
        <v>Manager</v>
      </c>
      <c r="AL618" t="str">
        <f>Lab_Data[[#This Row],[Department]]</f>
        <v>Sales</v>
      </c>
      <c r="AM618" t="str">
        <f>IF(Lab_Data[[#This Row],[Attrition]]="Yes","Failed","Completed")</f>
        <v>Completed</v>
      </c>
      <c r="AN618">
        <f>Lab_Data[[#This Row],[YearsAtCompany]]</f>
        <v>20</v>
      </c>
      <c r="AO618" t="str">
        <f>IF(Lab_Data[[#This Row],[PerformanceRating]]&gt;=3,"Approved","Review Required")</f>
        <v>Approved</v>
      </c>
    </row>
    <row r="619" spans="1:41"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t="str">
        <f>"LAB-"&amp;Lab_Data[[#This Row],[EmployeeNumber]]</f>
        <v>LAB-852</v>
      </c>
      <c r="AK619" t="str">
        <f>Lab_Data[[#This Row],[JobRole]]</f>
        <v>Healthcare Representative</v>
      </c>
      <c r="AL619" t="str">
        <f>Lab_Data[[#This Row],[Department]]</f>
        <v>Research &amp; Development</v>
      </c>
      <c r="AM619" t="str">
        <f>IF(Lab_Data[[#This Row],[Attrition]]="Yes","Failed","Completed")</f>
        <v>Completed</v>
      </c>
      <c r="AN619">
        <f>Lab_Data[[#This Row],[YearsAtCompany]]</f>
        <v>5</v>
      </c>
      <c r="AO619" t="str">
        <f>IF(Lab_Data[[#This Row],[PerformanceRating]]&gt;=3,"Approved","Review Required")</f>
        <v>Approved</v>
      </c>
    </row>
    <row r="620" spans="1:41"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t="str">
        <f>"LAB-"&amp;Lab_Data[[#This Row],[EmployeeNumber]]</f>
        <v>LAB-854</v>
      </c>
      <c r="AK620" t="str">
        <f>Lab_Data[[#This Row],[JobRole]]</f>
        <v>Research Scientist</v>
      </c>
      <c r="AL620" t="str">
        <f>Lab_Data[[#This Row],[Department]]</f>
        <v>Research &amp; Development</v>
      </c>
      <c r="AM620" t="str">
        <f>IF(Lab_Data[[#This Row],[Attrition]]="Yes","Failed","Completed")</f>
        <v>Completed</v>
      </c>
      <c r="AN620">
        <f>Lab_Data[[#This Row],[YearsAtCompany]]</f>
        <v>4</v>
      </c>
      <c r="AO620" t="str">
        <f>IF(Lab_Data[[#This Row],[PerformanceRating]]&gt;=3,"Approved","Review Required")</f>
        <v>Approved</v>
      </c>
    </row>
    <row r="621" spans="1:41"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t="str">
        <f>"LAB-"&amp;Lab_Data[[#This Row],[EmployeeNumber]]</f>
        <v>LAB-855</v>
      </c>
      <c r="AK621" t="str">
        <f>Lab_Data[[#This Row],[JobRole]]</f>
        <v>Sales Executive</v>
      </c>
      <c r="AL621" t="str">
        <f>Lab_Data[[#This Row],[Department]]</f>
        <v>Sales</v>
      </c>
      <c r="AM621" t="str">
        <f>IF(Lab_Data[[#This Row],[Attrition]]="Yes","Failed","Completed")</f>
        <v>Completed</v>
      </c>
      <c r="AN621">
        <f>Lab_Data[[#This Row],[YearsAtCompany]]</f>
        <v>9</v>
      </c>
      <c r="AO621" t="str">
        <f>IF(Lab_Data[[#This Row],[PerformanceRating]]&gt;=3,"Approved","Review Required")</f>
        <v>Approved</v>
      </c>
    </row>
    <row r="622" spans="1:41"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t="str">
        <f>"LAB-"&amp;Lab_Data[[#This Row],[EmployeeNumber]]</f>
        <v>LAB-856</v>
      </c>
      <c r="AK622" t="str">
        <f>Lab_Data[[#This Row],[JobRole]]</f>
        <v>Research Scientist</v>
      </c>
      <c r="AL622" t="str">
        <f>Lab_Data[[#This Row],[Department]]</f>
        <v>Research &amp; Development</v>
      </c>
      <c r="AM622" t="str">
        <f>IF(Lab_Data[[#This Row],[Attrition]]="Yes","Failed","Completed")</f>
        <v>Completed</v>
      </c>
      <c r="AN622">
        <f>Lab_Data[[#This Row],[YearsAtCompany]]</f>
        <v>6</v>
      </c>
      <c r="AO622" t="str">
        <f>IF(Lab_Data[[#This Row],[PerformanceRating]]&gt;=3,"Approved","Review Required")</f>
        <v>Approved</v>
      </c>
    </row>
    <row r="623" spans="1:41"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t="str">
        <f>"LAB-"&amp;Lab_Data[[#This Row],[EmployeeNumber]]</f>
        <v>LAB-857</v>
      </c>
      <c r="AK623" t="str">
        <f>Lab_Data[[#This Row],[JobRole]]</f>
        <v>Sales Executive</v>
      </c>
      <c r="AL623" t="str">
        <f>Lab_Data[[#This Row],[Department]]</f>
        <v>Sales</v>
      </c>
      <c r="AM623" t="str">
        <f>IF(Lab_Data[[#This Row],[Attrition]]="Yes","Failed","Completed")</f>
        <v>Completed</v>
      </c>
      <c r="AN623">
        <f>Lab_Data[[#This Row],[YearsAtCompany]]</f>
        <v>18</v>
      </c>
      <c r="AO623" t="str">
        <f>IF(Lab_Data[[#This Row],[PerformanceRating]]&gt;=3,"Approved","Review Required")</f>
        <v>Approved</v>
      </c>
    </row>
    <row r="624" spans="1:41"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t="str">
        <f>"LAB-"&amp;Lab_Data[[#This Row],[EmployeeNumber]]</f>
        <v>LAB-859</v>
      </c>
      <c r="AK624" t="str">
        <f>Lab_Data[[#This Row],[JobRole]]</f>
        <v>Sales Executive</v>
      </c>
      <c r="AL624" t="str">
        <f>Lab_Data[[#This Row],[Department]]</f>
        <v>Sales</v>
      </c>
      <c r="AM624" t="str">
        <f>IF(Lab_Data[[#This Row],[Attrition]]="Yes","Failed","Completed")</f>
        <v>Completed</v>
      </c>
      <c r="AN624">
        <f>Lab_Data[[#This Row],[YearsAtCompany]]</f>
        <v>5</v>
      </c>
      <c r="AO624" t="str">
        <f>IF(Lab_Data[[#This Row],[PerformanceRating]]&gt;=3,"Approved","Review Required")</f>
        <v>Approved</v>
      </c>
    </row>
    <row r="625" spans="1:41"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t="str">
        <f>"LAB-"&amp;Lab_Data[[#This Row],[EmployeeNumber]]</f>
        <v>LAB-861</v>
      </c>
      <c r="AK625" t="str">
        <f>Lab_Data[[#This Row],[JobRole]]</f>
        <v>Research Scientist</v>
      </c>
      <c r="AL625" t="str">
        <f>Lab_Data[[#This Row],[Department]]</f>
        <v>Research &amp; Development</v>
      </c>
      <c r="AM625" t="str">
        <f>IF(Lab_Data[[#This Row],[Attrition]]="Yes","Failed","Completed")</f>
        <v>Completed</v>
      </c>
      <c r="AN625">
        <f>Lab_Data[[#This Row],[YearsAtCompany]]</f>
        <v>5</v>
      </c>
      <c r="AO625" t="str">
        <f>IF(Lab_Data[[#This Row],[PerformanceRating]]&gt;=3,"Approved","Review Required")</f>
        <v>Approved</v>
      </c>
    </row>
    <row r="626" spans="1:41"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t="str">
        <f>"LAB-"&amp;Lab_Data[[#This Row],[EmployeeNumber]]</f>
        <v>LAB-862</v>
      </c>
      <c r="AK626" t="str">
        <f>Lab_Data[[#This Row],[JobRole]]</f>
        <v>Sales Executive</v>
      </c>
      <c r="AL626" t="str">
        <f>Lab_Data[[#This Row],[Department]]</f>
        <v>Sales</v>
      </c>
      <c r="AM626" t="str">
        <f>IF(Lab_Data[[#This Row],[Attrition]]="Yes","Failed","Completed")</f>
        <v>Completed</v>
      </c>
      <c r="AN626">
        <f>Lab_Data[[#This Row],[YearsAtCompany]]</f>
        <v>5</v>
      </c>
      <c r="AO626" t="str">
        <f>IF(Lab_Data[[#This Row],[PerformanceRating]]&gt;=3,"Approved","Review Required")</f>
        <v>Approved</v>
      </c>
    </row>
    <row r="627" spans="1:41"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t="str">
        <f>"LAB-"&amp;Lab_Data[[#This Row],[EmployeeNumber]]</f>
        <v>LAB-864</v>
      </c>
      <c r="AK627" t="str">
        <f>Lab_Data[[#This Row],[JobRole]]</f>
        <v>Sales Executive</v>
      </c>
      <c r="AL627" t="str">
        <f>Lab_Data[[#This Row],[Department]]</f>
        <v>Sales</v>
      </c>
      <c r="AM627" t="str">
        <f>IF(Lab_Data[[#This Row],[Attrition]]="Yes","Failed","Completed")</f>
        <v>Completed</v>
      </c>
      <c r="AN627">
        <f>Lab_Data[[#This Row],[YearsAtCompany]]</f>
        <v>5</v>
      </c>
      <c r="AO627" t="str">
        <f>IF(Lab_Data[[#This Row],[PerformanceRating]]&gt;=3,"Approved","Review Required")</f>
        <v>Approved</v>
      </c>
    </row>
    <row r="628" spans="1:41"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t="str">
        <f>"LAB-"&amp;Lab_Data[[#This Row],[EmployeeNumber]]</f>
        <v>LAB-865</v>
      </c>
      <c r="AK628" t="str">
        <f>Lab_Data[[#This Row],[JobRole]]</f>
        <v>Research Scientist</v>
      </c>
      <c r="AL628" t="str">
        <f>Lab_Data[[#This Row],[Department]]</f>
        <v>Research &amp; Development</v>
      </c>
      <c r="AM628" t="str">
        <f>IF(Lab_Data[[#This Row],[Attrition]]="Yes","Failed","Completed")</f>
        <v>Completed</v>
      </c>
      <c r="AN628">
        <f>Lab_Data[[#This Row],[YearsAtCompany]]</f>
        <v>5</v>
      </c>
      <c r="AO628" t="str">
        <f>IF(Lab_Data[[#This Row],[PerformanceRating]]&gt;=3,"Approved","Review Required")</f>
        <v>Approved</v>
      </c>
    </row>
    <row r="629" spans="1:41"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t="str">
        <f>"LAB-"&amp;Lab_Data[[#This Row],[EmployeeNumber]]</f>
        <v>LAB-867</v>
      </c>
      <c r="AK629" t="str">
        <f>Lab_Data[[#This Row],[JobRole]]</f>
        <v>Manufacturing Director</v>
      </c>
      <c r="AL629" t="str">
        <f>Lab_Data[[#This Row],[Department]]</f>
        <v>Research &amp; Development</v>
      </c>
      <c r="AM629" t="str">
        <f>IF(Lab_Data[[#This Row],[Attrition]]="Yes","Failed","Completed")</f>
        <v>Completed</v>
      </c>
      <c r="AN629">
        <f>Lab_Data[[#This Row],[YearsAtCompany]]</f>
        <v>9</v>
      </c>
      <c r="AO629" t="str">
        <f>IF(Lab_Data[[#This Row],[PerformanceRating]]&gt;=3,"Approved","Review Required")</f>
        <v>Approved</v>
      </c>
    </row>
    <row r="630" spans="1:41"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t="str">
        <f>"LAB-"&amp;Lab_Data[[#This Row],[EmployeeNumber]]</f>
        <v>LAB-868</v>
      </c>
      <c r="AK630" t="str">
        <f>Lab_Data[[#This Row],[JobRole]]</f>
        <v>Sales Executive</v>
      </c>
      <c r="AL630" t="str">
        <f>Lab_Data[[#This Row],[Department]]</f>
        <v>Sales</v>
      </c>
      <c r="AM630" t="str">
        <f>IF(Lab_Data[[#This Row],[Attrition]]="Yes","Failed","Completed")</f>
        <v>Completed</v>
      </c>
      <c r="AN630">
        <f>Lab_Data[[#This Row],[YearsAtCompany]]</f>
        <v>1</v>
      </c>
      <c r="AO630" t="str">
        <f>IF(Lab_Data[[#This Row],[PerformanceRating]]&gt;=3,"Approved","Review Required")</f>
        <v>Approved</v>
      </c>
    </row>
    <row r="631" spans="1:41"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t="str">
        <f>"LAB-"&amp;Lab_Data[[#This Row],[EmployeeNumber]]</f>
        <v>LAB-869</v>
      </c>
      <c r="AK631" t="str">
        <f>Lab_Data[[#This Row],[JobRole]]</f>
        <v>Human Resources</v>
      </c>
      <c r="AL631" t="str">
        <f>Lab_Data[[#This Row],[Department]]</f>
        <v>Human Resources</v>
      </c>
      <c r="AM631" t="str">
        <f>IF(Lab_Data[[#This Row],[Attrition]]="Yes","Failed","Completed")</f>
        <v>Completed</v>
      </c>
      <c r="AN631">
        <f>Lab_Data[[#This Row],[YearsAtCompany]]</f>
        <v>5</v>
      </c>
      <c r="AO631" t="str">
        <f>IF(Lab_Data[[#This Row],[PerformanceRating]]&gt;=3,"Approved","Review Required")</f>
        <v>Approved</v>
      </c>
    </row>
    <row r="632" spans="1:41"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t="str">
        <f>"LAB-"&amp;Lab_Data[[#This Row],[EmployeeNumber]]</f>
        <v>LAB-872</v>
      </c>
      <c r="AK632" t="str">
        <f>Lab_Data[[#This Row],[JobRole]]</f>
        <v>Manufacturing Director</v>
      </c>
      <c r="AL632" t="str">
        <f>Lab_Data[[#This Row],[Department]]</f>
        <v>Research &amp; Development</v>
      </c>
      <c r="AM632" t="str">
        <f>IF(Lab_Data[[#This Row],[Attrition]]="Yes","Failed","Completed")</f>
        <v>Completed</v>
      </c>
      <c r="AN632">
        <f>Lab_Data[[#This Row],[YearsAtCompany]]</f>
        <v>2</v>
      </c>
      <c r="AO632" t="str">
        <f>IF(Lab_Data[[#This Row],[PerformanceRating]]&gt;=3,"Approved","Review Required")</f>
        <v>Approved</v>
      </c>
    </row>
    <row r="633" spans="1:41"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t="str">
        <f>"LAB-"&amp;Lab_Data[[#This Row],[EmployeeNumber]]</f>
        <v>LAB-874</v>
      </c>
      <c r="AK633" t="str">
        <f>Lab_Data[[#This Row],[JobRole]]</f>
        <v>Laboratory Technician</v>
      </c>
      <c r="AL633" t="str">
        <f>Lab_Data[[#This Row],[Department]]</f>
        <v>Research &amp; Development</v>
      </c>
      <c r="AM633" t="str">
        <f>IF(Lab_Data[[#This Row],[Attrition]]="Yes","Failed","Completed")</f>
        <v>Completed</v>
      </c>
      <c r="AN633">
        <f>Lab_Data[[#This Row],[YearsAtCompany]]</f>
        <v>3</v>
      </c>
      <c r="AO633" t="str">
        <f>IF(Lab_Data[[#This Row],[PerformanceRating]]&gt;=3,"Approved","Review Required")</f>
        <v>Approved</v>
      </c>
    </row>
    <row r="634" spans="1:41"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t="str">
        <f>"LAB-"&amp;Lab_Data[[#This Row],[EmployeeNumber]]</f>
        <v>LAB-875</v>
      </c>
      <c r="AK634" t="str">
        <f>Lab_Data[[#This Row],[JobRole]]</f>
        <v>Research Scientist</v>
      </c>
      <c r="AL634" t="str">
        <f>Lab_Data[[#This Row],[Department]]</f>
        <v>Research &amp; Development</v>
      </c>
      <c r="AM634" t="str">
        <f>IF(Lab_Data[[#This Row],[Attrition]]="Yes","Failed","Completed")</f>
        <v>Completed</v>
      </c>
      <c r="AN634">
        <f>Lab_Data[[#This Row],[YearsAtCompany]]</f>
        <v>2</v>
      </c>
      <c r="AO634" t="str">
        <f>IF(Lab_Data[[#This Row],[PerformanceRating]]&gt;=3,"Approved","Review Required")</f>
        <v>Approved</v>
      </c>
    </row>
    <row r="635" spans="1:41"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t="str">
        <f>"LAB-"&amp;Lab_Data[[#This Row],[EmployeeNumber]]</f>
        <v>LAB-878</v>
      </c>
      <c r="AK635" t="str">
        <f>Lab_Data[[#This Row],[JobRole]]</f>
        <v>Human Resources</v>
      </c>
      <c r="AL635" t="str">
        <f>Lab_Data[[#This Row],[Department]]</f>
        <v>Human Resources</v>
      </c>
      <c r="AM635" t="str">
        <f>IF(Lab_Data[[#This Row],[Attrition]]="Yes","Failed","Completed")</f>
        <v>Completed</v>
      </c>
      <c r="AN635">
        <f>Lab_Data[[#This Row],[YearsAtCompany]]</f>
        <v>5</v>
      </c>
      <c r="AO635" t="str">
        <f>IF(Lab_Data[[#This Row],[PerformanceRating]]&gt;=3,"Approved","Review Required")</f>
        <v>Approved</v>
      </c>
    </row>
    <row r="636" spans="1:41"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t="str">
        <f>"LAB-"&amp;Lab_Data[[#This Row],[EmployeeNumber]]</f>
        <v>LAB-879</v>
      </c>
      <c r="AK636" t="str">
        <f>Lab_Data[[#This Row],[JobRole]]</f>
        <v>Sales Executive</v>
      </c>
      <c r="AL636" t="str">
        <f>Lab_Data[[#This Row],[Department]]</f>
        <v>Sales</v>
      </c>
      <c r="AM636" t="str">
        <f>IF(Lab_Data[[#This Row],[Attrition]]="Yes","Failed","Completed")</f>
        <v>Completed</v>
      </c>
      <c r="AN636">
        <f>Lab_Data[[#This Row],[YearsAtCompany]]</f>
        <v>5</v>
      </c>
      <c r="AO636" t="str">
        <f>IF(Lab_Data[[#This Row],[PerformanceRating]]&gt;=3,"Approved","Review Required")</f>
        <v>Approved</v>
      </c>
    </row>
    <row r="637" spans="1:41"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t="str">
        <f>"LAB-"&amp;Lab_Data[[#This Row],[EmployeeNumber]]</f>
        <v>LAB-880</v>
      </c>
      <c r="AK637" t="str">
        <f>Lab_Data[[#This Row],[JobRole]]</f>
        <v>Manufacturing Director</v>
      </c>
      <c r="AL637" t="str">
        <f>Lab_Data[[#This Row],[Department]]</f>
        <v>Research &amp; Development</v>
      </c>
      <c r="AM637" t="str">
        <f>IF(Lab_Data[[#This Row],[Attrition]]="Yes","Failed","Completed")</f>
        <v>Completed</v>
      </c>
      <c r="AN637">
        <f>Lab_Data[[#This Row],[YearsAtCompany]]</f>
        <v>17</v>
      </c>
      <c r="AO637" t="str">
        <f>IF(Lab_Data[[#This Row],[PerformanceRating]]&gt;=3,"Approved","Review Required")</f>
        <v>Approved</v>
      </c>
    </row>
    <row r="638" spans="1:41"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t="str">
        <f>"LAB-"&amp;Lab_Data[[#This Row],[EmployeeNumber]]</f>
        <v>LAB-881</v>
      </c>
      <c r="AK638" t="str">
        <f>Lab_Data[[#This Row],[JobRole]]</f>
        <v>Research Scientist</v>
      </c>
      <c r="AL638" t="str">
        <f>Lab_Data[[#This Row],[Department]]</f>
        <v>Research &amp; Development</v>
      </c>
      <c r="AM638" t="str">
        <f>IF(Lab_Data[[#This Row],[Attrition]]="Yes","Failed","Completed")</f>
        <v>Failed</v>
      </c>
      <c r="AN638">
        <f>Lab_Data[[#This Row],[YearsAtCompany]]</f>
        <v>10</v>
      </c>
      <c r="AO638" t="str">
        <f>IF(Lab_Data[[#This Row],[PerformanceRating]]&gt;=3,"Approved","Review Required")</f>
        <v>Approved</v>
      </c>
    </row>
    <row r="639" spans="1:41"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t="str">
        <f>"LAB-"&amp;Lab_Data[[#This Row],[EmployeeNumber]]</f>
        <v>LAB-882</v>
      </c>
      <c r="AK639" t="str">
        <f>Lab_Data[[#This Row],[JobRole]]</f>
        <v>Laboratory Technician</v>
      </c>
      <c r="AL639" t="str">
        <f>Lab_Data[[#This Row],[Department]]</f>
        <v>Research &amp; Development</v>
      </c>
      <c r="AM639" t="str">
        <f>IF(Lab_Data[[#This Row],[Attrition]]="Yes","Failed","Completed")</f>
        <v>Completed</v>
      </c>
      <c r="AN639">
        <f>Lab_Data[[#This Row],[YearsAtCompany]]</f>
        <v>3</v>
      </c>
      <c r="AO639" t="str">
        <f>IF(Lab_Data[[#This Row],[PerformanceRating]]&gt;=3,"Approved","Review Required")</f>
        <v>Approved</v>
      </c>
    </row>
    <row r="640" spans="1:41"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t="str">
        <f>"LAB-"&amp;Lab_Data[[#This Row],[EmployeeNumber]]</f>
        <v>LAB-885</v>
      </c>
      <c r="AK640" t="str">
        <f>Lab_Data[[#This Row],[JobRole]]</f>
        <v>Sales Executive</v>
      </c>
      <c r="AL640" t="str">
        <f>Lab_Data[[#This Row],[Department]]</f>
        <v>Sales</v>
      </c>
      <c r="AM640" t="str">
        <f>IF(Lab_Data[[#This Row],[Attrition]]="Yes","Failed","Completed")</f>
        <v>Completed</v>
      </c>
      <c r="AN640">
        <f>Lab_Data[[#This Row],[YearsAtCompany]]</f>
        <v>5</v>
      </c>
      <c r="AO640" t="str">
        <f>IF(Lab_Data[[#This Row],[PerformanceRating]]&gt;=3,"Approved","Review Required")</f>
        <v>Approved</v>
      </c>
    </row>
    <row r="641" spans="1:41"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t="str">
        <f>"LAB-"&amp;Lab_Data[[#This Row],[EmployeeNumber]]</f>
        <v>LAB-887</v>
      </c>
      <c r="AK641" t="str">
        <f>Lab_Data[[#This Row],[JobRole]]</f>
        <v>Research Scientist</v>
      </c>
      <c r="AL641" t="str">
        <f>Lab_Data[[#This Row],[Department]]</f>
        <v>Research &amp; Development</v>
      </c>
      <c r="AM641" t="str">
        <f>IF(Lab_Data[[#This Row],[Attrition]]="Yes","Failed","Completed")</f>
        <v>Completed</v>
      </c>
      <c r="AN641">
        <f>Lab_Data[[#This Row],[YearsAtCompany]]</f>
        <v>4</v>
      </c>
      <c r="AO641" t="str">
        <f>IF(Lab_Data[[#This Row],[PerformanceRating]]&gt;=3,"Approved","Review Required")</f>
        <v>Approved</v>
      </c>
    </row>
    <row r="642" spans="1:41"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t="str">
        <f>"LAB-"&amp;Lab_Data[[#This Row],[EmployeeNumber]]</f>
        <v>LAB-888</v>
      </c>
      <c r="AK642" t="str">
        <f>Lab_Data[[#This Row],[JobRole]]</f>
        <v>Laboratory Technician</v>
      </c>
      <c r="AL642" t="str">
        <f>Lab_Data[[#This Row],[Department]]</f>
        <v>Research &amp; Development</v>
      </c>
      <c r="AM642" t="str">
        <f>IF(Lab_Data[[#This Row],[Attrition]]="Yes","Failed","Completed")</f>
        <v>Completed</v>
      </c>
      <c r="AN642">
        <f>Lab_Data[[#This Row],[YearsAtCompany]]</f>
        <v>5</v>
      </c>
      <c r="AO642" t="str">
        <f>IF(Lab_Data[[#This Row],[PerformanceRating]]&gt;=3,"Approved","Review Required")</f>
        <v>Approved</v>
      </c>
    </row>
    <row r="643" spans="1:41"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t="str">
        <f>"LAB-"&amp;Lab_Data[[#This Row],[EmployeeNumber]]</f>
        <v>LAB-889</v>
      </c>
      <c r="AK643" t="str">
        <f>Lab_Data[[#This Row],[JobRole]]</f>
        <v>Sales Executive</v>
      </c>
      <c r="AL643" t="str">
        <f>Lab_Data[[#This Row],[Department]]</f>
        <v>Sales</v>
      </c>
      <c r="AM643" t="str">
        <f>IF(Lab_Data[[#This Row],[Attrition]]="Yes","Failed","Completed")</f>
        <v>Completed</v>
      </c>
      <c r="AN643">
        <f>Lab_Data[[#This Row],[YearsAtCompany]]</f>
        <v>10</v>
      </c>
      <c r="AO643" t="str">
        <f>IF(Lab_Data[[#This Row],[PerformanceRating]]&gt;=3,"Approved","Review Required")</f>
        <v>Approved</v>
      </c>
    </row>
    <row r="644" spans="1:41"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t="str">
        <f>"LAB-"&amp;Lab_Data[[#This Row],[EmployeeNumber]]</f>
        <v>LAB-893</v>
      </c>
      <c r="AK644" t="str">
        <f>Lab_Data[[#This Row],[JobRole]]</f>
        <v>Sales Representative</v>
      </c>
      <c r="AL644" t="str">
        <f>Lab_Data[[#This Row],[Department]]</f>
        <v>Sales</v>
      </c>
      <c r="AM644" t="str">
        <f>IF(Lab_Data[[#This Row],[Attrition]]="Yes","Failed","Completed")</f>
        <v>Completed</v>
      </c>
      <c r="AN644">
        <f>Lab_Data[[#This Row],[YearsAtCompany]]</f>
        <v>2</v>
      </c>
      <c r="AO644" t="str">
        <f>IF(Lab_Data[[#This Row],[PerformanceRating]]&gt;=3,"Approved","Review Required")</f>
        <v>Approved</v>
      </c>
    </row>
    <row r="645" spans="1:41"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t="str">
        <f>"LAB-"&amp;Lab_Data[[#This Row],[EmployeeNumber]]</f>
        <v>LAB-894</v>
      </c>
      <c r="AK645" t="str">
        <f>Lab_Data[[#This Row],[JobRole]]</f>
        <v>Laboratory Technician</v>
      </c>
      <c r="AL645" t="str">
        <f>Lab_Data[[#This Row],[Department]]</f>
        <v>Research &amp; Development</v>
      </c>
      <c r="AM645" t="str">
        <f>IF(Lab_Data[[#This Row],[Attrition]]="Yes","Failed","Completed")</f>
        <v>Completed</v>
      </c>
      <c r="AN645">
        <f>Lab_Data[[#This Row],[YearsAtCompany]]</f>
        <v>5</v>
      </c>
      <c r="AO645" t="str">
        <f>IF(Lab_Data[[#This Row],[PerformanceRating]]&gt;=3,"Approved","Review Required")</f>
        <v>Approved</v>
      </c>
    </row>
    <row r="646" spans="1:41"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t="str">
        <f>"LAB-"&amp;Lab_Data[[#This Row],[EmployeeNumber]]</f>
        <v>LAB-895</v>
      </c>
      <c r="AK646" t="str">
        <f>Lab_Data[[#This Row],[JobRole]]</f>
        <v>Research Scientist</v>
      </c>
      <c r="AL646" t="str">
        <f>Lab_Data[[#This Row],[Department]]</f>
        <v>Research &amp; Development</v>
      </c>
      <c r="AM646" t="str">
        <f>IF(Lab_Data[[#This Row],[Attrition]]="Yes","Failed","Completed")</f>
        <v>Completed</v>
      </c>
      <c r="AN646">
        <f>Lab_Data[[#This Row],[YearsAtCompany]]</f>
        <v>6</v>
      </c>
      <c r="AO646" t="str">
        <f>IF(Lab_Data[[#This Row],[PerformanceRating]]&gt;=3,"Approved","Review Required")</f>
        <v>Approved</v>
      </c>
    </row>
    <row r="647" spans="1:41"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t="str">
        <f>"LAB-"&amp;Lab_Data[[#This Row],[EmployeeNumber]]</f>
        <v>LAB-896</v>
      </c>
      <c r="AK647" t="str">
        <f>Lab_Data[[#This Row],[JobRole]]</f>
        <v>Sales Representative</v>
      </c>
      <c r="AL647" t="str">
        <f>Lab_Data[[#This Row],[Department]]</f>
        <v>Sales</v>
      </c>
      <c r="AM647" t="str">
        <f>IF(Lab_Data[[#This Row],[Attrition]]="Yes","Failed","Completed")</f>
        <v>Failed</v>
      </c>
      <c r="AN647">
        <f>Lab_Data[[#This Row],[YearsAtCompany]]</f>
        <v>3</v>
      </c>
      <c r="AO647" t="str">
        <f>IF(Lab_Data[[#This Row],[PerformanceRating]]&gt;=3,"Approved","Review Required")</f>
        <v>Approved</v>
      </c>
    </row>
    <row r="648" spans="1:41"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t="str">
        <f>"LAB-"&amp;Lab_Data[[#This Row],[EmployeeNumber]]</f>
        <v>LAB-897</v>
      </c>
      <c r="AK648" t="str">
        <f>Lab_Data[[#This Row],[JobRole]]</f>
        <v>Sales Executive</v>
      </c>
      <c r="AL648" t="str">
        <f>Lab_Data[[#This Row],[Department]]</f>
        <v>Sales</v>
      </c>
      <c r="AM648" t="str">
        <f>IF(Lab_Data[[#This Row],[Attrition]]="Yes","Failed","Completed")</f>
        <v>Completed</v>
      </c>
      <c r="AN648">
        <f>Lab_Data[[#This Row],[YearsAtCompany]]</f>
        <v>2</v>
      </c>
      <c r="AO648" t="str">
        <f>IF(Lab_Data[[#This Row],[PerformanceRating]]&gt;=3,"Approved","Review Required")</f>
        <v>Approved</v>
      </c>
    </row>
    <row r="649" spans="1:41"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t="str">
        <f>"LAB-"&amp;Lab_Data[[#This Row],[EmployeeNumber]]</f>
        <v>LAB-899</v>
      </c>
      <c r="AK649" t="str">
        <f>Lab_Data[[#This Row],[JobRole]]</f>
        <v>Manufacturing Director</v>
      </c>
      <c r="AL649" t="str">
        <f>Lab_Data[[#This Row],[Department]]</f>
        <v>Research &amp; Development</v>
      </c>
      <c r="AM649" t="str">
        <f>IF(Lab_Data[[#This Row],[Attrition]]="Yes","Failed","Completed")</f>
        <v>Completed</v>
      </c>
      <c r="AN649">
        <f>Lab_Data[[#This Row],[YearsAtCompany]]</f>
        <v>13</v>
      </c>
      <c r="AO649" t="str">
        <f>IF(Lab_Data[[#This Row],[PerformanceRating]]&gt;=3,"Approved","Review Required")</f>
        <v>Approved</v>
      </c>
    </row>
    <row r="650" spans="1:41"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t="str">
        <f>"LAB-"&amp;Lab_Data[[#This Row],[EmployeeNumber]]</f>
        <v>LAB-900</v>
      </c>
      <c r="AK650" t="str">
        <f>Lab_Data[[#This Row],[JobRole]]</f>
        <v>Sales Representative</v>
      </c>
      <c r="AL650" t="str">
        <f>Lab_Data[[#This Row],[Department]]</f>
        <v>Sales</v>
      </c>
      <c r="AM650" t="str">
        <f>IF(Lab_Data[[#This Row],[Attrition]]="Yes","Failed","Completed")</f>
        <v>Completed</v>
      </c>
      <c r="AN650">
        <f>Lab_Data[[#This Row],[YearsAtCompany]]</f>
        <v>5</v>
      </c>
      <c r="AO650" t="str">
        <f>IF(Lab_Data[[#This Row],[PerformanceRating]]&gt;=3,"Approved","Review Required")</f>
        <v>Approved</v>
      </c>
    </row>
    <row r="651" spans="1:41"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t="str">
        <f>"LAB-"&amp;Lab_Data[[#This Row],[EmployeeNumber]]</f>
        <v>LAB-901</v>
      </c>
      <c r="AK651" t="str">
        <f>Lab_Data[[#This Row],[JobRole]]</f>
        <v>Research Director</v>
      </c>
      <c r="AL651" t="str">
        <f>Lab_Data[[#This Row],[Department]]</f>
        <v>Research &amp; Development</v>
      </c>
      <c r="AM651" t="str">
        <f>IF(Lab_Data[[#This Row],[Attrition]]="Yes","Failed","Completed")</f>
        <v>Completed</v>
      </c>
      <c r="AN651">
        <f>Lab_Data[[#This Row],[YearsAtCompany]]</f>
        <v>12</v>
      </c>
      <c r="AO651" t="str">
        <f>IF(Lab_Data[[#This Row],[PerformanceRating]]&gt;=3,"Approved","Review Required")</f>
        <v>Approved</v>
      </c>
    </row>
    <row r="652" spans="1:41"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t="str">
        <f>"LAB-"&amp;Lab_Data[[#This Row],[EmployeeNumber]]</f>
        <v>LAB-902</v>
      </c>
      <c r="AK652" t="str">
        <f>Lab_Data[[#This Row],[JobRole]]</f>
        <v>Healthcare Representative</v>
      </c>
      <c r="AL652" t="str">
        <f>Lab_Data[[#This Row],[Department]]</f>
        <v>Research &amp; Development</v>
      </c>
      <c r="AM652" t="str">
        <f>IF(Lab_Data[[#This Row],[Attrition]]="Yes","Failed","Completed")</f>
        <v>Completed</v>
      </c>
      <c r="AN652">
        <f>Lab_Data[[#This Row],[YearsAtCompany]]</f>
        <v>5</v>
      </c>
      <c r="AO652" t="str">
        <f>IF(Lab_Data[[#This Row],[PerformanceRating]]&gt;=3,"Approved","Review Required")</f>
        <v>Approved</v>
      </c>
    </row>
    <row r="653" spans="1:41"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t="str">
        <f>"LAB-"&amp;Lab_Data[[#This Row],[EmployeeNumber]]</f>
        <v>LAB-903</v>
      </c>
      <c r="AK653" t="str">
        <f>Lab_Data[[#This Row],[JobRole]]</f>
        <v>Sales Executive</v>
      </c>
      <c r="AL653" t="str">
        <f>Lab_Data[[#This Row],[Department]]</f>
        <v>Sales</v>
      </c>
      <c r="AM653" t="str">
        <f>IF(Lab_Data[[#This Row],[Attrition]]="Yes","Failed","Completed")</f>
        <v>Completed</v>
      </c>
      <c r="AN653">
        <f>Lab_Data[[#This Row],[YearsAtCompany]]</f>
        <v>7</v>
      </c>
      <c r="AO653" t="str">
        <f>IF(Lab_Data[[#This Row],[PerformanceRating]]&gt;=3,"Approved","Review Required")</f>
        <v>Approved</v>
      </c>
    </row>
    <row r="654" spans="1:41"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t="str">
        <f>"LAB-"&amp;Lab_Data[[#This Row],[EmployeeNumber]]</f>
        <v>LAB-904</v>
      </c>
      <c r="AK654" t="str">
        <f>Lab_Data[[#This Row],[JobRole]]</f>
        <v>Sales Executive</v>
      </c>
      <c r="AL654" t="str">
        <f>Lab_Data[[#This Row],[Department]]</f>
        <v>Sales</v>
      </c>
      <c r="AM654" t="str">
        <f>IF(Lab_Data[[#This Row],[Attrition]]="Yes","Failed","Completed")</f>
        <v>Completed</v>
      </c>
      <c r="AN654">
        <f>Lab_Data[[#This Row],[YearsAtCompany]]</f>
        <v>10</v>
      </c>
      <c r="AO654" t="str">
        <f>IF(Lab_Data[[#This Row],[PerformanceRating]]&gt;=3,"Approved","Review Required")</f>
        <v>Approved</v>
      </c>
    </row>
    <row r="655" spans="1:41"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t="str">
        <f>"LAB-"&amp;Lab_Data[[#This Row],[EmployeeNumber]]</f>
        <v>LAB-905</v>
      </c>
      <c r="AK655" t="str">
        <f>Lab_Data[[#This Row],[JobRole]]</f>
        <v>Manager</v>
      </c>
      <c r="AL655" t="str">
        <f>Lab_Data[[#This Row],[Department]]</f>
        <v>Research &amp; Development</v>
      </c>
      <c r="AM655" t="str">
        <f>IF(Lab_Data[[#This Row],[Attrition]]="Yes","Failed","Completed")</f>
        <v>Completed</v>
      </c>
      <c r="AN655">
        <f>Lab_Data[[#This Row],[YearsAtCompany]]</f>
        <v>31</v>
      </c>
      <c r="AO655" t="str">
        <f>IF(Lab_Data[[#This Row],[PerformanceRating]]&gt;=3,"Approved","Review Required")</f>
        <v>Approved</v>
      </c>
    </row>
    <row r="656" spans="1:41"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t="str">
        <f>"LAB-"&amp;Lab_Data[[#This Row],[EmployeeNumber]]</f>
        <v>LAB-909</v>
      </c>
      <c r="AK656" t="str">
        <f>Lab_Data[[#This Row],[JobRole]]</f>
        <v>Human Resources</v>
      </c>
      <c r="AL656" t="str">
        <f>Lab_Data[[#This Row],[Department]]</f>
        <v>Human Resources</v>
      </c>
      <c r="AM656" t="str">
        <f>IF(Lab_Data[[#This Row],[Attrition]]="Yes","Failed","Completed")</f>
        <v>Completed</v>
      </c>
      <c r="AN656">
        <f>Lab_Data[[#This Row],[YearsAtCompany]]</f>
        <v>5</v>
      </c>
      <c r="AO656" t="str">
        <f>IF(Lab_Data[[#This Row],[PerformanceRating]]&gt;=3,"Approved","Review Required")</f>
        <v>Approved</v>
      </c>
    </row>
    <row r="657" spans="1:41"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t="str">
        <f>"LAB-"&amp;Lab_Data[[#This Row],[EmployeeNumber]]</f>
        <v>LAB-910</v>
      </c>
      <c r="AK657" t="str">
        <f>Lab_Data[[#This Row],[JobRole]]</f>
        <v>Human Resources</v>
      </c>
      <c r="AL657" t="str">
        <f>Lab_Data[[#This Row],[Department]]</f>
        <v>Human Resources</v>
      </c>
      <c r="AM657" t="str">
        <f>IF(Lab_Data[[#This Row],[Attrition]]="Yes","Failed","Completed")</f>
        <v>Completed</v>
      </c>
      <c r="AN657">
        <f>Lab_Data[[#This Row],[YearsAtCompany]]</f>
        <v>4</v>
      </c>
      <c r="AO657" t="str">
        <f>IF(Lab_Data[[#This Row],[PerformanceRating]]&gt;=3,"Approved","Review Required")</f>
        <v>Approved</v>
      </c>
    </row>
    <row r="658" spans="1:41"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t="str">
        <f>"LAB-"&amp;Lab_Data[[#This Row],[EmployeeNumber]]</f>
        <v>LAB-911</v>
      </c>
      <c r="AK658" t="str">
        <f>Lab_Data[[#This Row],[JobRole]]</f>
        <v>Laboratory Technician</v>
      </c>
      <c r="AL658" t="str">
        <f>Lab_Data[[#This Row],[Department]]</f>
        <v>Research &amp; Development</v>
      </c>
      <c r="AM658" t="str">
        <f>IF(Lab_Data[[#This Row],[Attrition]]="Yes","Failed","Completed")</f>
        <v>Failed</v>
      </c>
      <c r="AN658">
        <f>Lab_Data[[#This Row],[YearsAtCompany]]</f>
        <v>1</v>
      </c>
      <c r="AO658" t="str">
        <f>IF(Lab_Data[[#This Row],[PerformanceRating]]&gt;=3,"Approved","Review Required")</f>
        <v>Approved</v>
      </c>
    </row>
    <row r="659" spans="1:41"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t="str">
        <f>"LAB-"&amp;Lab_Data[[#This Row],[EmployeeNumber]]</f>
        <v>LAB-912</v>
      </c>
      <c r="AK659" t="str">
        <f>Lab_Data[[#This Row],[JobRole]]</f>
        <v>Laboratory Technician</v>
      </c>
      <c r="AL659" t="str">
        <f>Lab_Data[[#This Row],[Department]]</f>
        <v>Research &amp; Development</v>
      </c>
      <c r="AM659" t="str">
        <f>IF(Lab_Data[[#This Row],[Attrition]]="Yes","Failed","Completed")</f>
        <v>Completed</v>
      </c>
      <c r="AN659">
        <f>Lab_Data[[#This Row],[YearsAtCompany]]</f>
        <v>4</v>
      </c>
      <c r="AO659" t="str">
        <f>IF(Lab_Data[[#This Row],[PerformanceRating]]&gt;=3,"Approved","Review Required")</f>
        <v>Approved</v>
      </c>
    </row>
    <row r="660" spans="1:41"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t="str">
        <f>"LAB-"&amp;Lab_Data[[#This Row],[EmployeeNumber]]</f>
        <v>LAB-913</v>
      </c>
      <c r="AK660" t="str">
        <f>Lab_Data[[#This Row],[JobRole]]</f>
        <v>Research Scientist</v>
      </c>
      <c r="AL660" t="str">
        <f>Lab_Data[[#This Row],[Department]]</f>
        <v>Research &amp; Development</v>
      </c>
      <c r="AM660" t="str">
        <f>IF(Lab_Data[[#This Row],[Attrition]]="Yes","Failed","Completed")</f>
        <v>Completed</v>
      </c>
      <c r="AN660">
        <f>Lab_Data[[#This Row],[YearsAtCompany]]</f>
        <v>8</v>
      </c>
      <c r="AO660" t="str">
        <f>IF(Lab_Data[[#This Row],[PerformanceRating]]&gt;=3,"Approved","Review Required")</f>
        <v>Approved</v>
      </c>
    </row>
    <row r="661" spans="1:41"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t="str">
        <f>"LAB-"&amp;Lab_Data[[#This Row],[EmployeeNumber]]</f>
        <v>LAB-916</v>
      </c>
      <c r="AK661" t="str">
        <f>Lab_Data[[#This Row],[JobRole]]</f>
        <v>Sales Executive</v>
      </c>
      <c r="AL661" t="str">
        <f>Lab_Data[[#This Row],[Department]]</f>
        <v>Sales</v>
      </c>
      <c r="AM661" t="str">
        <f>IF(Lab_Data[[#This Row],[Attrition]]="Yes","Failed","Completed")</f>
        <v>Completed</v>
      </c>
      <c r="AN661">
        <f>Lab_Data[[#This Row],[YearsAtCompany]]</f>
        <v>4</v>
      </c>
      <c r="AO661" t="str">
        <f>IF(Lab_Data[[#This Row],[PerformanceRating]]&gt;=3,"Approved","Review Required")</f>
        <v>Approved</v>
      </c>
    </row>
    <row r="662" spans="1:41"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t="str">
        <f>"LAB-"&amp;Lab_Data[[#This Row],[EmployeeNumber]]</f>
        <v>LAB-918</v>
      </c>
      <c r="AK662" t="str">
        <f>Lab_Data[[#This Row],[JobRole]]</f>
        <v>Laboratory Technician</v>
      </c>
      <c r="AL662" t="str">
        <f>Lab_Data[[#This Row],[Department]]</f>
        <v>Research &amp; Development</v>
      </c>
      <c r="AM662" t="str">
        <f>IF(Lab_Data[[#This Row],[Attrition]]="Yes","Failed","Completed")</f>
        <v>Failed</v>
      </c>
      <c r="AN662">
        <f>Lab_Data[[#This Row],[YearsAtCompany]]</f>
        <v>1</v>
      </c>
      <c r="AO662" t="str">
        <f>IF(Lab_Data[[#This Row],[PerformanceRating]]&gt;=3,"Approved","Review Required")</f>
        <v>Approved</v>
      </c>
    </row>
    <row r="663" spans="1:41"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t="str">
        <f>"LAB-"&amp;Lab_Data[[#This Row],[EmployeeNumber]]</f>
        <v>LAB-920</v>
      </c>
      <c r="AK663" t="str">
        <f>Lab_Data[[#This Row],[JobRole]]</f>
        <v>Manufacturing Director</v>
      </c>
      <c r="AL663" t="str">
        <f>Lab_Data[[#This Row],[Department]]</f>
        <v>Research &amp; Development</v>
      </c>
      <c r="AM663" t="str">
        <f>IF(Lab_Data[[#This Row],[Attrition]]="Yes","Failed","Completed")</f>
        <v>Completed</v>
      </c>
      <c r="AN663">
        <f>Lab_Data[[#This Row],[YearsAtCompany]]</f>
        <v>1</v>
      </c>
      <c r="AO663" t="str">
        <f>IF(Lab_Data[[#This Row],[PerformanceRating]]&gt;=3,"Approved","Review Required")</f>
        <v>Approved</v>
      </c>
    </row>
    <row r="664" spans="1:41"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t="str">
        <f>"LAB-"&amp;Lab_Data[[#This Row],[EmployeeNumber]]</f>
        <v>LAB-922</v>
      </c>
      <c r="AK664" t="str">
        <f>Lab_Data[[#This Row],[JobRole]]</f>
        <v>Sales Representative</v>
      </c>
      <c r="AL664" t="str">
        <f>Lab_Data[[#This Row],[Department]]</f>
        <v>Sales</v>
      </c>
      <c r="AM664" t="str">
        <f>IF(Lab_Data[[#This Row],[Attrition]]="Yes","Failed","Completed")</f>
        <v>Failed</v>
      </c>
      <c r="AN664">
        <f>Lab_Data[[#This Row],[YearsAtCompany]]</f>
        <v>2</v>
      </c>
      <c r="AO664" t="str">
        <f>IF(Lab_Data[[#This Row],[PerformanceRating]]&gt;=3,"Approved","Review Required")</f>
        <v>Approved</v>
      </c>
    </row>
    <row r="665" spans="1:41"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t="str">
        <f>"LAB-"&amp;Lab_Data[[#This Row],[EmployeeNumber]]</f>
        <v>LAB-923</v>
      </c>
      <c r="AK665" t="str">
        <f>Lab_Data[[#This Row],[JobRole]]</f>
        <v>Research Scientist</v>
      </c>
      <c r="AL665" t="str">
        <f>Lab_Data[[#This Row],[Department]]</f>
        <v>Research &amp; Development</v>
      </c>
      <c r="AM665" t="str">
        <f>IF(Lab_Data[[#This Row],[Attrition]]="Yes","Failed","Completed")</f>
        <v>Failed</v>
      </c>
      <c r="AN665">
        <f>Lab_Data[[#This Row],[YearsAtCompany]]</f>
        <v>1</v>
      </c>
      <c r="AO665" t="str">
        <f>IF(Lab_Data[[#This Row],[PerformanceRating]]&gt;=3,"Approved","Review Required")</f>
        <v>Approved</v>
      </c>
    </row>
    <row r="666" spans="1:41"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t="str">
        <f>"LAB-"&amp;Lab_Data[[#This Row],[EmployeeNumber]]</f>
        <v>LAB-924</v>
      </c>
      <c r="AK666" t="str">
        <f>Lab_Data[[#This Row],[JobRole]]</f>
        <v>Healthcare Representative</v>
      </c>
      <c r="AL666" t="str">
        <f>Lab_Data[[#This Row],[Department]]</f>
        <v>Research &amp; Development</v>
      </c>
      <c r="AM666" t="str">
        <f>IF(Lab_Data[[#This Row],[Attrition]]="Yes","Failed","Completed")</f>
        <v>Completed</v>
      </c>
      <c r="AN666">
        <f>Lab_Data[[#This Row],[YearsAtCompany]]</f>
        <v>16</v>
      </c>
      <c r="AO666" t="str">
        <f>IF(Lab_Data[[#This Row],[PerformanceRating]]&gt;=3,"Approved","Review Required")</f>
        <v>Approved</v>
      </c>
    </row>
    <row r="667" spans="1:41"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t="str">
        <f>"LAB-"&amp;Lab_Data[[#This Row],[EmployeeNumber]]</f>
        <v>LAB-925</v>
      </c>
      <c r="AK667" t="str">
        <f>Lab_Data[[#This Row],[JobRole]]</f>
        <v>Sales Representative</v>
      </c>
      <c r="AL667" t="str">
        <f>Lab_Data[[#This Row],[Department]]</f>
        <v>Sales</v>
      </c>
      <c r="AM667" t="str">
        <f>IF(Lab_Data[[#This Row],[Attrition]]="Yes","Failed","Completed")</f>
        <v>Completed</v>
      </c>
      <c r="AN667">
        <f>Lab_Data[[#This Row],[YearsAtCompany]]</f>
        <v>3</v>
      </c>
      <c r="AO667" t="str">
        <f>IF(Lab_Data[[#This Row],[PerformanceRating]]&gt;=3,"Approved","Review Required")</f>
        <v>Approved</v>
      </c>
    </row>
    <row r="668" spans="1:41"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t="str">
        <f>"LAB-"&amp;Lab_Data[[#This Row],[EmployeeNumber]]</f>
        <v>LAB-926</v>
      </c>
      <c r="AK668" t="str">
        <f>Lab_Data[[#This Row],[JobRole]]</f>
        <v>Manufacturing Director</v>
      </c>
      <c r="AL668" t="str">
        <f>Lab_Data[[#This Row],[Department]]</f>
        <v>Research &amp; Development</v>
      </c>
      <c r="AM668" t="str">
        <f>IF(Lab_Data[[#This Row],[Attrition]]="Yes","Failed","Completed")</f>
        <v>Failed</v>
      </c>
      <c r="AN668">
        <f>Lab_Data[[#This Row],[YearsAtCompany]]</f>
        <v>3</v>
      </c>
      <c r="AO668" t="str">
        <f>IF(Lab_Data[[#This Row],[PerformanceRating]]&gt;=3,"Approved","Review Required")</f>
        <v>Approved</v>
      </c>
    </row>
    <row r="669" spans="1:41"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t="str">
        <f>"LAB-"&amp;Lab_Data[[#This Row],[EmployeeNumber]]</f>
        <v>LAB-927</v>
      </c>
      <c r="AK669" t="str">
        <f>Lab_Data[[#This Row],[JobRole]]</f>
        <v>Laboratory Technician</v>
      </c>
      <c r="AL669" t="str">
        <f>Lab_Data[[#This Row],[Department]]</f>
        <v>Research &amp; Development</v>
      </c>
      <c r="AM669" t="str">
        <f>IF(Lab_Data[[#This Row],[Attrition]]="Yes","Failed","Completed")</f>
        <v>Failed</v>
      </c>
      <c r="AN669">
        <f>Lab_Data[[#This Row],[YearsAtCompany]]</f>
        <v>7</v>
      </c>
      <c r="AO669" t="str">
        <f>IF(Lab_Data[[#This Row],[PerformanceRating]]&gt;=3,"Approved","Review Required")</f>
        <v>Approved</v>
      </c>
    </row>
    <row r="670" spans="1:41"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t="str">
        <f>"LAB-"&amp;Lab_Data[[#This Row],[EmployeeNumber]]</f>
        <v>LAB-930</v>
      </c>
      <c r="AK670" t="str">
        <f>Lab_Data[[#This Row],[JobRole]]</f>
        <v>Research Scientist</v>
      </c>
      <c r="AL670" t="str">
        <f>Lab_Data[[#This Row],[Department]]</f>
        <v>Research &amp; Development</v>
      </c>
      <c r="AM670" t="str">
        <f>IF(Lab_Data[[#This Row],[Attrition]]="Yes","Failed","Completed")</f>
        <v>Completed</v>
      </c>
      <c r="AN670">
        <f>Lab_Data[[#This Row],[YearsAtCompany]]</f>
        <v>2</v>
      </c>
      <c r="AO670" t="str">
        <f>IF(Lab_Data[[#This Row],[PerformanceRating]]&gt;=3,"Approved","Review Required")</f>
        <v>Approved</v>
      </c>
    </row>
    <row r="671" spans="1:41"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t="str">
        <f>"LAB-"&amp;Lab_Data[[#This Row],[EmployeeNumber]]</f>
        <v>LAB-932</v>
      </c>
      <c r="AK671" t="str">
        <f>Lab_Data[[#This Row],[JobRole]]</f>
        <v>Laboratory Technician</v>
      </c>
      <c r="AL671" t="str">
        <f>Lab_Data[[#This Row],[Department]]</f>
        <v>Research &amp; Development</v>
      </c>
      <c r="AM671" t="str">
        <f>IF(Lab_Data[[#This Row],[Attrition]]="Yes","Failed","Completed")</f>
        <v>Failed</v>
      </c>
      <c r="AN671">
        <f>Lab_Data[[#This Row],[YearsAtCompany]]</f>
        <v>2</v>
      </c>
      <c r="AO671" t="str">
        <f>IF(Lab_Data[[#This Row],[PerformanceRating]]&gt;=3,"Approved","Review Required")</f>
        <v>Approved</v>
      </c>
    </row>
    <row r="672" spans="1:41"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t="str">
        <f>"LAB-"&amp;Lab_Data[[#This Row],[EmployeeNumber]]</f>
        <v>LAB-933</v>
      </c>
      <c r="AK672" t="str">
        <f>Lab_Data[[#This Row],[JobRole]]</f>
        <v>Research Scientist</v>
      </c>
      <c r="AL672" t="str">
        <f>Lab_Data[[#This Row],[Department]]</f>
        <v>Research &amp; Development</v>
      </c>
      <c r="AM672" t="str">
        <f>IF(Lab_Data[[#This Row],[Attrition]]="Yes","Failed","Completed")</f>
        <v>Completed</v>
      </c>
      <c r="AN672">
        <f>Lab_Data[[#This Row],[YearsAtCompany]]</f>
        <v>1</v>
      </c>
      <c r="AO672" t="str">
        <f>IF(Lab_Data[[#This Row],[PerformanceRating]]&gt;=3,"Approved","Review Required")</f>
        <v>Approved</v>
      </c>
    </row>
    <row r="673" spans="1:41"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t="str">
        <f>"LAB-"&amp;Lab_Data[[#This Row],[EmployeeNumber]]</f>
        <v>LAB-934</v>
      </c>
      <c r="AK673" t="str">
        <f>Lab_Data[[#This Row],[JobRole]]</f>
        <v>Laboratory Technician</v>
      </c>
      <c r="AL673" t="str">
        <f>Lab_Data[[#This Row],[Department]]</f>
        <v>Research &amp; Development</v>
      </c>
      <c r="AM673" t="str">
        <f>IF(Lab_Data[[#This Row],[Attrition]]="Yes","Failed","Completed")</f>
        <v>Completed</v>
      </c>
      <c r="AN673">
        <f>Lab_Data[[#This Row],[YearsAtCompany]]</f>
        <v>1</v>
      </c>
      <c r="AO673" t="str">
        <f>IF(Lab_Data[[#This Row],[PerformanceRating]]&gt;=3,"Approved","Review Required")</f>
        <v>Approved</v>
      </c>
    </row>
    <row r="674" spans="1:41"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t="str">
        <f>"LAB-"&amp;Lab_Data[[#This Row],[EmployeeNumber]]</f>
        <v>LAB-936</v>
      </c>
      <c r="AK674" t="str">
        <f>Lab_Data[[#This Row],[JobRole]]</f>
        <v>Sales Executive</v>
      </c>
      <c r="AL674" t="str">
        <f>Lab_Data[[#This Row],[Department]]</f>
        <v>Sales</v>
      </c>
      <c r="AM674" t="str">
        <f>IF(Lab_Data[[#This Row],[Attrition]]="Yes","Failed","Completed")</f>
        <v>Completed</v>
      </c>
      <c r="AN674">
        <f>Lab_Data[[#This Row],[YearsAtCompany]]</f>
        <v>5</v>
      </c>
      <c r="AO674" t="str">
        <f>IF(Lab_Data[[#This Row],[PerformanceRating]]&gt;=3,"Approved","Review Required")</f>
        <v>Approved</v>
      </c>
    </row>
    <row r="675" spans="1:41"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t="str">
        <f>"LAB-"&amp;Lab_Data[[#This Row],[EmployeeNumber]]</f>
        <v>LAB-939</v>
      </c>
      <c r="AK675" t="str">
        <f>Lab_Data[[#This Row],[JobRole]]</f>
        <v>Research Scientist</v>
      </c>
      <c r="AL675" t="str">
        <f>Lab_Data[[#This Row],[Department]]</f>
        <v>Research &amp; Development</v>
      </c>
      <c r="AM675" t="str">
        <f>IF(Lab_Data[[#This Row],[Attrition]]="Yes","Failed","Completed")</f>
        <v>Completed</v>
      </c>
      <c r="AN675">
        <f>Lab_Data[[#This Row],[YearsAtCompany]]</f>
        <v>3</v>
      </c>
      <c r="AO675" t="str">
        <f>IF(Lab_Data[[#This Row],[PerformanceRating]]&gt;=3,"Approved","Review Required")</f>
        <v>Approved</v>
      </c>
    </row>
    <row r="676" spans="1:41"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t="str">
        <f>"LAB-"&amp;Lab_Data[[#This Row],[EmployeeNumber]]</f>
        <v>LAB-940</v>
      </c>
      <c r="AK676" t="str">
        <f>Lab_Data[[#This Row],[JobRole]]</f>
        <v>Healthcare Representative</v>
      </c>
      <c r="AL676" t="str">
        <f>Lab_Data[[#This Row],[Department]]</f>
        <v>Research &amp; Development</v>
      </c>
      <c r="AM676" t="str">
        <f>IF(Lab_Data[[#This Row],[Attrition]]="Yes","Failed","Completed")</f>
        <v>Completed</v>
      </c>
      <c r="AN676">
        <f>Lab_Data[[#This Row],[YearsAtCompany]]</f>
        <v>6</v>
      </c>
      <c r="AO676" t="str">
        <f>IF(Lab_Data[[#This Row],[PerformanceRating]]&gt;=3,"Approved","Review Required")</f>
        <v>Approved</v>
      </c>
    </row>
    <row r="677" spans="1:41"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t="str">
        <f>"LAB-"&amp;Lab_Data[[#This Row],[EmployeeNumber]]</f>
        <v>LAB-941</v>
      </c>
      <c r="AK677" t="str">
        <f>Lab_Data[[#This Row],[JobRole]]</f>
        <v>Sales Representative</v>
      </c>
      <c r="AL677" t="str">
        <f>Lab_Data[[#This Row],[Department]]</f>
        <v>Sales</v>
      </c>
      <c r="AM677" t="str">
        <f>IF(Lab_Data[[#This Row],[Attrition]]="Yes","Failed","Completed")</f>
        <v>Completed</v>
      </c>
      <c r="AN677">
        <f>Lab_Data[[#This Row],[YearsAtCompany]]</f>
        <v>7</v>
      </c>
      <c r="AO677" t="str">
        <f>IF(Lab_Data[[#This Row],[PerformanceRating]]&gt;=3,"Approved","Review Required")</f>
        <v>Approved</v>
      </c>
    </row>
    <row r="678" spans="1:41"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t="str">
        <f>"LAB-"&amp;Lab_Data[[#This Row],[EmployeeNumber]]</f>
        <v>LAB-942</v>
      </c>
      <c r="AK678" t="str">
        <f>Lab_Data[[#This Row],[JobRole]]</f>
        <v>Healthcare Representative</v>
      </c>
      <c r="AL678" t="str">
        <f>Lab_Data[[#This Row],[Department]]</f>
        <v>Research &amp; Development</v>
      </c>
      <c r="AM678" t="str">
        <f>IF(Lab_Data[[#This Row],[Attrition]]="Yes","Failed","Completed")</f>
        <v>Completed</v>
      </c>
      <c r="AN678">
        <f>Lab_Data[[#This Row],[YearsAtCompany]]</f>
        <v>10</v>
      </c>
      <c r="AO678" t="str">
        <f>IF(Lab_Data[[#This Row],[PerformanceRating]]&gt;=3,"Approved","Review Required")</f>
        <v>Approved</v>
      </c>
    </row>
    <row r="679" spans="1:41"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t="str">
        <f>"LAB-"&amp;Lab_Data[[#This Row],[EmployeeNumber]]</f>
        <v>LAB-944</v>
      </c>
      <c r="AK679" t="str">
        <f>Lab_Data[[#This Row],[JobRole]]</f>
        <v>Laboratory Technician</v>
      </c>
      <c r="AL679" t="str">
        <f>Lab_Data[[#This Row],[Department]]</f>
        <v>Research &amp; Development</v>
      </c>
      <c r="AM679" t="str">
        <f>IF(Lab_Data[[#This Row],[Attrition]]="Yes","Failed","Completed")</f>
        <v>Completed</v>
      </c>
      <c r="AN679">
        <f>Lab_Data[[#This Row],[YearsAtCompany]]</f>
        <v>26</v>
      </c>
      <c r="AO679" t="str">
        <f>IF(Lab_Data[[#This Row],[PerformanceRating]]&gt;=3,"Approved","Review Required")</f>
        <v>Approved</v>
      </c>
    </row>
    <row r="680" spans="1:41"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t="str">
        <f>"LAB-"&amp;Lab_Data[[#This Row],[EmployeeNumber]]</f>
        <v>LAB-945</v>
      </c>
      <c r="AK680" t="str">
        <f>Lab_Data[[#This Row],[JobRole]]</f>
        <v>Research Scientist</v>
      </c>
      <c r="AL680" t="str">
        <f>Lab_Data[[#This Row],[Department]]</f>
        <v>Research &amp; Development</v>
      </c>
      <c r="AM680" t="str">
        <f>IF(Lab_Data[[#This Row],[Attrition]]="Yes","Failed","Completed")</f>
        <v>Completed</v>
      </c>
      <c r="AN680">
        <f>Lab_Data[[#This Row],[YearsAtCompany]]</f>
        <v>0</v>
      </c>
      <c r="AO680" t="str">
        <f>IF(Lab_Data[[#This Row],[PerformanceRating]]&gt;=3,"Approved","Review Required")</f>
        <v>Approved</v>
      </c>
    </row>
    <row r="681" spans="1:41"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t="str">
        <f>"LAB-"&amp;Lab_Data[[#This Row],[EmployeeNumber]]</f>
        <v>LAB-947</v>
      </c>
      <c r="AK681" t="str">
        <f>Lab_Data[[#This Row],[JobRole]]</f>
        <v>Sales Executive</v>
      </c>
      <c r="AL681" t="str">
        <f>Lab_Data[[#This Row],[Department]]</f>
        <v>Sales</v>
      </c>
      <c r="AM681" t="str">
        <f>IF(Lab_Data[[#This Row],[Attrition]]="Yes","Failed","Completed")</f>
        <v>Completed</v>
      </c>
      <c r="AN681">
        <f>Lab_Data[[#This Row],[YearsAtCompany]]</f>
        <v>9</v>
      </c>
      <c r="AO681" t="str">
        <f>IF(Lab_Data[[#This Row],[PerformanceRating]]&gt;=3,"Approved","Review Required")</f>
        <v>Approved</v>
      </c>
    </row>
    <row r="682" spans="1:41"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t="str">
        <f>"LAB-"&amp;Lab_Data[[#This Row],[EmployeeNumber]]</f>
        <v>LAB-949</v>
      </c>
      <c r="AK682" t="str">
        <f>Lab_Data[[#This Row],[JobRole]]</f>
        <v>Research Scientist</v>
      </c>
      <c r="AL682" t="str">
        <f>Lab_Data[[#This Row],[Department]]</f>
        <v>Research &amp; Development</v>
      </c>
      <c r="AM682" t="str">
        <f>IF(Lab_Data[[#This Row],[Attrition]]="Yes","Failed","Completed")</f>
        <v>Completed</v>
      </c>
      <c r="AN682">
        <f>Lab_Data[[#This Row],[YearsAtCompany]]</f>
        <v>6</v>
      </c>
      <c r="AO682" t="str">
        <f>IF(Lab_Data[[#This Row],[PerformanceRating]]&gt;=3,"Approved","Review Required")</f>
        <v>Approved</v>
      </c>
    </row>
    <row r="683" spans="1:41"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t="str">
        <f>"LAB-"&amp;Lab_Data[[#This Row],[EmployeeNumber]]</f>
        <v>LAB-950</v>
      </c>
      <c r="AK683" t="str">
        <f>Lab_Data[[#This Row],[JobRole]]</f>
        <v>Research Director</v>
      </c>
      <c r="AL683" t="str">
        <f>Lab_Data[[#This Row],[Department]]</f>
        <v>Research &amp; Development</v>
      </c>
      <c r="AM683" t="str">
        <f>IF(Lab_Data[[#This Row],[Attrition]]="Yes","Failed","Completed")</f>
        <v>Completed</v>
      </c>
      <c r="AN683">
        <f>Lab_Data[[#This Row],[YearsAtCompany]]</f>
        <v>15</v>
      </c>
      <c r="AO683" t="str">
        <f>IF(Lab_Data[[#This Row],[PerformanceRating]]&gt;=3,"Approved","Review Required")</f>
        <v>Approved</v>
      </c>
    </row>
    <row r="684" spans="1:41"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t="str">
        <f>"LAB-"&amp;Lab_Data[[#This Row],[EmployeeNumber]]</f>
        <v>LAB-951</v>
      </c>
      <c r="AK684" t="str">
        <f>Lab_Data[[#This Row],[JobRole]]</f>
        <v>Laboratory Technician</v>
      </c>
      <c r="AL684" t="str">
        <f>Lab_Data[[#This Row],[Department]]</f>
        <v>Research &amp; Development</v>
      </c>
      <c r="AM684" t="str">
        <f>IF(Lab_Data[[#This Row],[Attrition]]="Yes","Failed","Completed")</f>
        <v>Completed</v>
      </c>
      <c r="AN684">
        <f>Lab_Data[[#This Row],[YearsAtCompany]]</f>
        <v>3</v>
      </c>
      <c r="AO684" t="str">
        <f>IF(Lab_Data[[#This Row],[PerformanceRating]]&gt;=3,"Approved","Review Required")</f>
        <v>Approved</v>
      </c>
    </row>
    <row r="685" spans="1:41"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t="str">
        <f>"LAB-"&amp;Lab_Data[[#This Row],[EmployeeNumber]]</f>
        <v>LAB-952</v>
      </c>
      <c r="AK685" t="str">
        <f>Lab_Data[[#This Row],[JobRole]]</f>
        <v>Sales Representative</v>
      </c>
      <c r="AL685" t="str">
        <f>Lab_Data[[#This Row],[Department]]</f>
        <v>Sales</v>
      </c>
      <c r="AM685" t="str">
        <f>IF(Lab_Data[[#This Row],[Attrition]]="Yes","Failed","Completed")</f>
        <v>Failed</v>
      </c>
      <c r="AN685">
        <f>Lab_Data[[#This Row],[YearsAtCompany]]</f>
        <v>1</v>
      </c>
      <c r="AO685" t="str">
        <f>IF(Lab_Data[[#This Row],[PerformanceRating]]&gt;=3,"Approved","Review Required")</f>
        <v>Approved</v>
      </c>
    </row>
    <row r="686" spans="1:41"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t="str">
        <f>"LAB-"&amp;Lab_Data[[#This Row],[EmployeeNumber]]</f>
        <v>LAB-954</v>
      </c>
      <c r="AK686" t="str">
        <f>Lab_Data[[#This Row],[JobRole]]</f>
        <v>Sales Executive</v>
      </c>
      <c r="AL686" t="str">
        <f>Lab_Data[[#This Row],[Department]]</f>
        <v>Sales</v>
      </c>
      <c r="AM686" t="str">
        <f>IF(Lab_Data[[#This Row],[Attrition]]="Yes","Failed","Completed")</f>
        <v>Completed</v>
      </c>
      <c r="AN686">
        <f>Lab_Data[[#This Row],[YearsAtCompany]]</f>
        <v>1</v>
      </c>
      <c r="AO686" t="str">
        <f>IF(Lab_Data[[#This Row],[PerformanceRating]]&gt;=3,"Approved","Review Required")</f>
        <v>Approved</v>
      </c>
    </row>
    <row r="687" spans="1:41"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t="str">
        <f>"LAB-"&amp;Lab_Data[[#This Row],[EmployeeNumber]]</f>
        <v>LAB-956</v>
      </c>
      <c r="AK687" t="str">
        <f>Lab_Data[[#This Row],[JobRole]]</f>
        <v>Sales Executive</v>
      </c>
      <c r="AL687" t="str">
        <f>Lab_Data[[#This Row],[Department]]</f>
        <v>Sales</v>
      </c>
      <c r="AM687" t="str">
        <f>IF(Lab_Data[[#This Row],[Attrition]]="Yes","Failed","Completed")</f>
        <v>Completed</v>
      </c>
      <c r="AN687">
        <f>Lab_Data[[#This Row],[YearsAtCompany]]</f>
        <v>7</v>
      </c>
      <c r="AO687" t="str">
        <f>IF(Lab_Data[[#This Row],[PerformanceRating]]&gt;=3,"Approved","Review Required")</f>
        <v>Approved</v>
      </c>
    </row>
    <row r="688" spans="1:41"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t="str">
        <f>"LAB-"&amp;Lab_Data[[#This Row],[EmployeeNumber]]</f>
        <v>LAB-957</v>
      </c>
      <c r="AK688" t="str">
        <f>Lab_Data[[#This Row],[JobRole]]</f>
        <v>Laboratory Technician</v>
      </c>
      <c r="AL688" t="str">
        <f>Lab_Data[[#This Row],[Department]]</f>
        <v>Research &amp; Development</v>
      </c>
      <c r="AM688" t="str">
        <f>IF(Lab_Data[[#This Row],[Attrition]]="Yes","Failed","Completed")</f>
        <v>Completed</v>
      </c>
      <c r="AN688">
        <f>Lab_Data[[#This Row],[YearsAtCompany]]</f>
        <v>18</v>
      </c>
      <c r="AO688" t="str">
        <f>IF(Lab_Data[[#This Row],[PerformanceRating]]&gt;=3,"Approved","Review Required")</f>
        <v>Approved</v>
      </c>
    </row>
    <row r="689" spans="1:41"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t="str">
        <f>"LAB-"&amp;Lab_Data[[#This Row],[EmployeeNumber]]</f>
        <v>LAB-958</v>
      </c>
      <c r="AK689" t="str">
        <f>Lab_Data[[#This Row],[JobRole]]</f>
        <v>Laboratory Technician</v>
      </c>
      <c r="AL689" t="str">
        <f>Lab_Data[[#This Row],[Department]]</f>
        <v>Research &amp; Development</v>
      </c>
      <c r="AM689" t="str">
        <f>IF(Lab_Data[[#This Row],[Attrition]]="Yes","Failed","Completed")</f>
        <v>Completed</v>
      </c>
      <c r="AN689">
        <f>Lab_Data[[#This Row],[YearsAtCompany]]</f>
        <v>11</v>
      </c>
      <c r="AO689" t="str">
        <f>IF(Lab_Data[[#This Row],[PerformanceRating]]&gt;=3,"Approved","Review Required")</f>
        <v>Approved</v>
      </c>
    </row>
    <row r="690" spans="1:41"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t="str">
        <f>"LAB-"&amp;Lab_Data[[#This Row],[EmployeeNumber]]</f>
        <v>LAB-959</v>
      </c>
      <c r="AK690" t="str">
        <f>Lab_Data[[#This Row],[JobRole]]</f>
        <v>Sales Representative</v>
      </c>
      <c r="AL690" t="str">
        <f>Lab_Data[[#This Row],[Department]]</f>
        <v>Sales</v>
      </c>
      <c r="AM690" t="str">
        <f>IF(Lab_Data[[#This Row],[Attrition]]="Yes","Failed","Completed")</f>
        <v>Failed</v>
      </c>
      <c r="AN690">
        <f>Lab_Data[[#This Row],[YearsAtCompany]]</f>
        <v>1</v>
      </c>
      <c r="AO690" t="str">
        <f>IF(Lab_Data[[#This Row],[PerformanceRating]]&gt;=3,"Approved","Review Required")</f>
        <v>Approved</v>
      </c>
    </row>
    <row r="691" spans="1:41"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t="str">
        <f>"LAB-"&amp;Lab_Data[[#This Row],[EmployeeNumber]]</f>
        <v>LAB-960</v>
      </c>
      <c r="AK691" t="str">
        <f>Lab_Data[[#This Row],[JobRole]]</f>
        <v>Laboratory Technician</v>
      </c>
      <c r="AL691" t="str">
        <f>Lab_Data[[#This Row],[Department]]</f>
        <v>Research &amp; Development</v>
      </c>
      <c r="AM691" t="str">
        <f>IF(Lab_Data[[#This Row],[Attrition]]="Yes","Failed","Completed")</f>
        <v>Failed</v>
      </c>
      <c r="AN691">
        <f>Lab_Data[[#This Row],[YearsAtCompany]]</f>
        <v>1</v>
      </c>
      <c r="AO691" t="str">
        <f>IF(Lab_Data[[#This Row],[PerformanceRating]]&gt;=3,"Approved","Review Required")</f>
        <v>Approved</v>
      </c>
    </row>
    <row r="692" spans="1:41"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t="str">
        <f>"LAB-"&amp;Lab_Data[[#This Row],[EmployeeNumber]]</f>
        <v>LAB-961</v>
      </c>
      <c r="AK692" t="str">
        <f>Lab_Data[[#This Row],[JobRole]]</f>
        <v>Healthcare Representative</v>
      </c>
      <c r="AL692" t="str">
        <f>Lab_Data[[#This Row],[Department]]</f>
        <v>Research &amp; Development</v>
      </c>
      <c r="AM692" t="str">
        <f>IF(Lab_Data[[#This Row],[Attrition]]="Yes","Failed","Completed")</f>
        <v>Completed</v>
      </c>
      <c r="AN692">
        <f>Lab_Data[[#This Row],[YearsAtCompany]]</f>
        <v>9</v>
      </c>
      <c r="AO692" t="str">
        <f>IF(Lab_Data[[#This Row],[PerformanceRating]]&gt;=3,"Approved","Review Required")</f>
        <v>Approved</v>
      </c>
    </row>
    <row r="693" spans="1:41"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t="str">
        <f>"LAB-"&amp;Lab_Data[[#This Row],[EmployeeNumber]]</f>
        <v>LAB-964</v>
      </c>
      <c r="AK693" t="str">
        <f>Lab_Data[[#This Row],[JobRole]]</f>
        <v>Research Scientist</v>
      </c>
      <c r="AL693" t="str">
        <f>Lab_Data[[#This Row],[Department]]</f>
        <v>Research &amp; Development</v>
      </c>
      <c r="AM693" t="str">
        <f>IF(Lab_Data[[#This Row],[Attrition]]="Yes","Failed","Completed")</f>
        <v>Completed</v>
      </c>
      <c r="AN693">
        <f>Lab_Data[[#This Row],[YearsAtCompany]]</f>
        <v>1</v>
      </c>
      <c r="AO693" t="str">
        <f>IF(Lab_Data[[#This Row],[PerformanceRating]]&gt;=3,"Approved","Review Required")</f>
        <v>Approved</v>
      </c>
    </row>
    <row r="694" spans="1:41"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t="str">
        <f>"LAB-"&amp;Lab_Data[[#This Row],[EmployeeNumber]]</f>
        <v>LAB-966</v>
      </c>
      <c r="AK694" t="str">
        <f>Lab_Data[[#This Row],[JobRole]]</f>
        <v>Manufacturing Director</v>
      </c>
      <c r="AL694" t="str">
        <f>Lab_Data[[#This Row],[Department]]</f>
        <v>Research &amp; Development</v>
      </c>
      <c r="AM694" t="str">
        <f>IF(Lab_Data[[#This Row],[Attrition]]="Yes","Failed","Completed")</f>
        <v>Completed</v>
      </c>
      <c r="AN694">
        <f>Lab_Data[[#This Row],[YearsAtCompany]]</f>
        <v>8</v>
      </c>
      <c r="AO694" t="str">
        <f>IF(Lab_Data[[#This Row],[PerformanceRating]]&gt;=3,"Approved","Review Required")</f>
        <v>Approved</v>
      </c>
    </row>
    <row r="695" spans="1:41"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t="str">
        <f>"LAB-"&amp;Lab_Data[[#This Row],[EmployeeNumber]]</f>
        <v>LAB-967</v>
      </c>
      <c r="AK695" t="str">
        <f>Lab_Data[[#This Row],[JobRole]]</f>
        <v>Sales Executive</v>
      </c>
      <c r="AL695" t="str">
        <f>Lab_Data[[#This Row],[Department]]</f>
        <v>Sales</v>
      </c>
      <c r="AM695" t="str">
        <f>IF(Lab_Data[[#This Row],[Attrition]]="Yes","Failed","Completed")</f>
        <v>Failed</v>
      </c>
      <c r="AN695">
        <f>Lab_Data[[#This Row],[YearsAtCompany]]</f>
        <v>16</v>
      </c>
      <c r="AO695" t="str">
        <f>IF(Lab_Data[[#This Row],[PerformanceRating]]&gt;=3,"Approved","Review Required")</f>
        <v>Approved</v>
      </c>
    </row>
    <row r="696" spans="1:41"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t="str">
        <f>"LAB-"&amp;Lab_Data[[#This Row],[EmployeeNumber]]</f>
        <v>LAB-969</v>
      </c>
      <c r="AK696" t="str">
        <f>Lab_Data[[#This Row],[JobRole]]</f>
        <v>Healthcare Representative</v>
      </c>
      <c r="AL696" t="str">
        <f>Lab_Data[[#This Row],[Department]]</f>
        <v>Research &amp; Development</v>
      </c>
      <c r="AM696" t="str">
        <f>IF(Lab_Data[[#This Row],[Attrition]]="Yes","Failed","Completed")</f>
        <v>Completed</v>
      </c>
      <c r="AN696">
        <f>Lab_Data[[#This Row],[YearsAtCompany]]</f>
        <v>5</v>
      </c>
      <c r="AO696" t="str">
        <f>IF(Lab_Data[[#This Row],[PerformanceRating]]&gt;=3,"Approved","Review Required")</f>
        <v>Approved</v>
      </c>
    </row>
    <row r="697" spans="1:41"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t="str">
        <f>"LAB-"&amp;Lab_Data[[#This Row],[EmployeeNumber]]</f>
        <v>LAB-970</v>
      </c>
      <c r="AK697" t="str">
        <f>Lab_Data[[#This Row],[JobRole]]</f>
        <v>Sales Executive</v>
      </c>
      <c r="AL697" t="str">
        <f>Lab_Data[[#This Row],[Department]]</f>
        <v>Sales</v>
      </c>
      <c r="AM697" t="str">
        <f>IF(Lab_Data[[#This Row],[Attrition]]="Yes","Failed","Completed")</f>
        <v>Failed</v>
      </c>
      <c r="AN697">
        <f>Lab_Data[[#This Row],[YearsAtCompany]]</f>
        <v>14</v>
      </c>
      <c r="AO697" t="str">
        <f>IF(Lab_Data[[#This Row],[PerformanceRating]]&gt;=3,"Approved","Review Required")</f>
        <v>Approved</v>
      </c>
    </row>
    <row r="698" spans="1:41"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t="str">
        <f>"LAB-"&amp;Lab_Data[[#This Row],[EmployeeNumber]]</f>
        <v>LAB-972</v>
      </c>
      <c r="AK698" t="str">
        <f>Lab_Data[[#This Row],[JobRole]]</f>
        <v>Laboratory Technician</v>
      </c>
      <c r="AL698" t="str">
        <f>Lab_Data[[#This Row],[Department]]</f>
        <v>Research &amp; Development</v>
      </c>
      <c r="AM698" t="str">
        <f>IF(Lab_Data[[#This Row],[Attrition]]="Yes","Failed","Completed")</f>
        <v>Completed</v>
      </c>
      <c r="AN698">
        <f>Lab_Data[[#This Row],[YearsAtCompany]]</f>
        <v>9</v>
      </c>
      <c r="AO698" t="str">
        <f>IF(Lab_Data[[#This Row],[PerformanceRating]]&gt;=3,"Approved","Review Required")</f>
        <v>Approved</v>
      </c>
    </row>
    <row r="699" spans="1:41"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t="str">
        <f>"LAB-"&amp;Lab_Data[[#This Row],[EmployeeNumber]]</f>
        <v>LAB-974</v>
      </c>
      <c r="AK699" t="str">
        <f>Lab_Data[[#This Row],[JobRole]]</f>
        <v>Sales Representative</v>
      </c>
      <c r="AL699" t="str">
        <f>Lab_Data[[#This Row],[Department]]</f>
        <v>Sales</v>
      </c>
      <c r="AM699" t="str">
        <f>IF(Lab_Data[[#This Row],[Attrition]]="Yes","Failed","Completed")</f>
        <v>Completed</v>
      </c>
      <c r="AN699">
        <f>Lab_Data[[#This Row],[YearsAtCompany]]</f>
        <v>3</v>
      </c>
      <c r="AO699" t="str">
        <f>IF(Lab_Data[[#This Row],[PerformanceRating]]&gt;=3,"Approved","Review Required")</f>
        <v>Approved</v>
      </c>
    </row>
    <row r="700" spans="1:41"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t="str">
        <f>"LAB-"&amp;Lab_Data[[#This Row],[EmployeeNumber]]</f>
        <v>LAB-975</v>
      </c>
      <c r="AK700" t="str">
        <f>Lab_Data[[#This Row],[JobRole]]</f>
        <v>Sales Executive</v>
      </c>
      <c r="AL700" t="str">
        <f>Lab_Data[[#This Row],[Department]]</f>
        <v>Sales</v>
      </c>
      <c r="AM700" t="str">
        <f>IF(Lab_Data[[#This Row],[Attrition]]="Yes","Failed","Completed")</f>
        <v>Completed</v>
      </c>
      <c r="AN700">
        <f>Lab_Data[[#This Row],[YearsAtCompany]]</f>
        <v>5</v>
      </c>
      <c r="AO700" t="str">
        <f>IF(Lab_Data[[#This Row],[PerformanceRating]]&gt;=3,"Approved","Review Required")</f>
        <v>Approved</v>
      </c>
    </row>
    <row r="701" spans="1:41"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t="str">
        <f>"LAB-"&amp;Lab_Data[[#This Row],[EmployeeNumber]]</f>
        <v>LAB-976</v>
      </c>
      <c r="AK701" t="str">
        <f>Lab_Data[[#This Row],[JobRole]]</f>
        <v>Manager</v>
      </c>
      <c r="AL701" t="str">
        <f>Lab_Data[[#This Row],[Department]]</f>
        <v>Research &amp; Development</v>
      </c>
      <c r="AM701" t="str">
        <f>IF(Lab_Data[[#This Row],[Attrition]]="Yes","Failed","Completed")</f>
        <v>Completed</v>
      </c>
      <c r="AN701">
        <f>Lab_Data[[#This Row],[YearsAtCompany]]</f>
        <v>9</v>
      </c>
      <c r="AO701" t="str">
        <f>IF(Lab_Data[[#This Row],[PerformanceRating]]&gt;=3,"Approved","Review Required")</f>
        <v>Approved</v>
      </c>
    </row>
    <row r="702" spans="1:41"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t="str">
        <f>"LAB-"&amp;Lab_Data[[#This Row],[EmployeeNumber]]</f>
        <v>LAB-977</v>
      </c>
      <c r="AK702" t="str">
        <f>Lab_Data[[#This Row],[JobRole]]</f>
        <v>Research Scientist</v>
      </c>
      <c r="AL702" t="str">
        <f>Lab_Data[[#This Row],[Department]]</f>
        <v>Research &amp; Development</v>
      </c>
      <c r="AM702" t="str">
        <f>IF(Lab_Data[[#This Row],[Attrition]]="Yes","Failed","Completed")</f>
        <v>Failed</v>
      </c>
      <c r="AN702">
        <f>Lab_Data[[#This Row],[YearsAtCompany]]</f>
        <v>1</v>
      </c>
      <c r="AO702" t="str">
        <f>IF(Lab_Data[[#This Row],[PerformanceRating]]&gt;=3,"Approved","Review Required")</f>
        <v>Approved</v>
      </c>
    </row>
    <row r="703" spans="1:41"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t="str">
        <f>"LAB-"&amp;Lab_Data[[#This Row],[EmployeeNumber]]</f>
        <v>LAB-981</v>
      </c>
      <c r="AK703" t="str">
        <f>Lab_Data[[#This Row],[JobRole]]</f>
        <v>Manager</v>
      </c>
      <c r="AL703" t="str">
        <f>Lab_Data[[#This Row],[Department]]</f>
        <v>Sales</v>
      </c>
      <c r="AM703" t="str">
        <f>IF(Lab_Data[[#This Row],[Attrition]]="Yes","Failed","Completed")</f>
        <v>Completed</v>
      </c>
      <c r="AN703">
        <f>Lab_Data[[#This Row],[YearsAtCompany]]</f>
        <v>17</v>
      </c>
      <c r="AO703" t="str">
        <f>IF(Lab_Data[[#This Row],[PerformanceRating]]&gt;=3,"Approved","Review Required")</f>
        <v>Approved</v>
      </c>
    </row>
    <row r="704" spans="1:41"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t="str">
        <f>"LAB-"&amp;Lab_Data[[#This Row],[EmployeeNumber]]</f>
        <v>LAB-982</v>
      </c>
      <c r="AK704" t="str">
        <f>Lab_Data[[#This Row],[JobRole]]</f>
        <v>Sales Executive</v>
      </c>
      <c r="AL704" t="str">
        <f>Lab_Data[[#This Row],[Department]]</f>
        <v>Sales</v>
      </c>
      <c r="AM704" t="str">
        <f>IF(Lab_Data[[#This Row],[Attrition]]="Yes","Failed","Completed")</f>
        <v>Completed</v>
      </c>
      <c r="AN704">
        <f>Lab_Data[[#This Row],[YearsAtCompany]]</f>
        <v>8</v>
      </c>
      <c r="AO704" t="str">
        <f>IF(Lab_Data[[#This Row],[PerformanceRating]]&gt;=3,"Approved","Review Required")</f>
        <v>Approved</v>
      </c>
    </row>
    <row r="705" spans="1:41"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t="str">
        <f>"LAB-"&amp;Lab_Data[[#This Row],[EmployeeNumber]]</f>
        <v>LAB-983</v>
      </c>
      <c r="AK705" t="str">
        <f>Lab_Data[[#This Row],[JobRole]]</f>
        <v>Sales Executive</v>
      </c>
      <c r="AL705" t="str">
        <f>Lab_Data[[#This Row],[Department]]</f>
        <v>Sales</v>
      </c>
      <c r="AM705" t="str">
        <f>IF(Lab_Data[[#This Row],[Attrition]]="Yes","Failed","Completed")</f>
        <v>Completed</v>
      </c>
      <c r="AN705">
        <f>Lab_Data[[#This Row],[YearsAtCompany]]</f>
        <v>5</v>
      </c>
      <c r="AO705" t="str">
        <f>IF(Lab_Data[[#This Row],[PerformanceRating]]&gt;=3,"Approved","Review Required")</f>
        <v>Approved</v>
      </c>
    </row>
    <row r="706" spans="1:41"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t="str">
        <f>"LAB-"&amp;Lab_Data[[#This Row],[EmployeeNumber]]</f>
        <v>LAB-984</v>
      </c>
      <c r="AK706" t="str">
        <f>Lab_Data[[#This Row],[JobRole]]</f>
        <v>Sales Executive</v>
      </c>
      <c r="AL706" t="str">
        <f>Lab_Data[[#This Row],[Department]]</f>
        <v>Sales</v>
      </c>
      <c r="AM706" t="str">
        <f>IF(Lab_Data[[#This Row],[Attrition]]="Yes","Failed","Completed")</f>
        <v>Completed</v>
      </c>
      <c r="AN706">
        <f>Lab_Data[[#This Row],[YearsAtCompany]]</f>
        <v>10</v>
      </c>
      <c r="AO706" t="str">
        <f>IF(Lab_Data[[#This Row],[PerformanceRating]]&gt;=3,"Approved","Review Required")</f>
        <v>Approved</v>
      </c>
    </row>
    <row r="707" spans="1:41"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t="str">
        <f>"LAB-"&amp;Lab_Data[[#This Row],[EmployeeNumber]]</f>
        <v>LAB-985</v>
      </c>
      <c r="AK707" t="str">
        <f>Lab_Data[[#This Row],[JobRole]]</f>
        <v>Sales Executive</v>
      </c>
      <c r="AL707" t="str">
        <f>Lab_Data[[#This Row],[Department]]</f>
        <v>Sales</v>
      </c>
      <c r="AM707" t="str">
        <f>IF(Lab_Data[[#This Row],[Attrition]]="Yes","Failed","Completed")</f>
        <v>Completed</v>
      </c>
      <c r="AN707">
        <f>Lab_Data[[#This Row],[YearsAtCompany]]</f>
        <v>8</v>
      </c>
      <c r="AO707" t="str">
        <f>IF(Lab_Data[[#This Row],[PerformanceRating]]&gt;=3,"Approved","Review Required")</f>
        <v>Approved</v>
      </c>
    </row>
    <row r="708" spans="1:41"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t="str">
        <f>"LAB-"&amp;Lab_Data[[#This Row],[EmployeeNumber]]</f>
        <v>LAB-986</v>
      </c>
      <c r="AK708" t="str">
        <f>Lab_Data[[#This Row],[JobRole]]</f>
        <v>Sales Executive</v>
      </c>
      <c r="AL708" t="str">
        <f>Lab_Data[[#This Row],[Department]]</f>
        <v>Sales</v>
      </c>
      <c r="AM708" t="str">
        <f>IF(Lab_Data[[#This Row],[Attrition]]="Yes","Failed","Completed")</f>
        <v>Failed</v>
      </c>
      <c r="AN708">
        <f>Lab_Data[[#This Row],[YearsAtCompany]]</f>
        <v>1</v>
      </c>
      <c r="AO708" t="str">
        <f>IF(Lab_Data[[#This Row],[PerformanceRating]]&gt;=3,"Approved","Review Required")</f>
        <v>Approved</v>
      </c>
    </row>
    <row r="709" spans="1:41"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t="str">
        <f>"LAB-"&amp;Lab_Data[[#This Row],[EmployeeNumber]]</f>
        <v>LAB-987</v>
      </c>
      <c r="AK709" t="str">
        <f>Lab_Data[[#This Row],[JobRole]]</f>
        <v>Manufacturing Director</v>
      </c>
      <c r="AL709" t="str">
        <f>Lab_Data[[#This Row],[Department]]</f>
        <v>Research &amp; Development</v>
      </c>
      <c r="AM709" t="str">
        <f>IF(Lab_Data[[#This Row],[Attrition]]="Yes","Failed","Completed")</f>
        <v>Completed</v>
      </c>
      <c r="AN709">
        <f>Lab_Data[[#This Row],[YearsAtCompany]]</f>
        <v>19</v>
      </c>
      <c r="AO709" t="str">
        <f>IF(Lab_Data[[#This Row],[PerformanceRating]]&gt;=3,"Approved","Review Required")</f>
        <v>Approved</v>
      </c>
    </row>
    <row r="710" spans="1:41"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t="str">
        <f>"LAB-"&amp;Lab_Data[[#This Row],[EmployeeNumber]]</f>
        <v>LAB-990</v>
      </c>
      <c r="AK710" t="str">
        <f>Lab_Data[[#This Row],[JobRole]]</f>
        <v>Sales Executive</v>
      </c>
      <c r="AL710" t="str">
        <f>Lab_Data[[#This Row],[Department]]</f>
        <v>Sales</v>
      </c>
      <c r="AM710" t="str">
        <f>IF(Lab_Data[[#This Row],[Attrition]]="Yes","Failed","Completed")</f>
        <v>Completed</v>
      </c>
      <c r="AN710">
        <f>Lab_Data[[#This Row],[YearsAtCompany]]</f>
        <v>7</v>
      </c>
      <c r="AO710" t="str">
        <f>IF(Lab_Data[[#This Row],[PerformanceRating]]&gt;=3,"Approved","Review Required")</f>
        <v>Approved</v>
      </c>
    </row>
    <row r="711" spans="1:41"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t="str">
        <f>"LAB-"&amp;Lab_Data[[#This Row],[EmployeeNumber]]</f>
        <v>LAB-991</v>
      </c>
      <c r="AK711" t="str">
        <f>Lab_Data[[#This Row],[JobRole]]</f>
        <v>Research Scientist</v>
      </c>
      <c r="AL711" t="str">
        <f>Lab_Data[[#This Row],[Department]]</f>
        <v>Research &amp; Development</v>
      </c>
      <c r="AM711" t="str">
        <f>IF(Lab_Data[[#This Row],[Attrition]]="Yes","Failed","Completed")</f>
        <v>Failed</v>
      </c>
      <c r="AN711">
        <f>Lab_Data[[#This Row],[YearsAtCompany]]</f>
        <v>3</v>
      </c>
      <c r="AO711" t="str">
        <f>IF(Lab_Data[[#This Row],[PerformanceRating]]&gt;=3,"Approved","Review Required")</f>
        <v>Approved</v>
      </c>
    </row>
    <row r="712" spans="1:41"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t="str">
        <f>"LAB-"&amp;Lab_Data[[#This Row],[EmployeeNumber]]</f>
        <v>LAB-992</v>
      </c>
      <c r="AK712" t="str">
        <f>Lab_Data[[#This Row],[JobRole]]</f>
        <v>Manager</v>
      </c>
      <c r="AL712" t="str">
        <f>Lab_Data[[#This Row],[Department]]</f>
        <v>Sales</v>
      </c>
      <c r="AM712" t="str">
        <f>IF(Lab_Data[[#This Row],[Attrition]]="Yes","Failed","Completed")</f>
        <v>Completed</v>
      </c>
      <c r="AN712">
        <f>Lab_Data[[#This Row],[YearsAtCompany]]</f>
        <v>10</v>
      </c>
      <c r="AO712" t="str">
        <f>IF(Lab_Data[[#This Row],[PerformanceRating]]&gt;=3,"Approved","Review Required")</f>
        <v>Approved</v>
      </c>
    </row>
    <row r="713" spans="1:41"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t="str">
        <f>"LAB-"&amp;Lab_Data[[#This Row],[EmployeeNumber]]</f>
        <v>LAB-994</v>
      </c>
      <c r="AK713" t="str">
        <f>Lab_Data[[#This Row],[JobRole]]</f>
        <v>Research Scientist</v>
      </c>
      <c r="AL713" t="str">
        <f>Lab_Data[[#This Row],[Department]]</f>
        <v>Research &amp; Development</v>
      </c>
      <c r="AM713" t="str">
        <f>IF(Lab_Data[[#This Row],[Attrition]]="Yes","Failed","Completed")</f>
        <v>Failed</v>
      </c>
      <c r="AN713">
        <f>Lab_Data[[#This Row],[YearsAtCompany]]</f>
        <v>0</v>
      </c>
      <c r="AO713" t="str">
        <f>IF(Lab_Data[[#This Row],[PerformanceRating]]&gt;=3,"Approved","Review Required")</f>
        <v>Approved</v>
      </c>
    </row>
    <row r="714" spans="1:41"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t="str">
        <f>"LAB-"&amp;Lab_Data[[#This Row],[EmployeeNumber]]</f>
        <v>LAB-995</v>
      </c>
      <c r="AK714" t="str">
        <f>Lab_Data[[#This Row],[JobRole]]</f>
        <v>Research Scientist</v>
      </c>
      <c r="AL714" t="str">
        <f>Lab_Data[[#This Row],[Department]]</f>
        <v>Research &amp; Development</v>
      </c>
      <c r="AM714" t="str">
        <f>IF(Lab_Data[[#This Row],[Attrition]]="Yes","Failed","Completed")</f>
        <v>Completed</v>
      </c>
      <c r="AN714">
        <f>Lab_Data[[#This Row],[YearsAtCompany]]</f>
        <v>3</v>
      </c>
      <c r="AO714" t="str">
        <f>IF(Lab_Data[[#This Row],[PerformanceRating]]&gt;=3,"Approved","Review Required")</f>
        <v>Approved</v>
      </c>
    </row>
    <row r="715" spans="1:41"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t="str">
        <f>"LAB-"&amp;Lab_Data[[#This Row],[EmployeeNumber]]</f>
        <v>LAB-996</v>
      </c>
      <c r="AK715" t="str">
        <f>Lab_Data[[#This Row],[JobRole]]</f>
        <v>Laboratory Technician</v>
      </c>
      <c r="AL715" t="str">
        <f>Lab_Data[[#This Row],[Department]]</f>
        <v>Research &amp; Development</v>
      </c>
      <c r="AM715" t="str">
        <f>IF(Lab_Data[[#This Row],[Attrition]]="Yes","Failed","Completed")</f>
        <v>Completed</v>
      </c>
      <c r="AN715">
        <f>Lab_Data[[#This Row],[YearsAtCompany]]</f>
        <v>5</v>
      </c>
      <c r="AO715" t="str">
        <f>IF(Lab_Data[[#This Row],[PerformanceRating]]&gt;=3,"Approved","Review Required")</f>
        <v>Approved</v>
      </c>
    </row>
    <row r="716" spans="1:41"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t="str">
        <f>"LAB-"&amp;Lab_Data[[#This Row],[EmployeeNumber]]</f>
        <v>LAB-997</v>
      </c>
      <c r="AK716" t="str">
        <f>Lab_Data[[#This Row],[JobRole]]</f>
        <v>Research Director</v>
      </c>
      <c r="AL716" t="str">
        <f>Lab_Data[[#This Row],[Department]]</f>
        <v>Research &amp; Development</v>
      </c>
      <c r="AM716" t="str">
        <f>IF(Lab_Data[[#This Row],[Attrition]]="Yes","Failed","Completed")</f>
        <v>Completed</v>
      </c>
      <c r="AN716">
        <f>Lab_Data[[#This Row],[YearsAtCompany]]</f>
        <v>5</v>
      </c>
      <c r="AO716" t="str">
        <f>IF(Lab_Data[[#This Row],[PerformanceRating]]&gt;=3,"Approved","Review Required")</f>
        <v>Approved</v>
      </c>
    </row>
    <row r="717" spans="1:41"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t="str">
        <f>"LAB-"&amp;Lab_Data[[#This Row],[EmployeeNumber]]</f>
        <v>LAB-998</v>
      </c>
      <c r="AK717" t="str">
        <f>Lab_Data[[#This Row],[JobRole]]</f>
        <v>Healthcare Representative</v>
      </c>
      <c r="AL717" t="str">
        <f>Lab_Data[[#This Row],[Department]]</f>
        <v>Research &amp; Development</v>
      </c>
      <c r="AM717" t="str">
        <f>IF(Lab_Data[[#This Row],[Attrition]]="Yes","Failed","Completed")</f>
        <v>Completed</v>
      </c>
      <c r="AN717">
        <f>Lab_Data[[#This Row],[YearsAtCompany]]</f>
        <v>6</v>
      </c>
      <c r="AO717" t="str">
        <f>IF(Lab_Data[[#This Row],[PerformanceRating]]&gt;=3,"Approved","Review Required")</f>
        <v>Approved</v>
      </c>
    </row>
    <row r="718" spans="1:41"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t="str">
        <f>"LAB-"&amp;Lab_Data[[#This Row],[EmployeeNumber]]</f>
        <v>LAB-999</v>
      </c>
      <c r="AK718" t="str">
        <f>Lab_Data[[#This Row],[JobRole]]</f>
        <v>Research Director</v>
      </c>
      <c r="AL718" t="str">
        <f>Lab_Data[[#This Row],[Department]]</f>
        <v>Research &amp; Development</v>
      </c>
      <c r="AM718" t="str">
        <f>IF(Lab_Data[[#This Row],[Attrition]]="Yes","Failed","Completed")</f>
        <v>Completed</v>
      </c>
      <c r="AN718">
        <f>Lab_Data[[#This Row],[YearsAtCompany]]</f>
        <v>18</v>
      </c>
      <c r="AO718" t="str">
        <f>IF(Lab_Data[[#This Row],[PerformanceRating]]&gt;=3,"Approved","Review Required")</f>
        <v>Approved</v>
      </c>
    </row>
    <row r="719" spans="1:41"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t="str">
        <f>"LAB-"&amp;Lab_Data[[#This Row],[EmployeeNumber]]</f>
        <v>LAB-1001</v>
      </c>
      <c r="AK719" t="str">
        <f>Lab_Data[[#This Row],[JobRole]]</f>
        <v>Laboratory Technician</v>
      </c>
      <c r="AL719" t="str">
        <f>Lab_Data[[#This Row],[Department]]</f>
        <v>Research &amp; Development</v>
      </c>
      <c r="AM719" t="str">
        <f>IF(Lab_Data[[#This Row],[Attrition]]="Yes","Failed","Completed")</f>
        <v>Completed</v>
      </c>
      <c r="AN719">
        <f>Lab_Data[[#This Row],[YearsAtCompany]]</f>
        <v>2</v>
      </c>
      <c r="AO719" t="str">
        <f>IF(Lab_Data[[#This Row],[PerformanceRating]]&gt;=3,"Approved","Review Required")</f>
        <v>Approved</v>
      </c>
    </row>
    <row r="720" spans="1:41"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t="str">
        <f>"LAB-"&amp;Lab_Data[[#This Row],[EmployeeNumber]]</f>
        <v>LAB-1002</v>
      </c>
      <c r="AK720" t="str">
        <f>Lab_Data[[#This Row],[JobRole]]</f>
        <v>Laboratory Technician</v>
      </c>
      <c r="AL720" t="str">
        <f>Lab_Data[[#This Row],[Department]]</f>
        <v>Research &amp; Development</v>
      </c>
      <c r="AM720" t="str">
        <f>IF(Lab_Data[[#This Row],[Attrition]]="Yes","Failed","Completed")</f>
        <v>Completed</v>
      </c>
      <c r="AN720">
        <f>Lab_Data[[#This Row],[YearsAtCompany]]</f>
        <v>9</v>
      </c>
      <c r="AO720" t="str">
        <f>IF(Lab_Data[[#This Row],[PerformanceRating]]&gt;=3,"Approved","Review Required")</f>
        <v>Approved</v>
      </c>
    </row>
    <row r="721" spans="1:41"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t="str">
        <f>"LAB-"&amp;Lab_Data[[#This Row],[EmployeeNumber]]</f>
        <v>LAB-1003</v>
      </c>
      <c r="AK721" t="str">
        <f>Lab_Data[[#This Row],[JobRole]]</f>
        <v>Sales Executive</v>
      </c>
      <c r="AL721" t="str">
        <f>Lab_Data[[#This Row],[Department]]</f>
        <v>Sales</v>
      </c>
      <c r="AM721" t="str">
        <f>IF(Lab_Data[[#This Row],[Attrition]]="Yes","Failed","Completed")</f>
        <v>Completed</v>
      </c>
      <c r="AN721">
        <f>Lab_Data[[#This Row],[YearsAtCompany]]</f>
        <v>9</v>
      </c>
      <c r="AO721" t="str">
        <f>IF(Lab_Data[[#This Row],[PerformanceRating]]&gt;=3,"Approved","Review Required")</f>
        <v>Approved</v>
      </c>
    </row>
    <row r="722" spans="1:41"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t="str">
        <f>"LAB-"&amp;Lab_Data[[#This Row],[EmployeeNumber]]</f>
        <v>LAB-1004</v>
      </c>
      <c r="AK722" t="str">
        <f>Lab_Data[[#This Row],[JobRole]]</f>
        <v>Research Scientist</v>
      </c>
      <c r="AL722" t="str">
        <f>Lab_Data[[#This Row],[Department]]</f>
        <v>Research &amp; Development</v>
      </c>
      <c r="AM722" t="str">
        <f>IF(Lab_Data[[#This Row],[Attrition]]="Yes","Failed","Completed")</f>
        <v>Failed</v>
      </c>
      <c r="AN722">
        <f>Lab_Data[[#This Row],[YearsAtCompany]]</f>
        <v>5</v>
      </c>
      <c r="AO722" t="str">
        <f>IF(Lab_Data[[#This Row],[PerformanceRating]]&gt;=3,"Approved","Review Required")</f>
        <v>Approved</v>
      </c>
    </row>
    <row r="723" spans="1:41"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t="str">
        <f>"LAB-"&amp;Lab_Data[[#This Row],[EmployeeNumber]]</f>
        <v>LAB-1005</v>
      </c>
      <c r="AK723" t="str">
        <f>Lab_Data[[#This Row],[JobRole]]</f>
        <v>Manufacturing Director</v>
      </c>
      <c r="AL723" t="str">
        <f>Lab_Data[[#This Row],[Department]]</f>
        <v>Research &amp; Development</v>
      </c>
      <c r="AM723" t="str">
        <f>IF(Lab_Data[[#This Row],[Attrition]]="Yes","Failed","Completed")</f>
        <v>Completed</v>
      </c>
      <c r="AN723">
        <f>Lab_Data[[#This Row],[YearsAtCompany]]</f>
        <v>12</v>
      </c>
      <c r="AO723" t="str">
        <f>IF(Lab_Data[[#This Row],[PerformanceRating]]&gt;=3,"Approved","Review Required")</f>
        <v>Approved</v>
      </c>
    </row>
    <row r="724" spans="1:41"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t="str">
        <f>"LAB-"&amp;Lab_Data[[#This Row],[EmployeeNumber]]</f>
        <v>LAB-1006</v>
      </c>
      <c r="AK724" t="str">
        <f>Lab_Data[[#This Row],[JobRole]]</f>
        <v>Research Scientist</v>
      </c>
      <c r="AL724" t="str">
        <f>Lab_Data[[#This Row],[Department]]</f>
        <v>Research &amp; Development</v>
      </c>
      <c r="AM724" t="str">
        <f>IF(Lab_Data[[#This Row],[Attrition]]="Yes","Failed","Completed")</f>
        <v>Completed</v>
      </c>
      <c r="AN724">
        <f>Lab_Data[[#This Row],[YearsAtCompany]]</f>
        <v>2</v>
      </c>
      <c r="AO724" t="str">
        <f>IF(Lab_Data[[#This Row],[PerformanceRating]]&gt;=3,"Approved","Review Required")</f>
        <v>Approved</v>
      </c>
    </row>
    <row r="725" spans="1:41"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t="str">
        <f>"LAB-"&amp;Lab_Data[[#This Row],[EmployeeNumber]]</f>
        <v>LAB-1007</v>
      </c>
      <c r="AK725" t="str">
        <f>Lab_Data[[#This Row],[JobRole]]</f>
        <v>Manufacturing Director</v>
      </c>
      <c r="AL725" t="str">
        <f>Lab_Data[[#This Row],[Department]]</f>
        <v>Research &amp; Development</v>
      </c>
      <c r="AM725" t="str">
        <f>IF(Lab_Data[[#This Row],[Attrition]]="Yes","Failed","Completed")</f>
        <v>Completed</v>
      </c>
      <c r="AN725">
        <f>Lab_Data[[#This Row],[YearsAtCompany]]</f>
        <v>8</v>
      </c>
      <c r="AO725" t="str">
        <f>IF(Lab_Data[[#This Row],[PerformanceRating]]&gt;=3,"Approved","Review Required")</f>
        <v>Approved</v>
      </c>
    </row>
    <row r="726" spans="1:41"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t="str">
        <f>"LAB-"&amp;Lab_Data[[#This Row],[EmployeeNumber]]</f>
        <v>LAB-1009</v>
      </c>
      <c r="AK726" t="str">
        <f>Lab_Data[[#This Row],[JobRole]]</f>
        <v>Manufacturing Director</v>
      </c>
      <c r="AL726" t="str">
        <f>Lab_Data[[#This Row],[Department]]</f>
        <v>Research &amp; Development</v>
      </c>
      <c r="AM726" t="str">
        <f>IF(Lab_Data[[#This Row],[Attrition]]="Yes","Failed","Completed")</f>
        <v>Completed</v>
      </c>
      <c r="AN726">
        <f>Lab_Data[[#This Row],[YearsAtCompany]]</f>
        <v>4</v>
      </c>
      <c r="AO726" t="str">
        <f>IF(Lab_Data[[#This Row],[PerformanceRating]]&gt;=3,"Approved","Review Required")</f>
        <v>Approved</v>
      </c>
    </row>
    <row r="727" spans="1:41"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t="str">
        <f>"LAB-"&amp;Lab_Data[[#This Row],[EmployeeNumber]]</f>
        <v>LAB-1010</v>
      </c>
      <c r="AK727" t="str">
        <f>Lab_Data[[#This Row],[JobRole]]</f>
        <v>Laboratory Technician</v>
      </c>
      <c r="AL727" t="str">
        <f>Lab_Data[[#This Row],[Department]]</f>
        <v>Research &amp; Development</v>
      </c>
      <c r="AM727" t="str">
        <f>IF(Lab_Data[[#This Row],[Attrition]]="Yes","Failed","Completed")</f>
        <v>Failed</v>
      </c>
      <c r="AN727">
        <f>Lab_Data[[#This Row],[YearsAtCompany]]</f>
        <v>4</v>
      </c>
      <c r="AO727" t="str">
        <f>IF(Lab_Data[[#This Row],[PerformanceRating]]&gt;=3,"Approved","Review Required")</f>
        <v>Approved</v>
      </c>
    </row>
    <row r="728" spans="1:41"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t="str">
        <f>"LAB-"&amp;Lab_Data[[#This Row],[EmployeeNumber]]</f>
        <v>LAB-1011</v>
      </c>
      <c r="AK728" t="str">
        <f>Lab_Data[[#This Row],[JobRole]]</f>
        <v>Manufacturing Director</v>
      </c>
      <c r="AL728" t="str">
        <f>Lab_Data[[#This Row],[Department]]</f>
        <v>Research &amp; Development</v>
      </c>
      <c r="AM728" t="str">
        <f>IF(Lab_Data[[#This Row],[Attrition]]="Yes","Failed","Completed")</f>
        <v>Completed</v>
      </c>
      <c r="AN728">
        <f>Lab_Data[[#This Row],[YearsAtCompany]]</f>
        <v>4</v>
      </c>
      <c r="AO728" t="str">
        <f>IF(Lab_Data[[#This Row],[PerformanceRating]]&gt;=3,"Approved","Review Required")</f>
        <v>Approved</v>
      </c>
    </row>
    <row r="729" spans="1:41"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t="str">
        <f>"LAB-"&amp;Lab_Data[[#This Row],[EmployeeNumber]]</f>
        <v>LAB-1012</v>
      </c>
      <c r="AK729" t="str">
        <f>Lab_Data[[#This Row],[JobRole]]</f>
        <v>Research Scientist</v>
      </c>
      <c r="AL729" t="str">
        <f>Lab_Data[[#This Row],[Department]]</f>
        <v>Research &amp; Development</v>
      </c>
      <c r="AM729" t="str">
        <f>IF(Lab_Data[[#This Row],[Attrition]]="Yes","Failed","Completed")</f>
        <v>Completed</v>
      </c>
      <c r="AN729">
        <f>Lab_Data[[#This Row],[YearsAtCompany]]</f>
        <v>0</v>
      </c>
      <c r="AO729" t="str">
        <f>IF(Lab_Data[[#This Row],[PerformanceRating]]&gt;=3,"Approved","Review Required")</f>
        <v>Approved</v>
      </c>
    </row>
    <row r="730" spans="1:41"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t="str">
        <f>"LAB-"&amp;Lab_Data[[#This Row],[EmployeeNumber]]</f>
        <v>LAB-1013</v>
      </c>
      <c r="AK730" t="str">
        <f>Lab_Data[[#This Row],[JobRole]]</f>
        <v>Manufacturing Director</v>
      </c>
      <c r="AL730" t="str">
        <f>Lab_Data[[#This Row],[Department]]</f>
        <v>Research &amp; Development</v>
      </c>
      <c r="AM730" t="str">
        <f>IF(Lab_Data[[#This Row],[Attrition]]="Yes","Failed","Completed")</f>
        <v>Completed</v>
      </c>
      <c r="AN730">
        <f>Lab_Data[[#This Row],[YearsAtCompany]]</f>
        <v>10</v>
      </c>
      <c r="AO730" t="str">
        <f>IF(Lab_Data[[#This Row],[PerformanceRating]]&gt;=3,"Approved","Review Required")</f>
        <v>Approved</v>
      </c>
    </row>
    <row r="731" spans="1:41"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t="str">
        <f>"LAB-"&amp;Lab_Data[[#This Row],[EmployeeNumber]]</f>
        <v>LAB-1014</v>
      </c>
      <c r="AK731" t="str">
        <f>Lab_Data[[#This Row],[JobRole]]</f>
        <v>Healthcare Representative</v>
      </c>
      <c r="AL731" t="str">
        <f>Lab_Data[[#This Row],[Department]]</f>
        <v>Research &amp; Development</v>
      </c>
      <c r="AM731" t="str">
        <f>IF(Lab_Data[[#This Row],[Attrition]]="Yes","Failed","Completed")</f>
        <v>Completed</v>
      </c>
      <c r="AN731">
        <f>Lab_Data[[#This Row],[YearsAtCompany]]</f>
        <v>16</v>
      </c>
      <c r="AO731" t="str">
        <f>IF(Lab_Data[[#This Row],[PerformanceRating]]&gt;=3,"Approved","Review Required")</f>
        <v>Approved</v>
      </c>
    </row>
    <row r="732" spans="1:41"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t="str">
        <f>"LAB-"&amp;Lab_Data[[#This Row],[EmployeeNumber]]</f>
        <v>LAB-1015</v>
      </c>
      <c r="AK732" t="str">
        <f>Lab_Data[[#This Row],[JobRole]]</f>
        <v>Research Director</v>
      </c>
      <c r="AL732" t="str">
        <f>Lab_Data[[#This Row],[Department]]</f>
        <v>Research &amp; Development</v>
      </c>
      <c r="AM732" t="str">
        <f>IF(Lab_Data[[#This Row],[Attrition]]="Yes","Failed","Completed")</f>
        <v>Completed</v>
      </c>
      <c r="AN732">
        <f>Lab_Data[[#This Row],[YearsAtCompany]]</f>
        <v>8</v>
      </c>
      <c r="AO732" t="str">
        <f>IF(Lab_Data[[#This Row],[PerformanceRating]]&gt;=3,"Approved","Review Required")</f>
        <v>Approved</v>
      </c>
    </row>
    <row r="733" spans="1:41"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t="str">
        <f>"LAB-"&amp;Lab_Data[[#This Row],[EmployeeNumber]]</f>
        <v>LAB-1016</v>
      </c>
      <c r="AK733" t="str">
        <f>Lab_Data[[#This Row],[JobRole]]</f>
        <v>Research Scientist</v>
      </c>
      <c r="AL733" t="str">
        <f>Lab_Data[[#This Row],[Department]]</f>
        <v>Research &amp; Development</v>
      </c>
      <c r="AM733" t="str">
        <f>IF(Lab_Data[[#This Row],[Attrition]]="Yes","Failed","Completed")</f>
        <v>Failed</v>
      </c>
      <c r="AN733">
        <f>Lab_Data[[#This Row],[YearsAtCompany]]</f>
        <v>1</v>
      </c>
      <c r="AO733" t="str">
        <f>IF(Lab_Data[[#This Row],[PerformanceRating]]&gt;=3,"Approved","Review Required")</f>
        <v>Approved</v>
      </c>
    </row>
    <row r="734" spans="1:41"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t="str">
        <f>"LAB-"&amp;Lab_Data[[#This Row],[EmployeeNumber]]</f>
        <v>LAB-1017</v>
      </c>
      <c r="AK734" t="str">
        <f>Lab_Data[[#This Row],[JobRole]]</f>
        <v>Laboratory Technician</v>
      </c>
      <c r="AL734" t="str">
        <f>Lab_Data[[#This Row],[Department]]</f>
        <v>Research &amp; Development</v>
      </c>
      <c r="AM734" t="str">
        <f>IF(Lab_Data[[#This Row],[Attrition]]="Yes","Failed","Completed")</f>
        <v>Failed</v>
      </c>
      <c r="AN734">
        <f>Lab_Data[[#This Row],[YearsAtCompany]]</f>
        <v>3</v>
      </c>
      <c r="AO734" t="str">
        <f>IF(Lab_Data[[#This Row],[PerformanceRating]]&gt;=3,"Approved","Review Required")</f>
        <v>Approved</v>
      </c>
    </row>
    <row r="735" spans="1:41"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t="str">
        <f>"LAB-"&amp;Lab_Data[[#This Row],[EmployeeNumber]]</f>
        <v>LAB-1018</v>
      </c>
      <c r="AK735" t="str">
        <f>Lab_Data[[#This Row],[JobRole]]</f>
        <v>Manufacturing Director</v>
      </c>
      <c r="AL735" t="str">
        <f>Lab_Data[[#This Row],[Department]]</f>
        <v>Research &amp; Development</v>
      </c>
      <c r="AM735" t="str">
        <f>IF(Lab_Data[[#This Row],[Attrition]]="Yes","Failed","Completed")</f>
        <v>Completed</v>
      </c>
      <c r="AN735">
        <f>Lab_Data[[#This Row],[YearsAtCompany]]</f>
        <v>8</v>
      </c>
      <c r="AO735" t="str">
        <f>IF(Lab_Data[[#This Row],[PerformanceRating]]&gt;=3,"Approved","Review Required")</f>
        <v>Approved</v>
      </c>
    </row>
    <row r="736" spans="1:41"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t="str">
        <f>"LAB-"&amp;Lab_Data[[#This Row],[EmployeeNumber]]</f>
        <v>LAB-1019</v>
      </c>
      <c r="AK736" t="str">
        <f>Lab_Data[[#This Row],[JobRole]]</f>
        <v>Laboratory Technician</v>
      </c>
      <c r="AL736" t="str">
        <f>Lab_Data[[#This Row],[Department]]</f>
        <v>Research &amp; Development</v>
      </c>
      <c r="AM736" t="str">
        <f>IF(Lab_Data[[#This Row],[Attrition]]="Yes","Failed","Completed")</f>
        <v>Completed</v>
      </c>
      <c r="AN736">
        <f>Lab_Data[[#This Row],[YearsAtCompany]]</f>
        <v>4</v>
      </c>
      <c r="AO736" t="str">
        <f>IF(Lab_Data[[#This Row],[PerformanceRating]]&gt;=3,"Approved","Review Required")</f>
        <v>Approved</v>
      </c>
    </row>
    <row r="737" spans="1:41"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t="str">
        <f>"LAB-"&amp;Lab_Data[[#This Row],[EmployeeNumber]]</f>
        <v>LAB-1022</v>
      </c>
      <c r="AK737" t="str">
        <f>Lab_Data[[#This Row],[JobRole]]</f>
        <v>Healthcare Representative</v>
      </c>
      <c r="AL737" t="str">
        <f>Lab_Data[[#This Row],[Department]]</f>
        <v>Research &amp; Development</v>
      </c>
      <c r="AM737" t="str">
        <f>IF(Lab_Data[[#This Row],[Attrition]]="Yes","Failed","Completed")</f>
        <v>Completed</v>
      </c>
      <c r="AN737">
        <f>Lab_Data[[#This Row],[YearsAtCompany]]</f>
        <v>2</v>
      </c>
      <c r="AO737" t="str">
        <f>IF(Lab_Data[[#This Row],[PerformanceRating]]&gt;=3,"Approved","Review Required")</f>
        <v>Approved</v>
      </c>
    </row>
    <row r="738" spans="1:41"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t="str">
        <f>"LAB-"&amp;Lab_Data[[#This Row],[EmployeeNumber]]</f>
        <v>LAB-1024</v>
      </c>
      <c r="AK738" t="str">
        <f>Lab_Data[[#This Row],[JobRole]]</f>
        <v>Healthcare Representative</v>
      </c>
      <c r="AL738" t="str">
        <f>Lab_Data[[#This Row],[Department]]</f>
        <v>Research &amp; Development</v>
      </c>
      <c r="AM738" t="str">
        <f>IF(Lab_Data[[#This Row],[Attrition]]="Yes","Failed","Completed")</f>
        <v>Completed</v>
      </c>
      <c r="AN738">
        <f>Lab_Data[[#This Row],[YearsAtCompany]]</f>
        <v>15</v>
      </c>
      <c r="AO738" t="str">
        <f>IF(Lab_Data[[#This Row],[PerformanceRating]]&gt;=3,"Approved","Review Required")</f>
        <v>Approved</v>
      </c>
    </row>
    <row r="739" spans="1:41"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t="str">
        <f>"LAB-"&amp;Lab_Data[[#This Row],[EmployeeNumber]]</f>
        <v>LAB-1025</v>
      </c>
      <c r="AK739" t="str">
        <f>Lab_Data[[#This Row],[JobRole]]</f>
        <v>Manufacturing Director</v>
      </c>
      <c r="AL739" t="str">
        <f>Lab_Data[[#This Row],[Department]]</f>
        <v>Research &amp; Development</v>
      </c>
      <c r="AM739" t="str">
        <f>IF(Lab_Data[[#This Row],[Attrition]]="Yes","Failed","Completed")</f>
        <v>Completed</v>
      </c>
      <c r="AN739">
        <f>Lab_Data[[#This Row],[YearsAtCompany]]</f>
        <v>2</v>
      </c>
      <c r="AO739" t="str">
        <f>IF(Lab_Data[[#This Row],[PerformanceRating]]&gt;=3,"Approved","Review Required")</f>
        <v>Approved</v>
      </c>
    </row>
    <row r="740" spans="1:41"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t="str">
        <f>"LAB-"&amp;Lab_Data[[#This Row],[EmployeeNumber]]</f>
        <v>LAB-1026</v>
      </c>
      <c r="AK740" t="str">
        <f>Lab_Data[[#This Row],[JobRole]]</f>
        <v>Manufacturing Director</v>
      </c>
      <c r="AL740" t="str">
        <f>Lab_Data[[#This Row],[Department]]</f>
        <v>Research &amp; Development</v>
      </c>
      <c r="AM740" t="str">
        <f>IF(Lab_Data[[#This Row],[Attrition]]="Yes","Failed","Completed")</f>
        <v>Completed</v>
      </c>
      <c r="AN740">
        <f>Lab_Data[[#This Row],[YearsAtCompany]]</f>
        <v>21</v>
      </c>
      <c r="AO740" t="str">
        <f>IF(Lab_Data[[#This Row],[PerformanceRating]]&gt;=3,"Approved","Review Required")</f>
        <v>Approved</v>
      </c>
    </row>
    <row r="741" spans="1:41"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t="str">
        <f>"LAB-"&amp;Lab_Data[[#This Row],[EmployeeNumber]]</f>
        <v>LAB-1027</v>
      </c>
      <c r="AK741" t="str">
        <f>Lab_Data[[#This Row],[JobRole]]</f>
        <v>Manufacturing Director</v>
      </c>
      <c r="AL741" t="str">
        <f>Lab_Data[[#This Row],[Department]]</f>
        <v>Research &amp; Development</v>
      </c>
      <c r="AM741" t="str">
        <f>IF(Lab_Data[[#This Row],[Attrition]]="Yes","Failed","Completed")</f>
        <v>Completed</v>
      </c>
      <c r="AN741">
        <f>Lab_Data[[#This Row],[YearsAtCompany]]</f>
        <v>3</v>
      </c>
      <c r="AO741" t="str">
        <f>IF(Lab_Data[[#This Row],[PerformanceRating]]&gt;=3,"Approved","Review Required")</f>
        <v>Approved</v>
      </c>
    </row>
    <row r="742" spans="1:41"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t="str">
        <f>"LAB-"&amp;Lab_Data[[#This Row],[EmployeeNumber]]</f>
        <v>LAB-1028</v>
      </c>
      <c r="AK742" t="str">
        <f>Lab_Data[[#This Row],[JobRole]]</f>
        <v>Laboratory Technician</v>
      </c>
      <c r="AL742" t="str">
        <f>Lab_Data[[#This Row],[Department]]</f>
        <v>Research &amp; Development</v>
      </c>
      <c r="AM742" t="str">
        <f>IF(Lab_Data[[#This Row],[Attrition]]="Yes","Failed","Completed")</f>
        <v>Completed</v>
      </c>
      <c r="AN742">
        <f>Lab_Data[[#This Row],[YearsAtCompany]]</f>
        <v>3</v>
      </c>
      <c r="AO742" t="str">
        <f>IF(Lab_Data[[#This Row],[PerformanceRating]]&gt;=3,"Approved","Review Required")</f>
        <v>Approved</v>
      </c>
    </row>
    <row r="743" spans="1:41"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t="str">
        <f>"LAB-"&amp;Lab_Data[[#This Row],[EmployeeNumber]]</f>
        <v>LAB-1029</v>
      </c>
      <c r="AK743" t="str">
        <f>Lab_Data[[#This Row],[JobRole]]</f>
        <v>Manager</v>
      </c>
      <c r="AL743" t="str">
        <f>Lab_Data[[#This Row],[Department]]</f>
        <v>Sales</v>
      </c>
      <c r="AM743" t="str">
        <f>IF(Lab_Data[[#This Row],[Attrition]]="Yes","Failed","Completed")</f>
        <v>Completed</v>
      </c>
      <c r="AN743">
        <f>Lab_Data[[#This Row],[YearsAtCompany]]</f>
        <v>1</v>
      </c>
      <c r="AO743" t="str">
        <f>IF(Lab_Data[[#This Row],[PerformanceRating]]&gt;=3,"Approved","Review Required")</f>
        <v>Approved</v>
      </c>
    </row>
    <row r="744" spans="1:41"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t="str">
        <f>"LAB-"&amp;Lab_Data[[#This Row],[EmployeeNumber]]</f>
        <v>LAB-1030</v>
      </c>
      <c r="AK744" t="str">
        <f>Lab_Data[[#This Row],[JobRole]]</f>
        <v>Laboratory Technician</v>
      </c>
      <c r="AL744" t="str">
        <f>Lab_Data[[#This Row],[Department]]</f>
        <v>Research &amp; Development</v>
      </c>
      <c r="AM744" t="str">
        <f>IF(Lab_Data[[#This Row],[Attrition]]="Yes","Failed","Completed")</f>
        <v>Completed</v>
      </c>
      <c r="AN744">
        <f>Lab_Data[[#This Row],[YearsAtCompany]]</f>
        <v>1</v>
      </c>
      <c r="AO744" t="str">
        <f>IF(Lab_Data[[#This Row],[PerformanceRating]]&gt;=3,"Approved","Review Required")</f>
        <v>Approved</v>
      </c>
    </row>
    <row r="745" spans="1:41"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t="str">
        <f>"LAB-"&amp;Lab_Data[[#This Row],[EmployeeNumber]]</f>
        <v>LAB-1032</v>
      </c>
      <c r="AK745" t="str">
        <f>Lab_Data[[#This Row],[JobRole]]</f>
        <v>Manufacturing Director</v>
      </c>
      <c r="AL745" t="str">
        <f>Lab_Data[[#This Row],[Department]]</f>
        <v>Research &amp; Development</v>
      </c>
      <c r="AM745" t="str">
        <f>IF(Lab_Data[[#This Row],[Attrition]]="Yes","Failed","Completed")</f>
        <v>Completed</v>
      </c>
      <c r="AN745">
        <f>Lab_Data[[#This Row],[YearsAtCompany]]</f>
        <v>5</v>
      </c>
      <c r="AO745" t="str">
        <f>IF(Lab_Data[[#This Row],[PerformanceRating]]&gt;=3,"Approved","Review Required")</f>
        <v>Approved</v>
      </c>
    </row>
    <row r="746" spans="1:41"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t="str">
        <f>"LAB-"&amp;Lab_Data[[#This Row],[EmployeeNumber]]</f>
        <v>LAB-1033</v>
      </c>
      <c r="AK746" t="str">
        <f>Lab_Data[[#This Row],[JobRole]]</f>
        <v>Healthcare Representative</v>
      </c>
      <c r="AL746" t="str">
        <f>Lab_Data[[#This Row],[Department]]</f>
        <v>Research &amp; Development</v>
      </c>
      <c r="AM746" t="str">
        <f>IF(Lab_Data[[#This Row],[Attrition]]="Yes","Failed","Completed")</f>
        <v>Failed</v>
      </c>
      <c r="AN746">
        <f>Lab_Data[[#This Row],[YearsAtCompany]]</f>
        <v>1</v>
      </c>
      <c r="AO746" t="str">
        <f>IF(Lab_Data[[#This Row],[PerformanceRating]]&gt;=3,"Approved","Review Required")</f>
        <v>Approved</v>
      </c>
    </row>
    <row r="747" spans="1:41"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t="str">
        <f>"LAB-"&amp;Lab_Data[[#This Row],[EmployeeNumber]]</f>
        <v>LAB-1034</v>
      </c>
      <c r="AK747" t="str">
        <f>Lab_Data[[#This Row],[JobRole]]</f>
        <v>Healthcare Representative</v>
      </c>
      <c r="AL747" t="str">
        <f>Lab_Data[[#This Row],[Department]]</f>
        <v>Research &amp; Development</v>
      </c>
      <c r="AM747" t="str">
        <f>IF(Lab_Data[[#This Row],[Attrition]]="Yes","Failed","Completed")</f>
        <v>Completed</v>
      </c>
      <c r="AN747">
        <f>Lab_Data[[#This Row],[YearsAtCompany]]</f>
        <v>8</v>
      </c>
      <c r="AO747" t="str">
        <f>IF(Lab_Data[[#This Row],[PerformanceRating]]&gt;=3,"Approved","Review Required")</f>
        <v>Approved</v>
      </c>
    </row>
    <row r="748" spans="1:41"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t="str">
        <f>"LAB-"&amp;Lab_Data[[#This Row],[EmployeeNumber]]</f>
        <v>LAB-1035</v>
      </c>
      <c r="AK748" t="str">
        <f>Lab_Data[[#This Row],[JobRole]]</f>
        <v>Research Director</v>
      </c>
      <c r="AL748" t="str">
        <f>Lab_Data[[#This Row],[Department]]</f>
        <v>Research &amp; Development</v>
      </c>
      <c r="AM748" t="str">
        <f>IF(Lab_Data[[#This Row],[Attrition]]="Yes","Failed","Completed")</f>
        <v>Completed</v>
      </c>
      <c r="AN748">
        <f>Lab_Data[[#This Row],[YearsAtCompany]]</f>
        <v>21</v>
      </c>
      <c r="AO748" t="str">
        <f>IF(Lab_Data[[#This Row],[PerformanceRating]]&gt;=3,"Approved","Review Required")</f>
        <v>Approved</v>
      </c>
    </row>
    <row r="749" spans="1:41"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t="str">
        <f>"LAB-"&amp;Lab_Data[[#This Row],[EmployeeNumber]]</f>
        <v>LAB-1036</v>
      </c>
      <c r="AK749" t="str">
        <f>Lab_Data[[#This Row],[JobRole]]</f>
        <v>Sales Executive</v>
      </c>
      <c r="AL749" t="str">
        <f>Lab_Data[[#This Row],[Department]]</f>
        <v>Sales</v>
      </c>
      <c r="AM749" t="str">
        <f>IF(Lab_Data[[#This Row],[Attrition]]="Yes","Failed","Completed")</f>
        <v>Completed</v>
      </c>
      <c r="AN749">
        <f>Lab_Data[[#This Row],[YearsAtCompany]]</f>
        <v>1</v>
      </c>
      <c r="AO749" t="str">
        <f>IF(Lab_Data[[#This Row],[PerformanceRating]]&gt;=3,"Approved","Review Required")</f>
        <v>Approved</v>
      </c>
    </row>
    <row r="750" spans="1:41"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t="str">
        <f>"LAB-"&amp;Lab_Data[[#This Row],[EmployeeNumber]]</f>
        <v>LAB-1037</v>
      </c>
      <c r="AK750" t="str">
        <f>Lab_Data[[#This Row],[JobRole]]</f>
        <v>Sales Executive</v>
      </c>
      <c r="AL750" t="str">
        <f>Lab_Data[[#This Row],[Department]]</f>
        <v>Sales</v>
      </c>
      <c r="AM750" t="str">
        <f>IF(Lab_Data[[#This Row],[Attrition]]="Yes","Failed","Completed")</f>
        <v>Failed</v>
      </c>
      <c r="AN750">
        <f>Lab_Data[[#This Row],[YearsAtCompany]]</f>
        <v>2</v>
      </c>
      <c r="AO750" t="str">
        <f>IF(Lab_Data[[#This Row],[PerformanceRating]]&gt;=3,"Approved","Review Required")</f>
        <v>Approved</v>
      </c>
    </row>
    <row r="751" spans="1:41"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t="str">
        <f>"LAB-"&amp;Lab_Data[[#This Row],[EmployeeNumber]]</f>
        <v>LAB-1038</v>
      </c>
      <c r="AK751" t="str">
        <f>Lab_Data[[#This Row],[JobRole]]</f>
        <v>Manager</v>
      </c>
      <c r="AL751" t="str">
        <f>Lab_Data[[#This Row],[Department]]</f>
        <v>Sales</v>
      </c>
      <c r="AM751" t="str">
        <f>IF(Lab_Data[[#This Row],[Attrition]]="Yes","Failed","Completed")</f>
        <v>Failed</v>
      </c>
      <c r="AN751">
        <f>Lab_Data[[#This Row],[YearsAtCompany]]</f>
        <v>32</v>
      </c>
      <c r="AO751" t="str">
        <f>IF(Lab_Data[[#This Row],[PerformanceRating]]&gt;=3,"Approved","Review Required")</f>
        <v>Approved</v>
      </c>
    </row>
    <row r="752" spans="1:41"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t="str">
        <f>"LAB-"&amp;Lab_Data[[#This Row],[EmployeeNumber]]</f>
        <v>LAB-1039</v>
      </c>
      <c r="AK752" t="str">
        <f>Lab_Data[[#This Row],[JobRole]]</f>
        <v>Sales Executive</v>
      </c>
      <c r="AL752" t="str">
        <f>Lab_Data[[#This Row],[Department]]</f>
        <v>Sales</v>
      </c>
      <c r="AM752" t="str">
        <f>IF(Lab_Data[[#This Row],[Attrition]]="Yes","Failed","Completed")</f>
        <v>Completed</v>
      </c>
      <c r="AN752">
        <f>Lab_Data[[#This Row],[YearsAtCompany]]</f>
        <v>12</v>
      </c>
      <c r="AO752" t="str">
        <f>IF(Lab_Data[[#This Row],[PerformanceRating]]&gt;=3,"Approved","Review Required")</f>
        <v>Approved</v>
      </c>
    </row>
    <row r="753" spans="1:41"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t="str">
        <f>"LAB-"&amp;Lab_Data[[#This Row],[EmployeeNumber]]</f>
        <v>LAB-1040</v>
      </c>
      <c r="AK753" t="str">
        <f>Lab_Data[[#This Row],[JobRole]]</f>
        <v>Sales Executive</v>
      </c>
      <c r="AL753" t="str">
        <f>Lab_Data[[#This Row],[Department]]</f>
        <v>Sales</v>
      </c>
      <c r="AM753" t="str">
        <f>IF(Lab_Data[[#This Row],[Attrition]]="Yes","Failed","Completed")</f>
        <v>Completed</v>
      </c>
      <c r="AN753">
        <f>Lab_Data[[#This Row],[YearsAtCompany]]</f>
        <v>18</v>
      </c>
      <c r="AO753" t="str">
        <f>IF(Lab_Data[[#This Row],[PerformanceRating]]&gt;=3,"Approved","Review Required")</f>
        <v>Approved</v>
      </c>
    </row>
    <row r="754" spans="1:41"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t="str">
        <f>"LAB-"&amp;Lab_Data[[#This Row],[EmployeeNumber]]</f>
        <v>LAB-1042</v>
      </c>
      <c r="AK754" t="str">
        <f>Lab_Data[[#This Row],[JobRole]]</f>
        <v>Laboratory Technician</v>
      </c>
      <c r="AL754" t="str">
        <f>Lab_Data[[#This Row],[Department]]</f>
        <v>Research &amp; Development</v>
      </c>
      <c r="AM754" t="str">
        <f>IF(Lab_Data[[#This Row],[Attrition]]="Yes","Failed","Completed")</f>
        <v>Failed</v>
      </c>
      <c r="AN754">
        <f>Lab_Data[[#This Row],[YearsAtCompany]]</f>
        <v>17</v>
      </c>
      <c r="AO754" t="str">
        <f>IF(Lab_Data[[#This Row],[PerformanceRating]]&gt;=3,"Approved","Review Required")</f>
        <v>Approved</v>
      </c>
    </row>
    <row r="755" spans="1:41"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t="str">
        <f>"LAB-"&amp;Lab_Data[[#This Row],[EmployeeNumber]]</f>
        <v>LAB-1043</v>
      </c>
      <c r="AK755" t="str">
        <f>Lab_Data[[#This Row],[JobRole]]</f>
        <v>Manufacturing Director</v>
      </c>
      <c r="AL755" t="str">
        <f>Lab_Data[[#This Row],[Department]]</f>
        <v>Research &amp; Development</v>
      </c>
      <c r="AM755" t="str">
        <f>IF(Lab_Data[[#This Row],[Attrition]]="Yes","Failed","Completed")</f>
        <v>Completed</v>
      </c>
      <c r="AN755">
        <f>Lab_Data[[#This Row],[YearsAtCompany]]</f>
        <v>21</v>
      </c>
      <c r="AO755" t="str">
        <f>IF(Lab_Data[[#This Row],[PerformanceRating]]&gt;=3,"Approved","Review Required")</f>
        <v>Approved</v>
      </c>
    </row>
    <row r="756" spans="1:41"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t="str">
        <f>"LAB-"&amp;Lab_Data[[#This Row],[EmployeeNumber]]</f>
        <v>LAB-1044</v>
      </c>
      <c r="AK756" t="str">
        <f>Lab_Data[[#This Row],[JobRole]]</f>
        <v>Sales Representative</v>
      </c>
      <c r="AL756" t="str">
        <f>Lab_Data[[#This Row],[Department]]</f>
        <v>Sales</v>
      </c>
      <c r="AM756" t="str">
        <f>IF(Lab_Data[[#This Row],[Attrition]]="Yes","Failed","Completed")</f>
        <v>Completed</v>
      </c>
      <c r="AN756">
        <f>Lab_Data[[#This Row],[YearsAtCompany]]</f>
        <v>2</v>
      </c>
      <c r="AO756" t="str">
        <f>IF(Lab_Data[[#This Row],[PerformanceRating]]&gt;=3,"Approved","Review Required")</f>
        <v>Approved</v>
      </c>
    </row>
    <row r="757" spans="1:41"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t="str">
        <f>"LAB-"&amp;Lab_Data[[#This Row],[EmployeeNumber]]</f>
        <v>LAB-1045</v>
      </c>
      <c r="AK757" t="str">
        <f>Lab_Data[[#This Row],[JobRole]]</f>
        <v>Manager</v>
      </c>
      <c r="AL757" t="str">
        <f>Lab_Data[[#This Row],[Department]]</f>
        <v>Sales</v>
      </c>
      <c r="AM757" t="str">
        <f>IF(Lab_Data[[#This Row],[Attrition]]="Yes","Failed","Completed")</f>
        <v>Completed</v>
      </c>
      <c r="AN757">
        <f>Lab_Data[[#This Row],[YearsAtCompany]]</f>
        <v>9</v>
      </c>
      <c r="AO757" t="str">
        <f>IF(Lab_Data[[#This Row],[PerformanceRating]]&gt;=3,"Approved","Review Required")</f>
        <v>Approved</v>
      </c>
    </row>
    <row r="758" spans="1:41"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t="str">
        <f>"LAB-"&amp;Lab_Data[[#This Row],[EmployeeNumber]]</f>
        <v>LAB-1046</v>
      </c>
      <c r="AK758" t="str">
        <f>Lab_Data[[#This Row],[JobRole]]</f>
        <v>Laboratory Technician</v>
      </c>
      <c r="AL758" t="str">
        <f>Lab_Data[[#This Row],[Department]]</f>
        <v>Research &amp; Development</v>
      </c>
      <c r="AM758" t="str">
        <f>IF(Lab_Data[[#This Row],[Attrition]]="Yes","Failed","Completed")</f>
        <v>Completed</v>
      </c>
      <c r="AN758">
        <f>Lab_Data[[#This Row],[YearsAtCompany]]</f>
        <v>8</v>
      </c>
      <c r="AO758" t="str">
        <f>IF(Lab_Data[[#This Row],[PerformanceRating]]&gt;=3,"Approved","Review Required")</f>
        <v>Approved</v>
      </c>
    </row>
    <row r="759" spans="1:41"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t="str">
        <f>"LAB-"&amp;Lab_Data[[#This Row],[EmployeeNumber]]</f>
        <v>LAB-1047</v>
      </c>
      <c r="AK759" t="str">
        <f>Lab_Data[[#This Row],[JobRole]]</f>
        <v>Sales Executive</v>
      </c>
      <c r="AL759" t="str">
        <f>Lab_Data[[#This Row],[Department]]</f>
        <v>Sales</v>
      </c>
      <c r="AM759" t="str">
        <f>IF(Lab_Data[[#This Row],[Attrition]]="Yes","Failed","Completed")</f>
        <v>Completed</v>
      </c>
      <c r="AN759">
        <f>Lab_Data[[#This Row],[YearsAtCompany]]</f>
        <v>15</v>
      </c>
      <c r="AO759" t="str">
        <f>IF(Lab_Data[[#This Row],[PerformanceRating]]&gt;=3,"Approved","Review Required")</f>
        <v>Approved</v>
      </c>
    </row>
    <row r="760" spans="1:41"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t="str">
        <f>"LAB-"&amp;Lab_Data[[#This Row],[EmployeeNumber]]</f>
        <v>LAB-1048</v>
      </c>
      <c r="AK760" t="str">
        <f>Lab_Data[[#This Row],[JobRole]]</f>
        <v>Manager</v>
      </c>
      <c r="AL760" t="str">
        <f>Lab_Data[[#This Row],[Department]]</f>
        <v>Sales</v>
      </c>
      <c r="AM760" t="str">
        <f>IF(Lab_Data[[#This Row],[Attrition]]="Yes","Failed","Completed")</f>
        <v>Completed</v>
      </c>
      <c r="AN760">
        <f>Lab_Data[[#This Row],[YearsAtCompany]]</f>
        <v>6</v>
      </c>
      <c r="AO760" t="str">
        <f>IF(Lab_Data[[#This Row],[PerformanceRating]]&gt;=3,"Approved","Review Required")</f>
        <v>Approved</v>
      </c>
    </row>
    <row r="761" spans="1:41"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t="str">
        <f>"LAB-"&amp;Lab_Data[[#This Row],[EmployeeNumber]]</f>
        <v>LAB-1049</v>
      </c>
      <c r="AK761" t="str">
        <f>Lab_Data[[#This Row],[JobRole]]</f>
        <v>Human Resources</v>
      </c>
      <c r="AL761" t="str">
        <f>Lab_Data[[#This Row],[Department]]</f>
        <v>Human Resources</v>
      </c>
      <c r="AM761" t="str">
        <f>IF(Lab_Data[[#This Row],[Attrition]]="Yes","Failed","Completed")</f>
        <v>Completed</v>
      </c>
      <c r="AN761">
        <f>Lab_Data[[#This Row],[YearsAtCompany]]</f>
        <v>6</v>
      </c>
      <c r="AO761" t="str">
        <f>IF(Lab_Data[[#This Row],[PerformanceRating]]&gt;=3,"Approved","Review Required")</f>
        <v>Approved</v>
      </c>
    </row>
    <row r="762" spans="1:41"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t="str">
        <f>"LAB-"&amp;Lab_Data[[#This Row],[EmployeeNumber]]</f>
        <v>LAB-1050</v>
      </c>
      <c r="AK762" t="str">
        <f>Lab_Data[[#This Row],[JobRole]]</f>
        <v>Sales Executive</v>
      </c>
      <c r="AL762" t="str">
        <f>Lab_Data[[#This Row],[Department]]</f>
        <v>Sales</v>
      </c>
      <c r="AM762" t="str">
        <f>IF(Lab_Data[[#This Row],[Attrition]]="Yes","Failed","Completed")</f>
        <v>Completed</v>
      </c>
      <c r="AN762">
        <f>Lab_Data[[#This Row],[YearsAtCompany]]</f>
        <v>15</v>
      </c>
      <c r="AO762" t="str">
        <f>IF(Lab_Data[[#This Row],[PerformanceRating]]&gt;=3,"Approved","Review Required")</f>
        <v>Approved</v>
      </c>
    </row>
    <row r="763" spans="1:41"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t="str">
        <f>"LAB-"&amp;Lab_Data[[#This Row],[EmployeeNumber]]</f>
        <v>LAB-1052</v>
      </c>
      <c r="AK763" t="str">
        <f>Lab_Data[[#This Row],[JobRole]]</f>
        <v>Laboratory Technician</v>
      </c>
      <c r="AL763" t="str">
        <f>Lab_Data[[#This Row],[Department]]</f>
        <v>Research &amp; Development</v>
      </c>
      <c r="AM763" t="str">
        <f>IF(Lab_Data[[#This Row],[Attrition]]="Yes","Failed","Completed")</f>
        <v>Failed</v>
      </c>
      <c r="AN763">
        <f>Lab_Data[[#This Row],[YearsAtCompany]]</f>
        <v>1</v>
      </c>
      <c r="AO763" t="str">
        <f>IF(Lab_Data[[#This Row],[PerformanceRating]]&gt;=3,"Approved","Review Required")</f>
        <v>Approved</v>
      </c>
    </row>
    <row r="764" spans="1:41"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t="str">
        <f>"LAB-"&amp;Lab_Data[[#This Row],[EmployeeNumber]]</f>
        <v>LAB-1053</v>
      </c>
      <c r="AK764" t="str">
        <f>Lab_Data[[#This Row],[JobRole]]</f>
        <v>Research Scientist</v>
      </c>
      <c r="AL764" t="str">
        <f>Lab_Data[[#This Row],[Department]]</f>
        <v>Research &amp; Development</v>
      </c>
      <c r="AM764" t="str">
        <f>IF(Lab_Data[[#This Row],[Attrition]]="Yes","Failed","Completed")</f>
        <v>Failed</v>
      </c>
      <c r="AN764">
        <f>Lab_Data[[#This Row],[YearsAtCompany]]</f>
        <v>3</v>
      </c>
      <c r="AO764" t="str">
        <f>IF(Lab_Data[[#This Row],[PerformanceRating]]&gt;=3,"Approved","Review Required")</f>
        <v>Approved</v>
      </c>
    </row>
    <row r="765" spans="1:41"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t="str">
        <f>"LAB-"&amp;Lab_Data[[#This Row],[EmployeeNumber]]</f>
        <v>LAB-1055</v>
      </c>
      <c r="AK765" t="str">
        <f>Lab_Data[[#This Row],[JobRole]]</f>
        <v>Sales Representative</v>
      </c>
      <c r="AL765" t="str">
        <f>Lab_Data[[#This Row],[Department]]</f>
        <v>Sales</v>
      </c>
      <c r="AM765" t="str">
        <f>IF(Lab_Data[[#This Row],[Attrition]]="Yes","Failed","Completed")</f>
        <v>Completed</v>
      </c>
      <c r="AN765">
        <f>Lab_Data[[#This Row],[YearsAtCompany]]</f>
        <v>1</v>
      </c>
      <c r="AO765" t="str">
        <f>IF(Lab_Data[[#This Row],[PerformanceRating]]&gt;=3,"Approved","Review Required")</f>
        <v>Approved</v>
      </c>
    </row>
    <row r="766" spans="1:41"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t="str">
        <f>"LAB-"&amp;Lab_Data[[#This Row],[EmployeeNumber]]</f>
        <v>LAB-1056</v>
      </c>
      <c r="AK766" t="str">
        <f>Lab_Data[[#This Row],[JobRole]]</f>
        <v>Sales Representative</v>
      </c>
      <c r="AL766" t="str">
        <f>Lab_Data[[#This Row],[Department]]</f>
        <v>Sales</v>
      </c>
      <c r="AM766" t="str">
        <f>IF(Lab_Data[[#This Row],[Attrition]]="Yes","Failed","Completed")</f>
        <v>Completed</v>
      </c>
      <c r="AN766">
        <f>Lab_Data[[#This Row],[YearsAtCompany]]</f>
        <v>1</v>
      </c>
      <c r="AO766" t="str">
        <f>IF(Lab_Data[[#This Row],[PerformanceRating]]&gt;=3,"Approved","Review Required")</f>
        <v>Approved</v>
      </c>
    </row>
    <row r="767" spans="1:41"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t="str">
        <f>"LAB-"&amp;Lab_Data[[#This Row],[EmployeeNumber]]</f>
        <v>LAB-1060</v>
      </c>
      <c r="AK767" t="str">
        <f>Lab_Data[[#This Row],[JobRole]]</f>
        <v>Research Scientist</v>
      </c>
      <c r="AL767" t="str">
        <f>Lab_Data[[#This Row],[Department]]</f>
        <v>Research &amp; Development</v>
      </c>
      <c r="AM767" t="str">
        <f>IF(Lab_Data[[#This Row],[Attrition]]="Yes","Failed","Completed")</f>
        <v>Completed</v>
      </c>
      <c r="AN767">
        <f>Lab_Data[[#This Row],[YearsAtCompany]]</f>
        <v>2</v>
      </c>
      <c r="AO767" t="str">
        <f>IF(Lab_Data[[#This Row],[PerformanceRating]]&gt;=3,"Approved","Review Required")</f>
        <v>Approved</v>
      </c>
    </row>
    <row r="768" spans="1:41"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t="str">
        <f>"LAB-"&amp;Lab_Data[[#This Row],[EmployeeNumber]]</f>
        <v>LAB-1061</v>
      </c>
      <c r="AK768" t="str">
        <f>Lab_Data[[#This Row],[JobRole]]</f>
        <v>Research Director</v>
      </c>
      <c r="AL768" t="str">
        <f>Lab_Data[[#This Row],[Department]]</f>
        <v>Research &amp; Development</v>
      </c>
      <c r="AM768" t="str">
        <f>IF(Lab_Data[[#This Row],[Attrition]]="Yes","Failed","Completed")</f>
        <v>Completed</v>
      </c>
      <c r="AN768">
        <f>Lab_Data[[#This Row],[YearsAtCompany]]</f>
        <v>8</v>
      </c>
      <c r="AO768" t="str">
        <f>IF(Lab_Data[[#This Row],[PerformanceRating]]&gt;=3,"Approved","Review Required")</f>
        <v>Approved</v>
      </c>
    </row>
    <row r="769" spans="1:41"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t="str">
        <f>"LAB-"&amp;Lab_Data[[#This Row],[EmployeeNumber]]</f>
        <v>LAB-1062</v>
      </c>
      <c r="AK769" t="str">
        <f>Lab_Data[[#This Row],[JobRole]]</f>
        <v>Healthcare Representative</v>
      </c>
      <c r="AL769" t="str">
        <f>Lab_Data[[#This Row],[Department]]</f>
        <v>Research &amp; Development</v>
      </c>
      <c r="AM769" t="str">
        <f>IF(Lab_Data[[#This Row],[Attrition]]="Yes","Failed","Completed")</f>
        <v>Completed</v>
      </c>
      <c r="AN769">
        <f>Lab_Data[[#This Row],[YearsAtCompany]]</f>
        <v>4</v>
      </c>
      <c r="AO769" t="str">
        <f>IF(Lab_Data[[#This Row],[PerformanceRating]]&gt;=3,"Approved","Review Required")</f>
        <v>Approved</v>
      </c>
    </row>
    <row r="770" spans="1:41"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t="str">
        <f>"LAB-"&amp;Lab_Data[[#This Row],[EmployeeNumber]]</f>
        <v>LAB-1066</v>
      </c>
      <c r="AK770" t="str">
        <f>Lab_Data[[#This Row],[JobRole]]</f>
        <v>Sales Executive</v>
      </c>
      <c r="AL770" t="str">
        <f>Lab_Data[[#This Row],[Department]]</f>
        <v>Sales</v>
      </c>
      <c r="AM770" t="str">
        <f>IF(Lab_Data[[#This Row],[Attrition]]="Yes","Failed","Completed")</f>
        <v>Completed</v>
      </c>
      <c r="AN770">
        <f>Lab_Data[[#This Row],[YearsAtCompany]]</f>
        <v>7</v>
      </c>
      <c r="AO770" t="str">
        <f>IF(Lab_Data[[#This Row],[PerformanceRating]]&gt;=3,"Approved","Review Required")</f>
        <v>Approved</v>
      </c>
    </row>
    <row r="771" spans="1:41"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t="str">
        <f>"LAB-"&amp;Lab_Data[[#This Row],[EmployeeNumber]]</f>
        <v>LAB-1068</v>
      </c>
      <c r="AK771" t="str">
        <f>Lab_Data[[#This Row],[JobRole]]</f>
        <v>Research Scientist</v>
      </c>
      <c r="AL771" t="str">
        <f>Lab_Data[[#This Row],[Department]]</f>
        <v>Research &amp; Development</v>
      </c>
      <c r="AM771" t="str">
        <f>IF(Lab_Data[[#This Row],[Attrition]]="Yes","Failed","Completed")</f>
        <v>Completed</v>
      </c>
      <c r="AN771">
        <f>Lab_Data[[#This Row],[YearsAtCompany]]</f>
        <v>5</v>
      </c>
      <c r="AO771" t="str">
        <f>IF(Lab_Data[[#This Row],[PerformanceRating]]&gt;=3,"Approved","Review Required")</f>
        <v>Approved</v>
      </c>
    </row>
    <row r="772" spans="1:41"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t="str">
        <f>"LAB-"&amp;Lab_Data[[#This Row],[EmployeeNumber]]</f>
        <v>LAB-1069</v>
      </c>
      <c r="AK772" t="str">
        <f>Lab_Data[[#This Row],[JobRole]]</f>
        <v>Research Director</v>
      </c>
      <c r="AL772" t="str">
        <f>Lab_Data[[#This Row],[Department]]</f>
        <v>Research &amp; Development</v>
      </c>
      <c r="AM772" t="str">
        <f>IF(Lab_Data[[#This Row],[Attrition]]="Yes","Failed","Completed")</f>
        <v>Completed</v>
      </c>
      <c r="AN772">
        <f>Lab_Data[[#This Row],[YearsAtCompany]]</f>
        <v>2</v>
      </c>
      <c r="AO772" t="str">
        <f>IF(Lab_Data[[#This Row],[PerformanceRating]]&gt;=3,"Approved","Review Required")</f>
        <v>Approved</v>
      </c>
    </row>
    <row r="773" spans="1:41"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t="str">
        <f>"LAB-"&amp;Lab_Data[[#This Row],[EmployeeNumber]]</f>
        <v>LAB-1070</v>
      </c>
      <c r="AK773" t="str">
        <f>Lab_Data[[#This Row],[JobRole]]</f>
        <v>Sales Executive</v>
      </c>
      <c r="AL773" t="str">
        <f>Lab_Data[[#This Row],[Department]]</f>
        <v>Sales</v>
      </c>
      <c r="AM773" t="str">
        <f>IF(Lab_Data[[#This Row],[Attrition]]="Yes","Failed","Completed")</f>
        <v>Completed</v>
      </c>
      <c r="AN773">
        <f>Lab_Data[[#This Row],[YearsAtCompany]]</f>
        <v>9</v>
      </c>
      <c r="AO773" t="str">
        <f>IF(Lab_Data[[#This Row],[PerformanceRating]]&gt;=3,"Approved","Review Required")</f>
        <v>Approved</v>
      </c>
    </row>
    <row r="774" spans="1:41"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t="str">
        <f>"LAB-"&amp;Lab_Data[[#This Row],[EmployeeNumber]]</f>
        <v>LAB-1071</v>
      </c>
      <c r="AK774" t="str">
        <f>Lab_Data[[#This Row],[JobRole]]</f>
        <v>Research Scientist</v>
      </c>
      <c r="AL774" t="str">
        <f>Lab_Data[[#This Row],[Department]]</f>
        <v>Research &amp; Development</v>
      </c>
      <c r="AM774" t="str">
        <f>IF(Lab_Data[[#This Row],[Attrition]]="Yes","Failed","Completed")</f>
        <v>Completed</v>
      </c>
      <c r="AN774">
        <f>Lab_Data[[#This Row],[YearsAtCompany]]</f>
        <v>5</v>
      </c>
      <c r="AO774" t="str">
        <f>IF(Lab_Data[[#This Row],[PerformanceRating]]&gt;=3,"Approved","Review Required")</f>
        <v>Approved</v>
      </c>
    </row>
    <row r="775" spans="1:41"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t="str">
        <f>"LAB-"&amp;Lab_Data[[#This Row],[EmployeeNumber]]</f>
        <v>LAB-1073</v>
      </c>
      <c r="AK775" t="str">
        <f>Lab_Data[[#This Row],[JobRole]]</f>
        <v>Manufacturing Director</v>
      </c>
      <c r="AL775" t="str">
        <f>Lab_Data[[#This Row],[Department]]</f>
        <v>Research &amp; Development</v>
      </c>
      <c r="AM775" t="str">
        <f>IF(Lab_Data[[#This Row],[Attrition]]="Yes","Failed","Completed")</f>
        <v>Completed</v>
      </c>
      <c r="AN775">
        <f>Lab_Data[[#This Row],[YearsAtCompany]]</f>
        <v>14</v>
      </c>
      <c r="AO775" t="str">
        <f>IF(Lab_Data[[#This Row],[PerformanceRating]]&gt;=3,"Approved","Review Required")</f>
        <v>Approved</v>
      </c>
    </row>
    <row r="776" spans="1:41"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t="str">
        <f>"LAB-"&amp;Lab_Data[[#This Row],[EmployeeNumber]]</f>
        <v>LAB-1074</v>
      </c>
      <c r="AK776" t="str">
        <f>Lab_Data[[#This Row],[JobRole]]</f>
        <v>Manager</v>
      </c>
      <c r="AL776" t="str">
        <f>Lab_Data[[#This Row],[Department]]</f>
        <v>Research &amp; Development</v>
      </c>
      <c r="AM776" t="str">
        <f>IF(Lab_Data[[#This Row],[Attrition]]="Yes","Failed","Completed")</f>
        <v>Completed</v>
      </c>
      <c r="AN776">
        <f>Lab_Data[[#This Row],[YearsAtCompany]]</f>
        <v>9</v>
      </c>
      <c r="AO776" t="str">
        <f>IF(Lab_Data[[#This Row],[PerformanceRating]]&gt;=3,"Approved","Review Required")</f>
        <v>Approved</v>
      </c>
    </row>
    <row r="777" spans="1:41"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t="str">
        <f>"LAB-"&amp;Lab_Data[[#This Row],[EmployeeNumber]]</f>
        <v>LAB-1076</v>
      </c>
      <c r="AK777" t="str">
        <f>Lab_Data[[#This Row],[JobRole]]</f>
        <v>Sales Executive</v>
      </c>
      <c r="AL777" t="str">
        <f>Lab_Data[[#This Row],[Department]]</f>
        <v>Sales</v>
      </c>
      <c r="AM777" t="str">
        <f>IF(Lab_Data[[#This Row],[Attrition]]="Yes","Failed","Completed")</f>
        <v>Completed</v>
      </c>
      <c r="AN777">
        <f>Lab_Data[[#This Row],[YearsAtCompany]]</f>
        <v>1</v>
      </c>
      <c r="AO777" t="str">
        <f>IF(Lab_Data[[#This Row],[PerformanceRating]]&gt;=3,"Approved","Review Required")</f>
        <v>Approved</v>
      </c>
    </row>
    <row r="778" spans="1:41"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t="str">
        <f>"LAB-"&amp;Lab_Data[[#This Row],[EmployeeNumber]]</f>
        <v>LAB-1077</v>
      </c>
      <c r="AK778" t="str">
        <f>Lab_Data[[#This Row],[JobRole]]</f>
        <v>Sales Representative</v>
      </c>
      <c r="AL778" t="str">
        <f>Lab_Data[[#This Row],[Department]]</f>
        <v>Sales</v>
      </c>
      <c r="AM778" t="str">
        <f>IF(Lab_Data[[#This Row],[Attrition]]="Yes","Failed","Completed")</f>
        <v>Failed</v>
      </c>
      <c r="AN778">
        <f>Lab_Data[[#This Row],[YearsAtCompany]]</f>
        <v>2</v>
      </c>
      <c r="AO778" t="str">
        <f>IF(Lab_Data[[#This Row],[PerformanceRating]]&gt;=3,"Approved","Review Required")</f>
        <v>Approved</v>
      </c>
    </row>
    <row r="779" spans="1:41"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t="str">
        <f>"LAB-"&amp;Lab_Data[[#This Row],[EmployeeNumber]]</f>
        <v>LAB-1079</v>
      </c>
      <c r="AK779" t="str">
        <f>Lab_Data[[#This Row],[JobRole]]</f>
        <v>Laboratory Technician</v>
      </c>
      <c r="AL779" t="str">
        <f>Lab_Data[[#This Row],[Department]]</f>
        <v>Research &amp; Development</v>
      </c>
      <c r="AM779" t="str">
        <f>IF(Lab_Data[[#This Row],[Attrition]]="Yes","Failed","Completed")</f>
        <v>Failed</v>
      </c>
      <c r="AN779">
        <f>Lab_Data[[#This Row],[YearsAtCompany]]</f>
        <v>1</v>
      </c>
      <c r="AO779" t="str">
        <f>IF(Lab_Data[[#This Row],[PerformanceRating]]&gt;=3,"Approved","Review Required")</f>
        <v>Approved</v>
      </c>
    </row>
    <row r="780" spans="1:41"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t="str">
        <f>"LAB-"&amp;Lab_Data[[#This Row],[EmployeeNumber]]</f>
        <v>LAB-1080</v>
      </c>
      <c r="AK780" t="str">
        <f>Lab_Data[[#This Row],[JobRole]]</f>
        <v>Research Scientist</v>
      </c>
      <c r="AL780" t="str">
        <f>Lab_Data[[#This Row],[Department]]</f>
        <v>Research &amp; Development</v>
      </c>
      <c r="AM780" t="str">
        <f>IF(Lab_Data[[#This Row],[Attrition]]="Yes","Failed","Completed")</f>
        <v>Completed</v>
      </c>
      <c r="AN780">
        <f>Lab_Data[[#This Row],[YearsAtCompany]]</f>
        <v>16</v>
      </c>
      <c r="AO780" t="str">
        <f>IF(Lab_Data[[#This Row],[PerformanceRating]]&gt;=3,"Approved","Review Required")</f>
        <v>Approved</v>
      </c>
    </row>
    <row r="781" spans="1:41"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t="str">
        <f>"LAB-"&amp;Lab_Data[[#This Row],[EmployeeNumber]]</f>
        <v>LAB-1081</v>
      </c>
      <c r="AK781" t="str">
        <f>Lab_Data[[#This Row],[JobRole]]</f>
        <v>Research Scientist</v>
      </c>
      <c r="AL781" t="str">
        <f>Lab_Data[[#This Row],[Department]]</f>
        <v>Research &amp; Development</v>
      </c>
      <c r="AM781" t="str">
        <f>IF(Lab_Data[[#This Row],[Attrition]]="Yes","Failed","Completed")</f>
        <v>Failed</v>
      </c>
      <c r="AN781">
        <f>Lab_Data[[#This Row],[YearsAtCompany]]</f>
        <v>10</v>
      </c>
      <c r="AO781" t="str">
        <f>IF(Lab_Data[[#This Row],[PerformanceRating]]&gt;=3,"Approved","Review Required")</f>
        <v>Approved</v>
      </c>
    </row>
    <row r="782" spans="1:41"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t="str">
        <f>"LAB-"&amp;Lab_Data[[#This Row],[EmployeeNumber]]</f>
        <v>LAB-1082</v>
      </c>
      <c r="AK782" t="str">
        <f>Lab_Data[[#This Row],[JobRole]]</f>
        <v>Healthcare Representative</v>
      </c>
      <c r="AL782" t="str">
        <f>Lab_Data[[#This Row],[Department]]</f>
        <v>Research &amp; Development</v>
      </c>
      <c r="AM782" t="str">
        <f>IF(Lab_Data[[#This Row],[Attrition]]="Yes","Failed","Completed")</f>
        <v>Failed</v>
      </c>
      <c r="AN782">
        <f>Lab_Data[[#This Row],[YearsAtCompany]]</f>
        <v>10</v>
      </c>
      <c r="AO782" t="str">
        <f>IF(Lab_Data[[#This Row],[PerformanceRating]]&gt;=3,"Approved","Review Required")</f>
        <v>Approved</v>
      </c>
    </row>
    <row r="783" spans="1:41"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t="str">
        <f>"LAB-"&amp;Lab_Data[[#This Row],[EmployeeNumber]]</f>
        <v>LAB-1083</v>
      </c>
      <c r="AK783" t="str">
        <f>Lab_Data[[#This Row],[JobRole]]</f>
        <v>Laboratory Technician</v>
      </c>
      <c r="AL783" t="str">
        <f>Lab_Data[[#This Row],[Department]]</f>
        <v>Research &amp; Development</v>
      </c>
      <c r="AM783" t="str">
        <f>IF(Lab_Data[[#This Row],[Attrition]]="Yes","Failed","Completed")</f>
        <v>Completed</v>
      </c>
      <c r="AN783">
        <f>Lab_Data[[#This Row],[YearsAtCompany]]</f>
        <v>5</v>
      </c>
      <c r="AO783" t="str">
        <f>IF(Lab_Data[[#This Row],[PerformanceRating]]&gt;=3,"Approved","Review Required")</f>
        <v>Approved</v>
      </c>
    </row>
    <row r="784" spans="1:41"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t="str">
        <f>"LAB-"&amp;Lab_Data[[#This Row],[EmployeeNumber]]</f>
        <v>LAB-1084</v>
      </c>
      <c r="AK784" t="str">
        <f>Lab_Data[[#This Row],[JobRole]]</f>
        <v>Manufacturing Director</v>
      </c>
      <c r="AL784" t="str">
        <f>Lab_Data[[#This Row],[Department]]</f>
        <v>Research &amp; Development</v>
      </c>
      <c r="AM784" t="str">
        <f>IF(Lab_Data[[#This Row],[Attrition]]="Yes","Failed","Completed")</f>
        <v>Completed</v>
      </c>
      <c r="AN784">
        <f>Lab_Data[[#This Row],[YearsAtCompany]]</f>
        <v>6</v>
      </c>
      <c r="AO784" t="str">
        <f>IF(Lab_Data[[#This Row],[PerformanceRating]]&gt;=3,"Approved","Review Required")</f>
        <v>Approved</v>
      </c>
    </row>
    <row r="785" spans="1:41"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t="str">
        <f>"LAB-"&amp;Lab_Data[[#This Row],[EmployeeNumber]]</f>
        <v>LAB-1085</v>
      </c>
      <c r="AK785" t="str">
        <f>Lab_Data[[#This Row],[JobRole]]</f>
        <v>Research Scientist</v>
      </c>
      <c r="AL785" t="str">
        <f>Lab_Data[[#This Row],[Department]]</f>
        <v>Research &amp; Development</v>
      </c>
      <c r="AM785" t="str">
        <f>IF(Lab_Data[[#This Row],[Attrition]]="Yes","Failed","Completed")</f>
        <v>Completed</v>
      </c>
      <c r="AN785">
        <f>Lab_Data[[#This Row],[YearsAtCompany]]</f>
        <v>10</v>
      </c>
      <c r="AO785" t="str">
        <f>IF(Lab_Data[[#This Row],[PerformanceRating]]&gt;=3,"Approved","Review Required")</f>
        <v>Approved</v>
      </c>
    </row>
    <row r="786" spans="1:41"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t="str">
        <f>"LAB-"&amp;Lab_Data[[#This Row],[EmployeeNumber]]</f>
        <v>LAB-1088</v>
      </c>
      <c r="AK786" t="str">
        <f>Lab_Data[[#This Row],[JobRole]]</f>
        <v>Healthcare Representative</v>
      </c>
      <c r="AL786" t="str">
        <f>Lab_Data[[#This Row],[Department]]</f>
        <v>Research &amp; Development</v>
      </c>
      <c r="AM786" t="str">
        <f>IF(Lab_Data[[#This Row],[Attrition]]="Yes","Failed","Completed")</f>
        <v>Completed</v>
      </c>
      <c r="AN786">
        <f>Lab_Data[[#This Row],[YearsAtCompany]]</f>
        <v>19</v>
      </c>
      <c r="AO786" t="str">
        <f>IF(Lab_Data[[#This Row],[PerformanceRating]]&gt;=3,"Approved","Review Required")</f>
        <v>Approved</v>
      </c>
    </row>
    <row r="787" spans="1:41"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t="str">
        <f>"LAB-"&amp;Lab_Data[[#This Row],[EmployeeNumber]]</f>
        <v>LAB-1092</v>
      </c>
      <c r="AK787" t="str">
        <f>Lab_Data[[#This Row],[JobRole]]</f>
        <v>Healthcare Representative</v>
      </c>
      <c r="AL787" t="str">
        <f>Lab_Data[[#This Row],[Department]]</f>
        <v>Research &amp; Development</v>
      </c>
      <c r="AM787" t="str">
        <f>IF(Lab_Data[[#This Row],[Attrition]]="Yes","Failed","Completed")</f>
        <v>Completed</v>
      </c>
      <c r="AN787">
        <f>Lab_Data[[#This Row],[YearsAtCompany]]</f>
        <v>11</v>
      </c>
      <c r="AO787" t="str">
        <f>IF(Lab_Data[[#This Row],[PerformanceRating]]&gt;=3,"Approved","Review Required")</f>
        <v>Approved</v>
      </c>
    </row>
    <row r="788" spans="1:41"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t="str">
        <f>"LAB-"&amp;Lab_Data[[#This Row],[EmployeeNumber]]</f>
        <v>LAB-1094</v>
      </c>
      <c r="AK788" t="str">
        <f>Lab_Data[[#This Row],[JobRole]]</f>
        <v>Laboratory Technician</v>
      </c>
      <c r="AL788" t="str">
        <f>Lab_Data[[#This Row],[Department]]</f>
        <v>Research &amp; Development</v>
      </c>
      <c r="AM788" t="str">
        <f>IF(Lab_Data[[#This Row],[Attrition]]="Yes","Failed","Completed")</f>
        <v>Completed</v>
      </c>
      <c r="AN788">
        <f>Lab_Data[[#This Row],[YearsAtCompany]]</f>
        <v>3</v>
      </c>
      <c r="AO788" t="str">
        <f>IF(Lab_Data[[#This Row],[PerformanceRating]]&gt;=3,"Approved","Review Required")</f>
        <v>Approved</v>
      </c>
    </row>
    <row r="789" spans="1:41"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t="str">
        <f>"LAB-"&amp;Lab_Data[[#This Row],[EmployeeNumber]]</f>
        <v>LAB-1096</v>
      </c>
      <c r="AK789" t="str">
        <f>Lab_Data[[#This Row],[JobRole]]</f>
        <v>Manufacturing Director</v>
      </c>
      <c r="AL789" t="str">
        <f>Lab_Data[[#This Row],[Department]]</f>
        <v>Research &amp; Development</v>
      </c>
      <c r="AM789" t="str">
        <f>IF(Lab_Data[[#This Row],[Attrition]]="Yes","Failed","Completed")</f>
        <v>Completed</v>
      </c>
      <c r="AN789">
        <f>Lab_Data[[#This Row],[YearsAtCompany]]</f>
        <v>3</v>
      </c>
      <c r="AO789" t="str">
        <f>IF(Lab_Data[[#This Row],[PerformanceRating]]&gt;=3,"Approved","Review Required")</f>
        <v>Approved</v>
      </c>
    </row>
    <row r="790" spans="1:41"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t="str">
        <f>"LAB-"&amp;Lab_Data[[#This Row],[EmployeeNumber]]</f>
        <v>LAB-1097</v>
      </c>
      <c r="AK790" t="str">
        <f>Lab_Data[[#This Row],[JobRole]]</f>
        <v>Research Scientist</v>
      </c>
      <c r="AL790" t="str">
        <f>Lab_Data[[#This Row],[Department]]</f>
        <v>Research &amp; Development</v>
      </c>
      <c r="AM790" t="str">
        <f>IF(Lab_Data[[#This Row],[Attrition]]="Yes","Failed","Completed")</f>
        <v>Completed</v>
      </c>
      <c r="AN790">
        <f>Lab_Data[[#This Row],[YearsAtCompany]]</f>
        <v>8</v>
      </c>
      <c r="AO790" t="str">
        <f>IF(Lab_Data[[#This Row],[PerformanceRating]]&gt;=3,"Approved","Review Required")</f>
        <v>Approved</v>
      </c>
    </row>
    <row r="791" spans="1:41"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t="str">
        <f>"LAB-"&amp;Lab_Data[[#This Row],[EmployeeNumber]]</f>
        <v>LAB-1098</v>
      </c>
      <c r="AK791" t="str">
        <f>Lab_Data[[#This Row],[JobRole]]</f>
        <v>Human Resources</v>
      </c>
      <c r="AL791" t="str">
        <f>Lab_Data[[#This Row],[Department]]</f>
        <v>Human Resources</v>
      </c>
      <c r="AM791" t="str">
        <f>IF(Lab_Data[[#This Row],[Attrition]]="Yes","Failed","Completed")</f>
        <v>Failed</v>
      </c>
      <c r="AN791">
        <f>Lab_Data[[#This Row],[YearsAtCompany]]</f>
        <v>20</v>
      </c>
      <c r="AO791" t="str">
        <f>IF(Lab_Data[[#This Row],[PerformanceRating]]&gt;=3,"Approved","Review Required")</f>
        <v>Approved</v>
      </c>
    </row>
    <row r="792" spans="1:41"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t="str">
        <f>"LAB-"&amp;Lab_Data[[#This Row],[EmployeeNumber]]</f>
        <v>LAB-1099</v>
      </c>
      <c r="AK792" t="str">
        <f>Lab_Data[[#This Row],[JobRole]]</f>
        <v>Healthcare Representative</v>
      </c>
      <c r="AL792" t="str">
        <f>Lab_Data[[#This Row],[Department]]</f>
        <v>Research &amp; Development</v>
      </c>
      <c r="AM792" t="str">
        <f>IF(Lab_Data[[#This Row],[Attrition]]="Yes","Failed","Completed")</f>
        <v>Completed</v>
      </c>
      <c r="AN792">
        <f>Lab_Data[[#This Row],[YearsAtCompany]]</f>
        <v>3</v>
      </c>
      <c r="AO792" t="str">
        <f>IF(Lab_Data[[#This Row],[PerformanceRating]]&gt;=3,"Approved","Review Required")</f>
        <v>Approved</v>
      </c>
    </row>
    <row r="793" spans="1:41"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t="str">
        <f>"LAB-"&amp;Lab_Data[[#This Row],[EmployeeNumber]]</f>
        <v>LAB-1100</v>
      </c>
      <c r="AK793" t="str">
        <f>Lab_Data[[#This Row],[JobRole]]</f>
        <v>Sales Executive</v>
      </c>
      <c r="AL793" t="str">
        <f>Lab_Data[[#This Row],[Department]]</f>
        <v>Sales</v>
      </c>
      <c r="AM793" t="str">
        <f>IF(Lab_Data[[#This Row],[Attrition]]="Yes","Failed","Completed")</f>
        <v>Failed</v>
      </c>
      <c r="AN793">
        <f>Lab_Data[[#This Row],[YearsAtCompany]]</f>
        <v>8</v>
      </c>
      <c r="AO793" t="str">
        <f>IF(Lab_Data[[#This Row],[PerformanceRating]]&gt;=3,"Approved","Review Required")</f>
        <v>Approved</v>
      </c>
    </row>
    <row r="794" spans="1:41"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t="str">
        <f>"LAB-"&amp;Lab_Data[[#This Row],[EmployeeNumber]]</f>
        <v>LAB-1101</v>
      </c>
      <c r="AK794" t="str">
        <f>Lab_Data[[#This Row],[JobRole]]</f>
        <v>Research Scientist</v>
      </c>
      <c r="AL794" t="str">
        <f>Lab_Data[[#This Row],[Department]]</f>
        <v>Research &amp; Development</v>
      </c>
      <c r="AM794" t="str">
        <f>IF(Lab_Data[[#This Row],[Attrition]]="Yes","Failed","Completed")</f>
        <v>Failed</v>
      </c>
      <c r="AN794">
        <f>Lab_Data[[#This Row],[YearsAtCompany]]</f>
        <v>13</v>
      </c>
      <c r="AO794" t="str">
        <f>IF(Lab_Data[[#This Row],[PerformanceRating]]&gt;=3,"Approved","Review Required")</f>
        <v>Approved</v>
      </c>
    </row>
    <row r="795" spans="1:41"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t="str">
        <f>"LAB-"&amp;Lab_Data[[#This Row],[EmployeeNumber]]</f>
        <v>LAB-1102</v>
      </c>
      <c r="AK795" t="str">
        <f>Lab_Data[[#This Row],[JobRole]]</f>
        <v>Laboratory Technician</v>
      </c>
      <c r="AL795" t="str">
        <f>Lab_Data[[#This Row],[Department]]</f>
        <v>Research &amp; Development</v>
      </c>
      <c r="AM795" t="str">
        <f>IF(Lab_Data[[#This Row],[Attrition]]="Yes","Failed","Completed")</f>
        <v>Completed</v>
      </c>
      <c r="AN795">
        <f>Lab_Data[[#This Row],[YearsAtCompany]]</f>
        <v>4</v>
      </c>
      <c r="AO795" t="str">
        <f>IF(Lab_Data[[#This Row],[PerformanceRating]]&gt;=3,"Approved","Review Required")</f>
        <v>Approved</v>
      </c>
    </row>
    <row r="796" spans="1:41"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t="str">
        <f>"LAB-"&amp;Lab_Data[[#This Row],[EmployeeNumber]]</f>
        <v>LAB-1103</v>
      </c>
      <c r="AK796" t="str">
        <f>Lab_Data[[#This Row],[JobRole]]</f>
        <v>Healthcare Representative</v>
      </c>
      <c r="AL796" t="str">
        <f>Lab_Data[[#This Row],[Department]]</f>
        <v>Research &amp; Development</v>
      </c>
      <c r="AM796" t="str">
        <f>IF(Lab_Data[[#This Row],[Attrition]]="Yes","Failed","Completed")</f>
        <v>Completed</v>
      </c>
      <c r="AN796">
        <f>Lab_Data[[#This Row],[YearsAtCompany]]</f>
        <v>6</v>
      </c>
      <c r="AO796" t="str">
        <f>IF(Lab_Data[[#This Row],[PerformanceRating]]&gt;=3,"Approved","Review Required")</f>
        <v>Approved</v>
      </c>
    </row>
    <row r="797" spans="1:41"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t="str">
        <f>"LAB-"&amp;Lab_Data[[#This Row],[EmployeeNumber]]</f>
        <v>LAB-1105</v>
      </c>
      <c r="AK797" t="str">
        <f>Lab_Data[[#This Row],[JobRole]]</f>
        <v>Sales Executive</v>
      </c>
      <c r="AL797" t="str">
        <f>Lab_Data[[#This Row],[Department]]</f>
        <v>Sales</v>
      </c>
      <c r="AM797" t="str">
        <f>IF(Lab_Data[[#This Row],[Attrition]]="Yes","Failed","Completed")</f>
        <v>Completed</v>
      </c>
      <c r="AN797">
        <f>Lab_Data[[#This Row],[YearsAtCompany]]</f>
        <v>1</v>
      </c>
      <c r="AO797" t="str">
        <f>IF(Lab_Data[[#This Row],[PerformanceRating]]&gt;=3,"Approved","Review Required")</f>
        <v>Approved</v>
      </c>
    </row>
    <row r="798" spans="1:41"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t="str">
        <f>"LAB-"&amp;Lab_Data[[#This Row],[EmployeeNumber]]</f>
        <v>LAB-1106</v>
      </c>
      <c r="AK798" t="str">
        <f>Lab_Data[[#This Row],[JobRole]]</f>
        <v>Laboratory Technician</v>
      </c>
      <c r="AL798" t="str">
        <f>Lab_Data[[#This Row],[Department]]</f>
        <v>Research &amp; Development</v>
      </c>
      <c r="AM798" t="str">
        <f>IF(Lab_Data[[#This Row],[Attrition]]="Yes","Failed","Completed")</f>
        <v>Failed</v>
      </c>
      <c r="AN798">
        <f>Lab_Data[[#This Row],[YearsAtCompany]]</f>
        <v>7</v>
      </c>
      <c r="AO798" t="str">
        <f>IF(Lab_Data[[#This Row],[PerformanceRating]]&gt;=3,"Approved","Review Required")</f>
        <v>Approved</v>
      </c>
    </row>
    <row r="799" spans="1:41"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t="str">
        <f>"LAB-"&amp;Lab_Data[[#This Row],[EmployeeNumber]]</f>
        <v>LAB-1107</v>
      </c>
      <c r="AK799" t="str">
        <f>Lab_Data[[#This Row],[JobRole]]</f>
        <v>Laboratory Technician</v>
      </c>
      <c r="AL799" t="str">
        <f>Lab_Data[[#This Row],[Department]]</f>
        <v>Research &amp; Development</v>
      </c>
      <c r="AM799" t="str">
        <f>IF(Lab_Data[[#This Row],[Attrition]]="Yes","Failed","Completed")</f>
        <v>Failed</v>
      </c>
      <c r="AN799">
        <f>Lab_Data[[#This Row],[YearsAtCompany]]</f>
        <v>1</v>
      </c>
      <c r="AO799" t="str">
        <f>IF(Lab_Data[[#This Row],[PerformanceRating]]&gt;=3,"Approved","Review Required")</f>
        <v>Approved</v>
      </c>
    </row>
    <row r="800" spans="1:41"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t="str">
        <f>"LAB-"&amp;Lab_Data[[#This Row],[EmployeeNumber]]</f>
        <v>LAB-1108</v>
      </c>
      <c r="AK800" t="str">
        <f>Lab_Data[[#This Row],[JobRole]]</f>
        <v>Research Scientist</v>
      </c>
      <c r="AL800" t="str">
        <f>Lab_Data[[#This Row],[Department]]</f>
        <v>Research &amp; Development</v>
      </c>
      <c r="AM800" t="str">
        <f>IF(Lab_Data[[#This Row],[Attrition]]="Yes","Failed","Completed")</f>
        <v>Failed</v>
      </c>
      <c r="AN800">
        <f>Lab_Data[[#This Row],[YearsAtCompany]]</f>
        <v>2</v>
      </c>
      <c r="AO800" t="str">
        <f>IF(Lab_Data[[#This Row],[PerformanceRating]]&gt;=3,"Approved","Review Required")</f>
        <v>Approved</v>
      </c>
    </row>
    <row r="801" spans="1:41"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t="str">
        <f>"LAB-"&amp;Lab_Data[[#This Row],[EmployeeNumber]]</f>
        <v>LAB-1109</v>
      </c>
      <c r="AK801" t="str">
        <f>Lab_Data[[#This Row],[JobRole]]</f>
        <v>Manager</v>
      </c>
      <c r="AL801" t="str">
        <f>Lab_Data[[#This Row],[Department]]</f>
        <v>Research &amp; Development</v>
      </c>
      <c r="AM801" t="str">
        <f>IF(Lab_Data[[#This Row],[Attrition]]="Yes","Failed","Completed")</f>
        <v>Completed</v>
      </c>
      <c r="AN801">
        <f>Lab_Data[[#This Row],[YearsAtCompany]]</f>
        <v>22</v>
      </c>
      <c r="AO801" t="str">
        <f>IF(Lab_Data[[#This Row],[PerformanceRating]]&gt;=3,"Approved","Review Required")</f>
        <v>Approved</v>
      </c>
    </row>
    <row r="802" spans="1:41"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t="str">
        <f>"LAB-"&amp;Lab_Data[[#This Row],[EmployeeNumber]]</f>
        <v>LAB-1111</v>
      </c>
      <c r="AK802" t="str">
        <f>Lab_Data[[#This Row],[JobRole]]</f>
        <v>Laboratory Technician</v>
      </c>
      <c r="AL802" t="str">
        <f>Lab_Data[[#This Row],[Department]]</f>
        <v>Research &amp; Development</v>
      </c>
      <c r="AM802" t="str">
        <f>IF(Lab_Data[[#This Row],[Attrition]]="Yes","Failed","Completed")</f>
        <v>Failed</v>
      </c>
      <c r="AN802">
        <f>Lab_Data[[#This Row],[YearsAtCompany]]</f>
        <v>1</v>
      </c>
      <c r="AO802" t="str">
        <f>IF(Lab_Data[[#This Row],[PerformanceRating]]&gt;=3,"Approved","Review Required")</f>
        <v>Approved</v>
      </c>
    </row>
    <row r="803" spans="1:41"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t="str">
        <f>"LAB-"&amp;Lab_Data[[#This Row],[EmployeeNumber]]</f>
        <v>LAB-1113</v>
      </c>
      <c r="AK803" t="str">
        <f>Lab_Data[[#This Row],[JobRole]]</f>
        <v>Sales Executive</v>
      </c>
      <c r="AL803" t="str">
        <f>Lab_Data[[#This Row],[Department]]</f>
        <v>Sales</v>
      </c>
      <c r="AM803" t="str">
        <f>IF(Lab_Data[[#This Row],[Attrition]]="Yes","Failed","Completed")</f>
        <v>Failed</v>
      </c>
      <c r="AN803">
        <f>Lab_Data[[#This Row],[YearsAtCompany]]</f>
        <v>0</v>
      </c>
      <c r="AO803" t="str">
        <f>IF(Lab_Data[[#This Row],[PerformanceRating]]&gt;=3,"Approved","Review Required")</f>
        <v>Approved</v>
      </c>
    </row>
    <row r="804" spans="1:41"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t="str">
        <f>"LAB-"&amp;Lab_Data[[#This Row],[EmployeeNumber]]</f>
        <v>LAB-1114</v>
      </c>
      <c r="AK804" t="str">
        <f>Lab_Data[[#This Row],[JobRole]]</f>
        <v>Sales Executive</v>
      </c>
      <c r="AL804" t="str">
        <f>Lab_Data[[#This Row],[Department]]</f>
        <v>Sales</v>
      </c>
      <c r="AM804" t="str">
        <f>IF(Lab_Data[[#This Row],[Attrition]]="Yes","Failed","Completed")</f>
        <v>Completed</v>
      </c>
      <c r="AN804">
        <f>Lab_Data[[#This Row],[YearsAtCompany]]</f>
        <v>3</v>
      </c>
      <c r="AO804" t="str">
        <f>IF(Lab_Data[[#This Row],[PerformanceRating]]&gt;=3,"Approved","Review Required")</f>
        <v>Approved</v>
      </c>
    </row>
    <row r="805" spans="1:41"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t="str">
        <f>"LAB-"&amp;Lab_Data[[#This Row],[EmployeeNumber]]</f>
        <v>LAB-1115</v>
      </c>
      <c r="AK805" t="str">
        <f>Lab_Data[[#This Row],[JobRole]]</f>
        <v>Research Scientist</v>
      </c>
      <c r="AL805" t="str">
        <f>Lab_Data[[#This Row],[Department]]</f>
        <v>Research &amp; Development</v>
      </c>
      <c r="AM805" t="str">
        <f>IF(Lab_Data[[#This Row],[Attrition]]="Yes","Failed","Completed")</f>
        <v>Completed</v>
      </c>
      <c r="AN805">
        <f>Lab_Data[[#This Row],[YearsAtCompany]]</f>
        <v>0</v>
      </c>
      <c r="AO805" t="str">
        <f>IF(Lab_Data[[#This Row],[PerformanceRating]]&gt;=3,"Approved","Review Required")</f>
        <v>Approved</v>
      </c>
    </row>
    <row r="806" spans="1:41"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t="str">
        <f>"LAB-"&amp;Lab_Data[[#This Row],[EmployeeNumber]]</f>
        <v>LAB-1116</v>
      </c>
      <c r="AK806" t="str">
        <f>Lab_Data[[#This Row],[JobRole]]</f>
        <v>Manager</v>
      </c>
      <c r="AL806" t="str">
        <f>Lab_Data[[#This Row],[Department]]</f>
        <v>Research &amp; Development</v>
      </c>
      <c r="AM806" t="str">
        <f>IF(Lab_Data[[#This Row],[Attrition]]="Yes","Failed","Completed")</f>
        <v>Completed</v>
      </c>
      <c r="AN806">
        <f>Lab_Data[[#This Row],[YearsAtCompany]]</f>
        <v>5</v>
      </c>
      <c r="AO806" t="str">
        <f>IF(Lab_Data[[#This Row],[PerformanceRating]]&gt;=3,"Approved","Review Required")</f>
        <v>Approved</v>
      </c>
    </row>
    <row r="807" spans="1:41"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t="str">
        <f>"LAB-"&amp;Lab_Data[[#This Row],[EmployeeNumber]]</f>
        <v>LAB-1117</v>
      </c>
      <c r="AK807" t="str">
        <f>Lab_Data[[#This Row],[JobRole]]</f>
        <v>Sales Executive</v>
      </c>
      <c r="AL807" t="str">
        <f>Lab_Data[[#This Row],[Department]]</f>
        <v>Sales</v>
      </c>
      <c r="AM807" t="str">
        <f>IF(Lab_Data[[#This Row],[Attrition]]="Yes","Failed","Completed")</f>
        <v>Completed</v>
      </c>
      <c r="AN807">
        <f>Lab_Data[[#This Row],[YearsAtCompany]]</f>
        <v>15</v>
      </c>
      <c r="AO807" t="str">
        <f>IF(Lab_Data[[#This Row],[PerformanceRating]]&gt;=3,"Approved","Review Required")</f>
        <v>Approved</v>
      </c>
    </row>
    <row r="808" spans="1:41"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t="str">
        <f>"LAB-"&amp;Lab_Data[[#This Row],[EmployeeNumber]]</f>
        <v>LAB-1118</v>
      </c>
      <c r="AK808" t="str">
        <f>Lab_Data[[#This Row],[JobRole]]</f>
        <v>Healthcare Representative</v>
      </c>
      <c r="AL808" t="str">
        <f>Lab_Data[[#This Row],[Department]]</f>
        <v>Research &amp; Development</v>
      </c>
      <c r="AM808" t="str">
        <f>IF(Lab_Data[[#This Row],[Attrition]]="Yes","Failed","Completed")</f>
        <v>Completed</v>
      </c>
      <c r="AN808">
        <f>Lab_Data[[#This Row],[YearsAtCompany]]</f>
        <v>8</v>
      </c>
      <c r="AO808" t="str">
        <f>IF(Lab_Data[[#This Row],[PerformanceRating]]&gt;=3,"Approved","Review Required")</f>
        <v>Approved</v>
      </c>
    </row>
    <row r="809" spans="1:41"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t="str">
        <f>"LAB-"&amp;Lab_Data[[#This Row],[EmployeeNumber]]</f>
        <v>LAB-1119</v>
      </c>
      <c r="AK809" t="str">
        <f>Lab_Data[[#This Row],[JobRole]]</f>
        <v>Sales Executive</v>
      </c>
      <c r="AL809" t="str">
        <f>Lab_Data[[#This Row],[Department]]</f>
        <v>Sales</v>
      </c>
      <c r="AM809" t="str">
        <f>IF(Lab_Data[[#This Row],[Attrition]]="Yes","Failed","Completed")</f>
        <v>Completed</v>
      </c>
      <c r="AN809">
        <f>Lab_Data[[#This Row],[YearsAtCompany]]</f>
        <v>8</v>
      </c>
      <c r="AO809" t="str">
        <f>IF(Lab_Data[[#This Row],[PerformanceRating]]&gt;=3,"Approved","Review Required")</f>
        <v>Approved</v>
      </c>
    </row>
    <row r="810" spans="1:41"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t="str">
        <f>"LAB-"&amp;Lab_Data[[#This Row],[EmployeeNumber]]</f>
        <v>LAB-1120</v>
      </c>
      <c r="AK810" t="str">
        <f>Lab_Data[[#This Row],[JobRole]]</f>
        <v>Research Scientist</v>
      </c>
      <c r="AL810" t="str">
        <f>Lab_Data[[#This Row],[Department]]</f>
        <v>Research &amp; Development</v>
      </c>
      <c r="AM810" t="str">
        <f>IF(Lab_Data[[#This Row],[Attrition]]="Yes","Failed","Completed")</f>
        <v>Completed</v>
      </c>
      <c r="AN810">
        <f>Lab_Data[[#This Row],[YearsAtCompany]]</f>
        <v>7</v>
      </c>
      <c r="AO810" t="str">
        <f>IF(Lab_Data[[#This Row],[PerformanceRating]]&gt;=3,"Approved","Review Required")</f>
        <v>Approved</v>
      </c>
    </row>
    <row r="811" spans="1:41"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t="str">
        <f>"LAB-"&amp;Lab_Data[[#This Row],[EmployeeNumber]]</f>
        <v>LAB-1121</v>
      </c>
      <c r="AK811" t="str">
        <f>Lab_Data[[#This Row],[JobRole]]</f>
        <v>Manufacturing Director</v>
      </c>
      <c r="AL811" t="str">
        <f>Lab_Data[[#This Row],[Department]]</f>
        <v>Research &amp; Development</v>
      </c>
      <c r="AM811" t="str">
        <f>IF(Lab_Data[[#This Row],[Attrition]]="Yes","Failed","Completed")</f>
        <v>Completed</v>
      </c>
      <c r="AN811">
        <f>Lab_Data[[#This Row],[YearsAtCompany]]</f>
        <v>9</v>
      </c>
      <c r="AO811" t="str">
        <f>IF(Lab_Data[[#This Row],[PerformanceRating]]&gt;=3,"Approved","Review Required")</f>
        <v>Approved</v>
      </c>
    </row>
    <row r="812" spans="1:41"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t="str">
        <f>"LAB-"&amp;Lab_Data[[#This Row],[EmployeeNumber]]</f>
        <v>LAB-1124</v>
      </c>
      <c r="AK812" t="str">
        <f>Lab_Data[[#This Row],[JobRole]]</f>
        <v>Manager</v>
      </c>
      <c r="AL812" t="str">
        <f>Lab_Data[[#This Row],[Department]]</f>
        <v>Sales</v>
      </c>
      <c r="AM812" t="str">
        <f>IF(Lab_Data[[#This Row],[Attrition]]="Yes","Failed","Completed")</f>
        <v>Completed</v>
      </c>
      <c r="AN812">
        <f>Lab_Data[[#This Row],[YearsAtCompany]]</f>
        <v>12</v>
      </c>
      <c r="AO812" t="str">
        <f>IF(Lab_Data[[#This Row],[PerformanceRating]]&gt;=3,"Approved","Review Required")</f>
        <v>Approved</v>
      </c>
    </row>
    <row r="813" spans="1:41"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t="str">
        <f>"LAB-"&amp;Lab_Data[[#This Row],[EmployeeNumber]]</f>
        <v>LAB-1125</v>
      </c>
      <c r="AK813" t="str">
        <f>Lab_Data[[#This Row],[JobRole]]</f>
        <v>Sales Executive</v>
      </c>
      <c r="AL813" t="str">
        <f>Lab_Data[[#This Row],[Department]]</f>
        <v>Sales</v>
      </c>
      <c r="AM813" t="str">
        <f>IF(Lab_Data[[#This Row],[Attrition]]="Yes","Failed","Completed")</f>
        <v>Completed</v>
      </c>
      <c r="AN813">
        <f>Lab_Data[[#This Row],[YearsAtCompany]]</f>
        <v>1</v>
      </c>
      <c r="AO813" t="str">
        <f>IF(Lab_Data[[#This Row],[PerformanceRating]]&gt;=3,"Approved","Review Required")</f>
        <v>Approved</v>
      </c>
    </row>
    <row r="814" spans="1:41"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t="str">
        <f>"LAB-"&amp;Lab_Data[[#This Row],[EmployeeNumber]]</f>
        <v>LAB-1126</v>
      </c>
      <c r="AK814" t="str">
        <f>Lab_Data[[#This Row],[JobRole]]</f>
        <v>Manufacturing Director</v>
      </c>
      <c r="AL814" t="str">
        <f>Lab_Data[[#This Row],[Department]]</f>
        <v>Research &amp; Development</v>
      </c>
      <c r="AM814" t="str">
        <f>IF(Lab_Data[[#This Row],[Attrition]]="Yes","Failed","Completed")</f>
        <v>Completed</v>
      </c>
      <c r="AN814">
        <f>Lab_Data[[#This Row],[YearsAtCompany]]</f>
        <v>8</v>
      </c>
      <c r="AO814" t="str">
        <f>IF(Lab_Data[[#This Row],[PerformanceRating]]&gt;=3,"Approved","Review Required")</f>
        <v>Approved</v>
      </c>
    </row>
    <row r="815" spans="1:41"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t="str">
        <f>"LAB-"&amp;Lab_Data[[#This Row],[EmployeeNumber]]</f>
        <v>LAB-1127</v>
      </c>
      <c r="AK815" t="str">
        <f>Lab_Data[[#This Row],[JobRole]]</f>
        <v>Healthcare Representative</v>
      </c>
      <c r="AL815" t="str">
        <f>Lab_Data[[#This Row],[Department]]</f>
        <v>Research &amp; Development</v>
      </c>
      <c r="AM815" t="str">
        <f>IF(Lab_Data[[#This Row],[Attrition]]="Yes","Failed","Completed")</f>
        <v>Failed</v>
      </c>
      <c r="AN815">
        <f>Lab_Data[[#This Row],[YearsAtCompany]]</f>
        <v>18</v>
      </c>
      <c r="AO815" t="str">
        <f>IF(Lab_Data[[#This Row],[PerformanceRating]]&gt;=3,"Approved","Review Required")</f>
        <v>Approved</v>
      </c>
    </row>
    <row r="816" spans="1:41"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t="str">
        <f>"LAB-"&amp;Lab_Data[[#This Row],[EmployeeNumber]]</f>
        <v>LAB-1128</v>
      </c>
      <c r="AK816" t="str">
        <f>Lab_Data[[#This Row],[JobRole]]</f>
        <v>Research Director</v>
      </c>
      <c r="AL816" t="str">
        <f>Lab_Data[[#This Row],[Department]]</f>
        <v>Research &amp; Development</v>
      </c>
      <c r="AM816" t="str">
        <f>IF(Lab_Data[[#This Row],[Attrition]]="Yes","Failed","Completed")</f>
        <v>Completed</v>
      </c>
      <c r="AN816">
        <f>Lab_Data[[#This Row],[YearsAtCompany]]</f>
        <v>20</v>
      </c>
      <c r="AO816" t="str">
        <f>IF(Lab_Data[[#This Row],[PerformanceRating]]&gt;=3,"Approved","Review Required")</f>
        <v>Approved</v>
      </c>
    </row>
    <row r="817" spans="1:41"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t="str">
        <f>"LAB-"&amp;Lab_Data[[#This Row],[EmployeeNumber]]</f>
        <v>LAB-1131</v>
      </c>
      <c r="AK817" t="str">
        <f>Lab_Data[[#This Row],[JobRole]]</f>
        <v>Research Scientist</v>
      </c>
      <c r="AL817" t="str">
        <f>Lab_Data[[#This Row],[Department]]</f>
        <v>Research &amp; Development</v>
      </c>
      <c r="AM817" t="str">
        <f>IF(Lab_Data[[#This Row],[Attrition]]="Yes","Failed","Completed")</f>
        <v>Completed</v>
      </c>
      <c r="AN817">
        <f>Lab_Data[[#This Row],[YearsAtCompany]]</f>
        <v>2</v>
      </c>
      <c r="AO817" t="str">
        <f>IF(Lab_Data[[#This Row],[PerformanceRating]]&gt;=3,"Approved","Review Required")</f>
        <v>Approved</v>
      </c>
    </row>
    <row r="818" spans="1:41"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t="str">
        <f>"LAB-"&amp;Lab_Data[[#This Row],[EmployeeNumber]]</f>
        <v>LAB-1132</v>
      </c>
      <c r="AK818" t="str">
        <f>Lab_Data[[#This Row],[JobRole]]</f>
        <v>Laboratory Technician</v>
      </c>
      <c r="AL818" t="str">
        <f>Lab_Data[[#This Row],[Department]]</f>
        <v>Research &amp; Development</v>
      </c>
      <c r="AM818" t="str">
        <f>IF(Lab_Data[[#This Row],[Attrition]]="Yes","Failed","Completed")</f>
        <v>Completed</v>
      </c>
      <c r="AN818">
        <f>Lab_Data[[#This Row],[YearsAtCompany]]</f>
        <v>5</v>
      </c>
      <c r="AO818" t="str">
        <f>IF(Lab_Data[[#This Row],[PerformanceRating]]&gt;=3,"Approved","Review Required")</f>
        <v>Approved</v>
      </c>
    </row>
    <row r="819" spans="1:41"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t="str">
        <f>"LAB-"&amp;Lab_Data[[#This Row],[EmployeeNumber]]</f>
        <v>LAB-1133</v>
      </c>
      <c r="AK819" t="str">
        <f>Lab_Data[[#This Row],[JobRole]]</f>
        <v>Manufacturing Director</v>
      </c>
      <c r="AL819" t="str">
        <f>Lab_Data[[#This Row],[Department]]</f>
        <v>Research &amp; Development</v>
      </c>
      <c r="AM819" t="str">
        <f>IF(Lab_Data[[#This Row],[Attrition]]="Yes","Failed","Completed")</f>
        <v>Completed</v>
      </c>
      <c r="AN819">
        <f>Lab_Data[[#This Row],[YearsAtCompany]]</f>
        <v>11</v>
      </c>
      <c r="AO819" t="str">
        <f>IF(Lab_Data[[#This Row],[PerformanceRating]]&gt;=3,"Approved","Review Required")</f>
        <v>Approved</v>
      </c>
    </row>
    <row r="820" spans="1:41"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t="str">
        <f>"LAB-"&amp;Lab_Data[[#This Row],[EmployeeNumber]]</f>
        <v>LAB-1135</v>
      </c>
      <c r="AK820" t="str">
        <f>Lab_Data[[#This Row],[JobRole]]</f>
        <v>Sales Representative</v>
      </c>
      <c r="AL820" t="str">
        <f>Lab_Data[[#This Row],[Department]]</f>
        <v>Sales</v>
      </c>
      <c r="AM820" t="str">
        <f>IF(Lab_Data[[#This Row],[Attrition]]="Yes","Failed","Completed")</f>
        <v>Completed</v>
      </c>
      <c r="AN820">
        <f>Lab_Data[[#This Row],[YearsAtCompany]]</f>
        <v>2</v>
      </c>
      <c r="AO820" t="str">
        <f>IF(Lab_Data[[#This Row],[PerformanceRating]]&gt;=3,"Approved","Review Required")</f>
        <v>Approved</v>
      </c>
    </row>
    <row r="821" spans="1:41"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t="str">
        <f>"LAB-"&amp;Lab_Data[[#This Row],[EmployeeNumber]]</f>
        <v>LAB-1136</v>
      </c>
      <c r="AK821" t="str">
        <f>Lab_Data[[#This Row],[JobRole]]</f>
        <v>Research Scientist</v>
      </c>
      <c r="AL821" t="str">
        <f>Lab_Data[[#This Row],[Department]]</f>
        <v>Research &amp; Development</v>
      </c>
      <c r="AM821" t="str">
        <f>IF(Lab_Data[[#This Row],[Attrition]]="Yes","Failed","Completed")</f>
        <v>Completed</v>
      </c>
      <c r="AN821">
        <f>Lab_Data[[#This Row],[YearsAtCompany]]</f>
        <v>5</v>
      </c>
      <c r="AO821" t="str">
        <f>IF(Lab_Data[[#This Row],[PerformanceRating]]&gt;=3,"Approved","Review Required")</f>
        <v>Approved</v>
      </c>
    </row>
    <row r="822" spans="1:41"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t="str">
        <f>"LAB-"&amp;Lab_Data[[#This Row],[EmployeeNumber]]</f>
        <v>LAB-1137</v>
      </c>
      <c r="AK822" t="str">
        <f>Lab_Data[[#This Row],[JobRole]]</f>
        <v>Sales Executive</v>
      </c>
      <c r="AL822" t="str">
        <f>Lab_Data[[#This Row],[Department]]</f>
        <v>Sales</v>
      </c>
      <c r="AM822" t="str">
        <f>IF(Lab_Data[[#This Row],[Attrition]]="Yes","Failed","Completed")</f>
        <v>Completed</v>
      </c>
      <c r="AN822">
        <f>Lab_Data[[#This Row],[YearsAtCompany]]</f>
        <v>5</v>
      </c>
      <c r="AO822" t="str">
        <f>IF(Lab_Data[[#This Row],[PerformanceRating]]&gt;=3,"Approved","Review Required")</f>
        <v>Approved</v>
      </c>
    </row>
    <row r="823" spans="1:41"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t="str">
        <f>"LAB-"&amp;Lab_Data[[#This Row],[EmployeeNumber]]</f>
        <v>LAB-1138</v>
      </c>
      <c r="AK823" t="str">
        <f>Lab_Data[[#This Row],[JobRole]]</f>
        <v>Sales Executive</v>
      </c>
      <c r="AL823" t="str">
        <f>Lab_Data[[#This Row],[Department]]</f>
        <v>Sales</v>
      </c>
      <c r="AM823" t="str">
        <f>IF(Lab_Data[[#This Row],[Attrition]]="Yes","Failed","Completed")</f>
        <v>Completed</v>
      </c>
      <c r="AN823">
        <f>Lab_Data[[#This Row],[YearsAtCompany]]</f>
        <v>9</v>
      </c>
      <c r="AO823" t="str">
        <f>IF(Lab_Data[[#This Row],[PerformanceRating]]&gt;=3,"Approved","Review Required")</f>
        <v>Approved</v>
      </c>
    </row>
    <row r="824" spans="1:41"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t="str">
        <f>"LAB-"&amp;Lab_Data[[#This Row],[EmployeeNumber]]</f>
        <v>LAB-1140</v>
      </c>
      <c r="AK824" t="str">
        <f>Lab_Data[[#This Row],[JobRole]]</f>
        <v>Manufacturing Director</v>
      </c>
      <c r="AL824" t="str">
        <f>Lab_Data[[#This Row],[Department]]</f>
        <v>Research &amp; Development</v>
      </c>
      <c r="AM824" t="str">
        <f>IF(Lab_Data[[#This Row],[Attrition]]="Yes","Failed","Completed")</f>
        <v>Completed</v>
      </c>
      <c r="AN824">
        <f>Lab_Data[[#This Row],[YearsAtCompany]]</f>
        <v>3</v>
      </c>
      <c r="AO824" t="str">
        <f>IF(Lab_Data[[#This Row],[PerformanceRating]]&gt;=3,"Approved","Review Required")</f>
        <v>Approved</v>
      </c>
    </row>
    <row r="825" spans="1:41"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t="str">
        <f>"LAB-"&amp;Lab_Data[[#This Row],[EmployeeNumber]]</f>
        <v>LAB-1143</v>
      </c>
      <c r="AK825" t="str">
        <f>Lab_Data[[#This Row],[JobRole]]</f>
        <v>Research Scientist</v>
      </c>
      <c r="AL825" t="str">
        <f>Lab_Data[[#This Row],[Department]]</f>
        <v>Research &amp; Development</v>
      </c>
      <c r="AM825" t="str">
        <f>IF(Lab_Data[[#This Row],[Attrition]]="Yes","Failed","Completed")</f>
        <v>Completed</v>
      </c>
      <c r="AN825">
        <f>Lab_Data[[#This Row],[YearsAtCompany]]</f>
        <v>7</v>
      </c>
      <c r="AO825" t="str">
        <f>IF(Lab_Data[[#This Row],[PerformanceRating]]&gt;=3,"Approved","Review Required")</f>
        <v>Approved</v>
      </c>
    </row>
    <row r="826" spans="1:41"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t="str">
        <f>"LAB-"&amp;Lab_Data[[#This Row],[EmployeeNumber]]</f>
        <v>LAB-1148</v>
      </c>
      <c r="AK826" t="str">
        <f>Lab_Data[[#This Row],[JobRole]]</f>
        <v>Laboratory Technician</v>
      </c>
      <c r="AL826" t="str">
        <f>Lab_Data[[#This Row],[Department]]</f>
        <v>Research &amp; Development</v>
      </c>
      <c r="AM826" t="str">
        <f>IF(Lab_Data[[#This Row],[Attrition]]="Yes","Failed","Completed")</f>
        <v>Completed</v>
      </c>
      <c r="AN826">
        <f>Lab_Data[[#This Row],[YearsAtCompany]]</f>
        <v>1</v>
      </c>
      <c r="AO826" t="str">
        <f>IF(Lab_Data[[#This Row],[PerformanceRating]]&gt;=3,"Approved","Review Required")</f>
        <v>Approved</v>
      </c>
    </row>
    <row r="827" spans="1:41"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t="str">
        <f>"LAB-"&amp;Lab_Data[[#This Row],[EmployeeNumber]]</f>
        <v>LAB-1150</v>
      </c>
      <c r="AK827" t="str">
        <f>Lab_Data[[#This Row],[JobRole]]</f>
        <v>Manufacturing Director</v>
      </c>
      <c r="AL827" t="str">
        <f>Lab_Data[[#This Row],[Department]]</f>
        <v>Research &amp; Development</v>
      </c>
      <c r="AM827" t="str">
        <f>IF(Lab_Data[[#This Row],[Attrition]]="Yes","Failed","Completed")</f>
        <v>Completed</v>
      </c>
      <c r="AN827">
        <f>Lab_Data[[#This Row],[YearsAtCompany]]</f>
        <v>10</v>
      </c>
      <c r="AO827" t="str">
        <f>IF(Lab_Data[[#This Row],[PerformanceRating]]&gt;=3,"Approved","Review Required")</f>
        <v>Approved</v>
      </c>
    </row>
    <row r="828" spans="1:41"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t="str">
        <f>"LAB-"&amp;Lab_Data[[#This Row],[EmployeeNumber]]</f>
        <v>LAB-1152</v>
      </c>
      <c r="AK828" t="str">
        <f>Lab_Data[[#This Row],[JobRole]]</f>
        <v>Human Resources</v>
      </c>
      <c r="AL828" t="str">
        <f>Lab_Data[[#This Row],[Department]]</f>
        <v>Human Resources</v>
      </c>
      <c r="AM828" t="str">
        <f>IF(Lab_Data[[#This Row],[Attrition]]="Yes","Failed","Completed")</f>
        <v>Completed</v>
      </c>
      <c r="AN828">
        <f>Lab_Data[[#This Row],[YearsAtCompany]]</f>
        <v>7</v>
      </c>
      <c r="AO828" t="str">
        <f>IF(Lab_Data[[#This Row],[PerformanceRating]]&gt;=3,"Approved","Review Required")</f>
        <v>Approved</v>
      </c>
    </row>
    <row r="829" spans="1:41"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t="str">
        <f>"LAB-"&amp;Lab_Data[[#This Row],[EmployeeNumber]]</f>
        <v>LAB-1154</v>
      </c>
      <c r="AK829" t="str">
        <f>Lab_Data[[#This Row],[JobRole]]</f>
        <v>Research Scientist</v>
      </c>
      <c r="AL829" t="str">
        <f>Lab_Data[[#This Row],[Department]]</f>
        <v>Research &amp; Development</v>
      </c>
      <c r="AM829" t="str">
        <f>IF(Lab_Data[[#This Row],[Attrition]]="Yes","Failed","Completed")</f>
        <v>Completed</v>
      </c>
      <c r="AN829">
        <f>Lab_Data[[#This Row],[YearsAtCompany]]</f>
        <v>3</v>
      </c>
      <c r="AO829" t="str">
        <f>IF(Lab_Data[[#This Row],[PerformanceRating]]&gt;=3,"Approved","Review Required")</f>
        <v>Approved</v>
      </c>
    </row>
    <row r="830" spans="1:41"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t="str">
        <f>"LAB-"&amp;Lab_Data[[#This Row],[EmployeeNumber]]</f>
        <v>LAB-1156</v>
      </c>
      <c r="AK830" t="str">
        <f>Lab_Data[[#This Row],[JobRole]]</f>
        <v>Laboratory Technician</v>
      </c>
      <c r="AL830" t="str">
        <f>Lab_Data[[#This Row],[Department]]</f>
        <v>Research &amp; Development</v>
      </c>
      <c r="AM830" t="str">
        <f>IF(Lab_Data[[#This Row],[Attrition]]="Yes","Failed","Completed")</f>
        <v>Failed</v>
      </c>
      <c r="AN830">
        <f>Lab_Data[[#This Row],[YearsAtCompany]]</f>
        <v>0</v>
      </c>
      <c r="AO830" t="str">
        <f>IF(Lab_Data[[#This Row],[PerformanceRating]]&gt;=3,"Approved","Review Required")</f>
        <v>Approved</v>
      </c>
    </row>
    <row r="831" spans="1:41"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t="str">
        <f>"LAB-"&amp;Lab_Data[[#This Row],[EmployeeNumber]]</f>
        <v>LAB-1157</v>
      </c>
      <c r="AK831" t="str">
        <f>Lab_Data[[#This Row],[JobRole]]</f>
        <v>Sales Executive</v>
      </c>
      <c r="AL831" t="str">
        <f>Lab_Data[[#This Row],[Department]]</f>
        <v>Sales</v>
      </c>
      <c r="AM831" t="str">
        <f>IF(Lab_Data[[#This Row],[Attrition]]="Yes","Failed","Completed")</f>
        <v>Failed</v>
      </c>
      <c r="AN831">
        <f>Lab_Data[[#This Row],[YearsAtCompany]]</f>
        <v>5</v>
      </c>
      <c r="AO831" t="str">
        <f>IF(Lab_Data[[#This Row],[PerformanceRating]]&gt;=3,"Approved","Review Required")</f>
        <v>Approved</v>
      </c>
    </row>
    <row r="832" spans="1:41"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t="str">
        <f>"LAB-"&amp;Lab_Data[[#This Row],[EmployeeNumber]]</f>
        <v>LAB-1158</v>
      </c>
      <c r="AK832" t="str">
        <f>Lab_Data[[#This Row],[JobRole]]</f>
        <v>Laboratory Technician</v>
      </c>
      <c r="AL832" t="str">
        <f>Lab_Data[[#This Row],[Department]]</f>
        <v>Research &amp; Development</v>
      </c>
      <c r="AM832" t="str">
        <f>IF(Lab_Data[[#This Row],[Attrition]]="Yes","Failed","Completed")</f>
        <v>Completed</v>
      </c>
      <c r="AN832">
        <f>Lab_Data[[#This Row],[YearsAtCompany]]</f>
        <v>1</v>
      </c>
      <c r="AO832" t="str">
        <f>IF(Lab_Data[[#This Row],[PerformanceRating]]&gt;=3,"Approved","Review Required")</f>
        <v>Approved</v>
      </c>
    </row>
    <row r="833" spans="1:41"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t="str">
        <f>"LAB-"&amp;Lab_Data[[#This Row],[EmployeeNumber]]</f>
        <v>LAB-1160</v>
      </c>
      <c r="AK833" t="str">
        <f>Lab_Data[[#This Row],[JobRole]]</f>
        <v>Laboratory Technician</v>
      </c>
      <c r="AL833" t="str">
        <f>Lab_Data[[#This Row],[Department]]</f>
        <v>Research &amp; Development</v>
      </c>
      <c r="AM833" t="str">
        <f>IF(Lab_Data[[#This Row],[Attrition]]="Yes","Failed","Completed")</f>
        <v>Failed</v>
      </c>
      <c r="AN833">
        <f>Lab_Data[[#This Row],[YearsAtCompany]]</f>
        <v>2</v>
      </c>
      <c r="AO833" t="str">
        <f>IF(Lab_Data[[#This Row],[PerformanceRating]]&gt;=3,"Approved","Review Required")</f>
        <v>Approved</v>
      </c>
    </row>
    <row r="834" spans="1:41"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t="str">
        <f>"LAB-"&amp;Lab_Data[[#This Row],[EmployeeNumber]]</f>
        <v>LAB-1161</v>
      </c>
      <c r="AK834" t="str">
        <f>Lab_Data[[#This Row],[JobRole]]</f>
        <v>Healthcare Representative</v>
      </c>
      <c r="AL834" t="str">
        <f>Lab_Data[[#This Row],[Department]]</f>
        <v>Research &amp; Development</v>
      </c>
      <c r="AM834" t="str">
        <f>IF(Lab_Data[[#This Row],[Attrition]]="Yes","Failed","Completed")</f>
        <v>Completed</v>
      </c>
      <c r="AN834">
        <f>Lab_Data[[#This Row],[YearsAtCompany]]</f>
        <v>6</v>
      </c>
      <c r="AO834" t="str">
        <f>IF(Lab_Data[[#This Row],[PerformanceRating]]&gt;=3,"Approved","Review Required")</f>
        <v>Approved</v>
      </c>
    </row>
    <row r="835" spans="1:41"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t="str">
        <f>"LAB-"&amp;Lab_Data[[#This Row],[EmployeeNumber]]</f>
        <v>LAB-1162</v>
      </c>
      <c r="AK835" t="str">
        <f>Lab_Data[[#This Row],[JobRole]]</f>
        <v>Research Scientist</v>
      </c>
      <c r="AL835" t="str">
        <f>Lab_Data[[#This Row],[Department]]</f>
        <v>Research &amp; Development</v>
      </c>
      <c r="AM835" t="str">
        <f>IF(Lab_Data[[#This Row],[Attrition]]="Yes","Failed","Completed")</f>
        <v>Completed</v>
      </c>
      <c r="AN835">
        <f>Lab_Data[[#This Row],[YearsAtCompany]]</f>
        <v>4</v>
      </c>
      <c r="AO835" t="str">
        <f>IF(Lab_Data[[#This Row],[PerformanceRating]]&gt;=3,"Approved","Review Required")</f>
        <v>Approved</v>
      </c>
    </row>
    <row r="836" spans="1:41"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t="str">
        <f>"LAB-"&amp;Lab_Data[[#This Row],[EmployeeNumber]]</f>
        <v>LAB-1163</v>
      </c>
      <c r="AK836" t="str">
        <f>Lab_Data[[#This Row],[JobRole]]</f>
        <v>Sales Executive</v>
      </c>
      <c r="AL836" t="str">
        <f>Lab_Data[[#This Row],[Department]]</f>
        <v>Sales</v>
      </c>
      <c r="AM836" t="str">
        <f>IF(Lab_Data[[#This Row],[Attrition]]="Yes","Failed","Completed")</f>
        <v>Completed</v>
      </c>
      <c r="AN836">
        <f>Lab_Data[[#This Row],[YearsAtCompany]]</f>
        <v>6</v>
      </c>
      <c r="AO836" t="str">
        <f>IF(Lab_Data[[#This Row],[PerformanceRating]]&gt;=3,"Approved","Review Required")</f>
        <v>Approved</v>
      </c>
    </row>
    <row r="837" spans="1:41"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t="str">
        <f>"LAB-"&amp;Lab_Data[[#This Row],[EmployeeNumber]]</f>
        <v>LAB-1164</v>
      </c>
      <c r="AK837" t="str">
        <f>Lab_Data[[#This Row],[JobRole]]</f>
        <v>Human Resources</v>
      </c>
      <c r="AL837" t="str">
        <f>Lab_Data[[#This Row],[Department]]</f>
        <v>Human Resources</v>
      </c>
      <c r="AM837" t="str">
        <f>IF(Lab_Data[[#This Row],[Attrition]]="Yes","Failed","Completed")</f>
        <v>Completed</v>
      </c>
      <c r="AN837">
        <f>Lab_Data[[#This Row],[YearsAtCompany]]</f>
        <v>5</v>
      </c>
      <c r="AO837" t="str">
        <f>IF(Lab_Data[[#This Row],[PerformanceRating]]&gt;=3,"Approved","Review Required")</f>
        <v>Approved</v>
      </c>
    </row>
    <row r="838" spans="1:41"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t="str">
        <f>"LAB-"&amp;Lab_Data[[#This Row],[EmployeeNumber]]</f>
        <v>LAB-1165</v>
      </c>
      <c r="AK838" t="str">
        <f>Lab_Data[[#This Row],[JobRole]]</f>
        <v>Sales Executive</v>
      </c>
      <c r="AL838" t="str">
        <f>Lab_Data[[#This Row],[Department]]</f>
        <v>Sales</v>
      </c>
      <c r="AM838" t="str">
        <f>IF(Lab_Data[[#This Row],[Attrition]]="Yes","Failed","Completed")</f>
        <v>Failed</v>
      </c>
      <c r="AN838">
        <f>Lab_Data[[#This Row],[YearsAtCompany]]</f>
        <v>11</v>
      </c>
      <c r="AO838" t="str">
        <f>IF(Lab_Data[[#This Row],[PerformanceRating]]&gt;=3,"Approved","Review Required")</f>
        <v>Approved</v>
      </c>
    </row>
    <row r="839" spans="1:41"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t="str">
        <f>"LAB-"&amp;Lab_Data[[#This Row],[EmployeeNumber]]</f>
        <v>LAB-1166</v>
      </c>
      <c r="AK839" t="str">
        <f>Lab_Data[[#This Row],[JobRole]]</f>
        <v>Research Director</v>
      </c>
      <c r="AL839" t="str">
        <f>Lab_Data[[#This Row],[Department]]</f>
        <v>Research &amp; Development</v>
      </c>
      <c r="AM839" t="str">
        <f>IF(Lab_Data[[#This Row],[Attrition]]="Yes","Failed","Completed")</f>
        <v>Completed</v>
      </c>
      <c r="AN839">
        <f>Lab_Data[[#This Row],[YearsAtCompany]]</f>
        <v>18</v>
      </c>
      <c r="AO839" t="str">
        <f>IF(Lab_Data[[#This Row],[PerformanceRating]]&gt;=3,"Approved","Review Required")</f>
        <v>Approved</v>
      </c>
    </row>
    <row r="840" spans="1:41"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t="str">
        <f>"LAB-"&amp;Lab_Data[[#This Row],[EmployeeNumber]]</f>
        <v>LAB-1167</v>
      </c>
      <c r="AK840" t="str">
        <f>Lab_Data[[#This Row],[JobRole]]</f>
        <v>Sales Executive</v>
      </c>
      <c r="AL840" t="str">
        <f>Lab_Data[[#This Row],[Department]]</f>
        <v>Sales</v>
      </c>
      <c r="AM840" t="str">
        <f>IF(Lab_Data[[#This Row],[Attrition]]="Yes","Failed","Completed")</f>
        <v>Failed</v>
      </c>
      <c r="AN840">
        <f>Lab_Data[[#This Row],[YearsAtCompany]]</f>
        <v>21</v>
      </c>
      <c r="AO840" t="str">
        <f>IF(Lab_Data[[#This Row],[PerformanceRating]]&gt;=3,"Approved","Review Required")</f>
        <v>Approved</v>
      </c>
    </row>
    <row r="841" spans="1:41"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t="str">
        <f>"LAB-"&amp;Lab_Data[[#This Row],[EmployeeNumber]]</f>
        <v>LAB-1171</v>
      </c>
      <c r="AK841" t="str">
        <f>Lab_Data[[#This Row],[JobRole]]</f>
        <v>Sales Executive</v>
      </c>
      <c r="AL841" t="str">
        <f>Lab_Data[[#This Row],[Department]]</f>
        <v>Sales</v>
      </c>
      <c r="AM841" t="str">
        <f>IF(Lab_Data[[#This Row],[Attrition]]="Yes","Failed","Completed")</f>
        <v>Completed</v>
      </c>
      <c r="AN841">
        <f>Lab_Data[[#This Row],[YearsAtCompany]]</f>
        <v>6</v>
      </c>
      <c r="AO841" t="str">
        <f>IF(Lab_Data[[#This Row],[PerformanceRating]]&gt;=3,"Approved","Review Required")</f>
        <v>Approved</v>
      </c>
    </row>
    <row r="842" spans="1:41"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t="str">
        <f>"LAB-"&amp;Lab_Data[[#This Row],[EmployeeNumber]]</f>
        <v>LAB-1172</v>
      </c>
      <c r="AK842" t="str">
        <f>Lab_Data[[#This Row],[JobRole]]</f>
        <v>Laboratory Technician</v>
      </c>
      <c r="AL842" t="str">
        <f>Lab_Data[[#This Row],[Department]]</f>
        <v>Research &amp; Development</v>
      </c>
      <c r="AM842" t="str">
        <f>IF(Lab_Data[[#This Row],[Attrition]]="Yes","Failed","Completed")</f>
        <v>Completed</v>
      </c>
      <c r="AN842">
        <f>Lab_Data[[#This Row],[YearsAtCompany]]</f>
        <v>8</v>
      </c>
      <c r="AO842" t="str">
        <f>IF(Lab_Data[[#This Row],[PerformanceRating]]&gt;=3,"Approved","Review Required")</f>
        <v>Approved</v>
      </c>
    </row>
    <row r="843" spans="1:41"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t="str">
        <f>"LAB-"&amp;Lab_Data[[#This Row],[EmployeeNumber]]</f>
        <v>LAB-1173</v>
      </c>
      <c r="AK843" t="str">
        <f>Lab_Data[[#This Row],[JobRole]]</f>
        <v>Laboratory Technician</v>
      </c>
      <c r="AL843" t="str">
        <f>Lab_Data[[#This Row],[Department]]</f>
        <v>Research &amp; Development</v>
      </c>
      <c r="AM843" t="str">
        <f>IF(Lab_Data[[#This Row],[Attrition]]="Yes","Failed","Completed")</f>
        <v>Completed</v>
      </c>
      <c r="AN843">
        <f>Lab_Data[[#This Row],[YearsAtCompany]]</f>
        <v>4</v>
      </c>
      <c r="AO843" t="str">
        <f>IF(Lab_Data[[#This Row],[PerformanceRating]]&gt;=3,"Approved","Review Required")</f>
        <v>Approved</v>
      </c>
    </row>
    <row r="844" spans="1:41"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t="str">
        <f>"LAB-"&amp;Lab_Data[[#This Row],[EmployeeNumber]]</f>
        <v>LAB-1175</v>
      </c>
      <c r="AK844" t="str">
        <f>Lab_Data[[#This Row],[JobRole]]</f>
        <v>Laboratory Technician</v>
      </c>
      <c r="AL844" t="str">
        <f>Lab_Data[[#This Row],[Department]]</f>
        <v>Research &amp; Development</v>
      </c>
      <c r="AM844" t="str">
        <f>IF(Lab_Data[[#This Row],[Attrition]]="Yes","Failed","Completed")</f>
        <v>Failed</v>
      </c>
      <c r="AN844">
        <f>Lab_Data[[#This Row],[YearsAtCompany]]</f>
        <v>1</v>
      </c>
      <c r="AO844" t="str">
        <f>IF(Lab_Data[[#This Row],[PerformanceRating]]&gt;=3,"Approved","Review Required")</f>
        <v>Approved</v>
      </c>
    </row>
    <row r="845" spans="1:41"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t="str">
        <f>"LAB-"&amp;Lab_Data[[#This Row],[EmployeeNumber]]</f>
        <v>LAB-1177</v>
      </c>
      <c r="AK845" t="str">
        <f>Lab_Data[[#This Row],[JobRole]]</f>
        <v>Laboratory Technician</v>
      </c>
      <c r="AL845" t="str">
        <f>Lab_Data[[#This Row],[Department]]</f>
        <v>Research &amp; Development</v>
      </c>
      <c r="AM845" t="str">
        <f>IF(Lab_Data[[#This Row],[Attrition]]="Yes","Failed","Completed")</f>
        <v>Completed</v>
      </c>
      <c r="AN845">
        <f>Lab_Data[[#This Row],[YearsAtCompany]]</f>
        <v>8</v>
      </c>
      <c r="AO845" t="str">
        <f>IF(Lab_Data[[#This Row],[PerformanceRating]]&gt;=3,"Approved","Review Required")</f>
        <v>Approved</v>
      </c>
    </row>
    <row r="846" spans="1:41"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t="str">
        <f>"LAB-"&amp;Lab_Data[[#This Row],[EmployeeNumber]]</f>
        <v>LAB-1179</v>
      </c>
      <c r="AK846" t="str">
        <f>Lab_Data[[#This Row],[JobRole]]</f>
        <v>Sales Executive</v>
      </c>
      <c r="AL846" t="str">
        <f>Lab_Data[[#This Row],[Department]]</f>
        <v>Sales</v>
      </c>
      <c r="AM846" t="str">
        <f>IF(Lab_Data[[#This Row],[Attrition]]="Yes","Failed","Completed")</f>
        <v>Completed</v>
      </c>
      <c r="AN846">
        <f>Lab_Data[[#This Row],[YearsAtCompany]]</f>
        <v>10</v>
      </c>
      <c r="AO846" t="str">
        <f>IF(Lab_Data[[#This Row],[PerformanceRating]]&gt;=3,"Approved","Review Required")</f>
        <v>Approved</v>
      </c>
    </row>
    <row r="847" spans="1:41"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t="str">
        <f>"LAB-"&amp;Lab_Data[[#This Row],[EmployeeNumber]]</f>
        <v>LAB-1180</v>
      </c>
      <c r="AK847" t="str">
        <f>Lab_Data[[#This Row],[JobRole]]</f>
        <v>Research Scientist</v>
      </c>
      <c r="AL847" t="str">
        <f>Lab_Data[[#This Row],[Department]]</f>
        <v>Research &amp; Development</v>
      </c>
      <c r="AM847" t="str">
        <f>IF(Lab_Data[[#This Row],[Attrition]]="Yes","Failed","Completed")</f>
        <v>Completed</v>
      </c>
      <c r="AN847">
        <f>Lab_Data[[#This Row],[YearsAtCompany]]</f>
        <v>1</v>
      </c>
      <c r="AO847" t="str">
        <f>IF(Lab_Data[[#This Row],[PerformanceRating]]&gt;=3,"Approved","Review Required")</f>
        <v>Approved</v>
      </c>
    </row>
    <row r="848" spans="1:41"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t="str">
        <f>"LAB-"&amp;Lab_Data[[#This Row],[EmployeeNumber]]</f>
        <v>LAB-1182</v>
      </c>
      <c r="AK848" t="str">
        <f>Lab_Data[[#This Row],[JobRole]]</f>
        <v>Manufacturing Director</v>
      </c>
      <c r="AL848" t="str">
        <f>Lab_Data[[#This Row],[Department]]</f>
        <v>Research &amp; Development</v>
      </c>
      <c r="AM848" t="str">
        <f>IF(Lab_Data[[#This Row],[Attrition]]="Yes","Failed","Completed")</f>
        <v>Completed</v>
      </c>
      <c r="AN848">
        <f>Lab_Data[[#This Row],[YearsAtCompany]]</f>
        <v>7</v>
      </c>
      <c r="AO848" t="str">
        <f>IF(Lab_Data[[#This Row],[PerformanceRating]]&gt;=3,"Approved","Review Required")</f>
        <v>Approved</v>
      </c>
    </row>
    <row r="849" spans="1:41"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t="str">
        <f>"LAB-"&amp;Lab_Data[[#This Row],[EmployeeNumber]]</f>
        <v>LAB-1184</v>
      </c>
      <c r="AK849" t="str">
        <f>Lab_Data[[#This Row],[JobRole]]</f>
        <v>Healthcare Representative</v>
      </c>
      <c r="AL849" t="str">
        <f>Lab_Data[[#This Row],[Department]]</f>
        <v>Research &amp; Development</v>
      </c>
      <c r="AM849" t="str">
        <f>IF(Lab_Data[[#This Row],[Attrition]]="Yes","Failed","Completed")</f>
        <v>Completed</v>
      </c>
      <c r="AN849">
        <f>Lab_Data[[#This Row],[YearsAtCompany]]</f>
        <v>13</v>
      </c>
      <c r="AO849" t="str">
        <f>IF(Lab_Data[[#This Row],[PerformanceRating]]&gt;=3,"Approved","Review Required")</f>
        <v>Approved</v>
      </c>
    </row>
    <row r="850" spans="1:41"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t="str">
        <f>"LAB-"&amp;Lab_Data[[#This Row],[EmployeeNumber]]</f>
        <v>LAB-1185</v>
      </c>
      <c r="AK850" t="str">
        <f>Lab_Data[[#This Row],[JobRole]]</f>
        <v>Laboratory Technician</v>
      </c>
      <c r="AL850" t="str">
        <f>Lab_Data[[#This Row],[Department]]</f>
        <v>Research &amp; Development</v>
      </c>
      <c r="AM850" t="str">
        <f>IF(Lab_Data[[#This Row],[Attrition]]="Yes","Failed","Completed")</f>
        <v>Completed</v>
      </c>
      <c r="AN850">
        <f>Lab_Data[[#This Row],[YearsAtCompany]]</f>
        <v>2</v>
      </c>
      <c r="AO850" t="str">
        <f>IF(Lab_Data[[#This Row],[PerformanceRating]]&gt;=3,"Approved","Review Required")</f>
        <v>Approved</v>
      </c>
    </row>
    <row r="851" spans="1:41"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t="str">
        <f>"LAB-"&amp;Lab_Data[[#This Row],[EmployeeNumber]]</f>
        <v>LAB-1188</v>
      </c>
      <c r="AK851" t="str">
        <f>Lab_Data[[#This Row],[JobRole]]</f>
        <v>Sales Executive</v>
      </c>
      <c r="AL851" t="str">
        <f>Lab_Data[[#This Row],[Department]]</f>
        <v>Sales</v>
      </c>
      <c r="AM851" t="str">
        <f>IF(Lab_Data[[#This Row],[Attrition]]="Yes","Failed","Completed")</f>
        <v>Failed</v>
      </c>
      <c r="AN851">
        <f>Lab_Data[[#This Row],[YearsAtCompany]]</f>
        <v>4</v>
      </c>
      <c r="AO851" t="str">
        <f>IF(Lab_Data[[#This Row],[PerformanceRating]]&gt;=3,"Approved","Review Required")</f>
        <v>Approved</v>
      </c>
    </row>
    <row r="852" spans="1:41"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t="str">
        <f>"LAB-"&amp;Lab_Data[[#This Row],[EmployeeNumber]]</f>
        <v>LAB-1190</v>
      </c>
      <c r="AK852" t="str">
        <f>Lab_Data[[#This Row],[JobRole]]</f>
        <v>Sales Representative</v>
      </c>
      <c r="AL852" t="str">
        <f>Lab_Data[[#This Row],[Department]]</f>
        <v>Sales</v>
      </c>
      <c r="AM852" t="str">
        <f>IF(Lab_Data[[#This Row],[Attrition]]="Yes","Failed","Completed")</f>
        <v>Completed</v>
      </c>
      <c r="AN852">
        <f>Lab_Data[[#This Row],[YearsAtCompany]]</f>
        <v>1</v>
      </c>
      <c r="AO852" t="str">
        <f>IF(Lab_Data[[#This Row],[PerformanceRating]]&gt;=3,"Approved","Review Required")</f>
        <v>Approved</v>
      </c>
    </row>
    <row r="853" spans="1:41"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t="str">
        <f>"LAB-"&amp;Lab_Data[[#This Row],[EmployeeNumber]]</f>
        <v>LAB-1191</v>
      </c>
      <c r="AK853" t="str">
        <f>Lab_Data[[#This Row],[JobRole]]</f>
        <v>Manager</v>
      </c>
      <c r="AL853" t="str">
        <f>Lab_Data[[#This Row],[Department]]</f>
        <v>Research &amp; Development</v>
      </c>
      <c r="AM853" t="str">
        <f>IF(Lab_Data[[#This Row],[Attrition]]="Yes","Failed","Completed")</f>
        <v>Completed</v>
      </c>
      <c r="AN853">
        <f>Lab_Data[[#This Row],[YearsAtCompany]]</f>
        <v>5</v>
      </c>
      <c r="AO853" t="str">
        <f>IF(Lab_Data[[#This Row],[PerformanceRating]]&gt;=3,"Approved","Review Required")</f>
        <v>Approved</v>
      </c>
    </row>
    <row r="854" spans="1:41"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t="str">
        <f>"LAB-"&amp;Lab_Data[[#This Row],[EmployeeNumber]]</f>
        <v>LAB-1192</v>
      </c>
      <c r="AK854" t="str">
        <f>Lab_Data[[#This Row],[JobRole]]</f>
        <v>Laboratory Technician</v>
      </c>
      <c r="AL854" t="str">
        <f>Lab_Data[[#This Row],[Department]]</f>
        <v>Research &amp; Development</v>
      </c>
      <c r="AM854" t="str">
        <f>IF(Lab_Data[[#This Row],[Attrition]]="Yes","Failed","Completed")</f>
        <v>Completed</v>
      </c>
      <c r="AN854">
        <f>Lab_Data[[#This Row],[YearsAtCompany]]</f>
        <v>10</v>
      </c>
      <c r="AO854" t="str">
        <f>IF(Lab_Data[[#This Row],[PerformanceRating]]&gt;=3,"Approved","Review Required")</f>
        <v>Approved</v>
      </c>
    </row>
    <row r="855" spans="1:41"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t="str">
        <f>"LAB-"&amp;Lab_Data[[#This Row],[EmployeeNumber]]</f>
        <v>LAB-1193</v>
      </c>
      <c r="AK855" t="str">
        <f>Lab_Data[[#This Row],[JobRole]]</f>
        <v>Research Scientist</v>
      </c>
      <c r="AL855" t="str">
        <f>Lab_Data[[#This Row],[Department]]</f>
        <v>Research &amp; Development</v>
      </c>
      <c r="AM855" t="str">
        <f>IF(Lab_Data[[#This Row],[Attrition]]="Yes","Failed","Completed")</f>
        <v>Completed</v>
      </c>
      <c r="AN855">
        <f>Lab_Data[[#This Row],[YearsAtCompany]]</f>
        <v>1</v>
      </c>
      <c r="AO855" t="str">
        <f>IF(Lab_Data[[#This Row],[PerformanceRating]]&gt;=3,"Approved","Review Required")</f>
        <v>Approved</v>
      </c>
    </row>
    <row r="856" spans="1:41"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t="str">
        <f>"LAB-"&amp;Lab_Data[[#This Row],[EmployeeNumber]]</f>
        <v>LAB-1195</v>
      </c>
      <c r="AK856" t="str">
        <f>Lab_Data[[#This Row],[JobRole]]</f>
        <v>Research Scientist</v>
      </c>
      <c r="AL856" t="str">
        <f>Lab_Data[[#This Row],[Department]]</f>
        <v>Research &amp; Development</v>
      </c>
      <c r="AM856" t="str">
        <f>IF(Lab_Data[[#This Row],[Attrition]]="Yes","Failed","Completed")</f>
        <v>Completed</v>
      </c>
      <c r="AN856">
        <f>Lab_Data[[#This Row],[YearsAtCompany]]</f>
        <v>3</v>
      </c>
      <c r="AO856" t="str">
        <f>IF(Lab_Data[[#This Row],[PerformanceRating]]&gt;=3,"Approved","Review Required")</f>
        <v>Approved</v>
      </c>
    </row>
    <row r="857" spans="1:41"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t="str">
        <f>"LAB-"&amp;Lab_Data[[#This Row],[EmployeeNumber]]</f>
        <v>LAB-1196</v>
      </c>
      <c r="AK857" t="str">
        <f>Lab_Data[[#This Row],[JobRole]]</f>
        <v>Manufacturing Director</v>
      </c>
      <c r="AL857" t="str">
        <f>Lab_Data[[#This Row],[Department]]</f>
        <v>Research &amp; Development</v>
      </c>
      <c r="AM857" t="str">
        <f>IF(Lab_Data[[#This Row],[Attrition]]="Yes","Failed","Completed")</f>
        <v>Completed</v>
      </c>
      <c r="AN857">
        <f>Lab_Data[[#This Row],[YearsAtCompany]]</f>
        <v>14</v>
      </c>
      <c r="AO857" t="str">
        <f>IF(Lab_Data[[#This Row],[PerformanceRating]]&gt;=3,"Approved","Review Required")</f>
        <v>Approved</v>
      </c>
    </row>
    <row r="858" spans="1:41"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t="str">
        <f>"LAB-"&amp;Lab_Data[[#This Row],[EmployeeNumber]]</f>
        <v>LAB-1198</v>
      </c>
      <c r="AK858" t="str">
        <f>Lab_Data[[#This Row],[JobRole]]</f>
        <v>Laboratory Technician</v>
      </c>
      <c r="AL858" t="str">
        <f>Lab_Data[[#This Row],[Department]]</f>
        <v>Research &amp; Development</v>
      </c>
      <c r="AM858" t="str">
        <f>IF(Lab_Data[[#This Row],[Attrition]]="Yes","Failed","Completed")</f>
        <v>Completed</v>
      </c>
      <c r="AN858">
        <f>Lab_Data[[#This Row],[YearsAtCompany]]</f>
        <v>2</v>
      </c>
      <c r="AO858" t="str">
        <f>IF(Lab_Data[[#This Row],[PerformanceRating]]&gt;=3,"Approved","Review Required")</f>
        <v>Approved</v>
      </c>
    </row>
    <row r="859" spans="1:41"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t="str">
        <f>"LAB-"&amp;Lab_Data[[#This Row],[EmployeeNumber]]</f>
        <v>LAB-1200</v>
      </c>
      <c r="AK859" t="str">
        <f>Lab_Data[[#This Row],[JobRole]]</f>
        <v>Research Scientist</v>
      </c>
      <c r="AL859" t="str">
        <f>Lab_Data[[#This Row],[Department]]</f>
        <v>Research &amp; Development</v>
      </c>
      <c r="AM859" t="str">
        <f>IF(Lab_Data[[#This Row],[Attrition]]="Yes","Failed","Completed")</f>
        <v>Failed</v>
      </c>
      <c r="AN859">
        <f>Lab_Data[[#This Row],[YearsAtCompany]]</f>
        <v>6</v>
      </c>
      <c r="AO859" t="str">
        <f>IF(Lab_Data[[#This Row],[PerformanceRating]]&gt;=3,"Approved","Review Required")</f>
        <v>Approved</v>
      </c>
    </row>
    <row r="860" spans="1:41"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t="str">
        <f>"LAB-"&amp;Lab_Data[[#This Row],[EmployeeNumber]]</f>
        <v>LAB-1201</v>
      </c>
      <c r="AK860" t="str">
        <f>Lab_Data[[#This Row],[JobRole]]</f>
        <v>Manager</v>
      </c>
      <c r="AL860" t="str">
        <f>Lab_Data[[#This Row],[Department]]</f>
        <v>Research &amp; Development</v>
      </c>
      <c r="AM860" t="str">
        <f>IF(Lab_Data[[#This Row],[Attrition]]="Yes","Failed","Completed")</f>
        <v>Completed</v>
      </c>
      <c r="AN860">
        <f>Lab_Data[[#This Row],[YearsAtCompany]]</f>
        <v>7</v>
      </c>
      <c r="AO860" t="str">
        <f>IF(Lab_Data[[#This Row],[PerformanceRating]]&gt;=3,"Approved","Review Required")</f>
        <v>Approved</v>
      </c>
    </row>
    <row r="861" spans="1:41"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t="str">
        <f>"LAB-"&amp;Lab_Data[[#This Row],[EmployeeNumber]]</f>
        <v>LAB-1202</v>
      </c>
      <c r="AK861" t="str">
        <f>Lab_Data[[#This Row],[JobRole]]</f>
        <v>Research Scientist</v>
      </c>
      <c r="AL861" t="str">
        <f>Lab_Data[[#This Row],[Department]]</f>
        <v>Research &amp; Development</v>
      </c>
      <c r="AM861" t="str">
        <f>IF(Lab_Data[[#This Row],[Attrition]]="Yes","Failed","Completed")</f>
        <v>Completed</v>
      </c>
      <c r="AN861">
        <f>Lab_Data[[#This Row],[YearsAtCompany]]</f>
        <v>5</v>
      </c>
      <c r="AO861" t="str">
        <f>IF(Lab_Data[[#This Row],[PerformanceRating]]&gt;=3,"Approved","Review Required")</f>
        <v>Approved</v>
      </c>
    </row>
    <row r="862" spans="1:41"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t="str">
        <f>"LAB-"&amp;Lab_Data[[#This Row],[EmployeeNumber]]</f>
        <v>LAB-1203</v>
      </c>
      <c r="AK862" t="str">
        <f>Lab_Data[[#This Row],[JobRole]]</f>
        <v>Research Scientist</v>
      </c>
      <c r="AL862" t="str">
        <f>Lab_Data[[#This Row],[Department]]</f>
        <v>Research &amp; Development</v>
      </c>
      <c r="AM862" t="str">
        <f>IF(Lab_Data[[#This Row],[Attrition]]="Yes","Failed","Completed")</f>
        <v>Failed</v>
      </c>
      <c r="AN862">
        <f>Lab_Data[[#This Row],[YearsAtCompany]]</f>
        <v>0</v>
      </c>
      <c r="AO862" t="str">
        <f>IF(Lab_Data[[#This Row],[PerformanceRating]]&gt;=3,"Approved","Review Required")</f>
        <v>Approved</v>
      </c>
    </row>
    <row r="863" spans="1:41"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t="str">
        <f>"LAB-"&amp;Lab_Data[[#This Row],[EmployeeNumber]]</f>
        <v>LAB-1204</v>
      </c>
      <c r="AK863" t="str">
        <f>Lab_Data[[#This Row],[JobRole]]</f>
        <v>Manager</v>
      </c>
      <c r="AL863" t="str">
        <f>Lab_Data[[#This Row],[Department]]</f>
        <v>Sales</v>
      </c>
      <c r="AM863" t="str">
        <f>IF(Lab_Data[[#This Row],[Attrition]]="Yes","Failed","Completed")</f>
        <v>Completed</v>
      </c>
      <c r="AN863">
        <f>Lab_Data[[#This Row],[YearsAtCompany]]</f>
        <v>26</v>
      </c>
      <c r="AO863" t="str">
        <f>IF(Lab_Data[[#This Row],[PerformanceRating]]&gt;=3,"Approved","Review Required")</f>
        <v>Approved</v>
      </c>
    </row>
    <row r="864" spans="1:41"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t="str">
        <f>"LAB-"&amp;Lab_Data[[#This Row],[EmployeeNumber]]</f>
        <v>LAB-1206</v>
      </c>
      <c r="AK864" t="str">
        <f>Lab_Data[[#This Row],[JobRole]]</f>
        <v>Research Scientist</v>
      </c>
      <c r="AL864" t="str">
        <f>Lab_Data[[#This Row],[Department]]</f>
        <v>Research &amp; Development</v>
      </c>
      <c r="AM864" t="str">
        <f>IF(Lab_Data[[#This Row],[Attrition]]="Yes","Failed","Completed")</f>
        <v>Completed</v>
      </c>
      <c r="AN864">
        <f>Lab_Data[[#This Row],[YearsAtCompany]]</f>
        <v>0</v>
      </c>
      <c r="AO864" t="str">
        <f>IF(Lab_Data[[#This Row],[PerformanceRating]]&gt;=3,"Approved","Review Required")</f>
        <v>Approved</v>
      </c>
    </row>
    <row r="865" spans="1:41"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t="str">
        <f>"LAB-"&amp;Lab_Data[[#This Row],[EmployeeNumber]]</f>
        <v>LAB-1207</v>
      </c>
      <c r="AK865" t="str">
        <f>Lab_Data[[#This Row],[JobRole]]</f>
        <v>Human Resources</v>
      </c>
      <c r="AL865" t="str">
        <f>Lab_Data[[#This Row],[Department]]</f>
        <v>Human Resources</v>
      </c>
      <c r="AM865" t="str">
        <f>IF(Lab_Data[[#This Row],[Attrition]]="Yes","Failed","Completed")</f>
        <v>Completed</v>
      </c>
      <c r="AN865">
        <f>Lab_Data[[#This Row],[YearsAtCompany]]</f>
        <v>5</v>
      </c>
      <c r="AO865" t="str">
        <f>IF(Lab_Data[[#This Row],[PerformanceRating]]&gt;=3,"Approved","Review Required")</f>
        <v>Approved</v>
      </c>
    </row>
    <row r="866" spans="1:41"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t="str">
        <f>"LAB-"&amp;Lab_Data[[#This Row],[EmployeeNumber]]</f>
        <v>LAB-1210</v>
      </c>
      <c r="AK866" t="str">
        <f>Lab_Data[[#This Row],[JobRole]]</f>
        <v>Research Scientist</v>
      </c>
      <c r="AL866" t="str">
        <f>Lab_Data[[#This Row],[Department]]</f>
        <v>Research &amp; Development</v>
      </c>
      <c r="AM866" t="str">
        <f>IF(Lab_Data[[#This Row],[Attrition]]="Yes","Failed","Completed")</f>
        <v>Failed</v>
      </c>
      <c r="AN866">
        <f>Lab_Data[[#This Row],[YearsAtCompany]]</f>
        <v>1</v>
      </c>
      <c r="AO866" t="str">
        <f>IF(Lab_Data[[#This Row],[PerformanceRating]]&gt;=3,"Approved","Review Required")</f>
        <v>Approved</v>
      </c>
    </row>
    <row r="867" spans="1:41"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t="str">
        <f>"LAB-"&amp;Lab_Data[[#This Row],[EmployeeNumber]]</f>
        <v>LAB-1211</v>
      </c>
      <c r="AK867" t="str">
        <f>Lab_Data[[#This Row],[JobRole]]</f>
        <v>Sales Executive</v>
      </c>
      <c r="AL867" t="str">
        <f>Lab_Data[[#This Row],[Department]]</f>
        <v>Sales</v>
      </c>
      <c r="AM867" t="str">
        <f>IF(Lab_Data[[#This Row],[Attrition]]="Yes","Failed","Completed")</f>
        <v>Completed</v>
      </c>
      <c r="AN867">
        <f>Lab_Data[[#This Row],[YearsAtCompany]]</f>
        <v>4</v>
      </c>
      <c r="AO867" t="str">
        <f>IF(Lab_Data[[#This Row],[PerformanceRating]]&gt;=3,"Approved","Review Required")</f>
        <v>Approved</v>
      </c>
    </row>
    <row r="868" spans="1:41"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t="str">
        <f>"LAB-"&amp;Lab_Data[[#This Row],[EmployeeNumber]]</f>
        <v>LAB-1212</v>
      </c>
      <c r="AK868" t="str">
        <f>Lab_Data[[#This Row],[JobRole]]</f>
        <v>Sales Executive</v>
      </c>
      <c r="AL868" t="str">
        <f>Lab_Data[[#This Row],[Department]]</f>
        <v>Sales</v>
      </c>
      <c r="AM868" t="str">
        <f>IF(Lab_Data[[#This Row],[Attrition]]="Yes","Failed","Completed")</f>
        <v>Completed</v>
      </c>
      <c r="AN868">
        <f>Lab_Data[[#This Row],[YearsAtCompany]]</f>
        <v>0</v>
      </c>
      <c r="AO868" t="str">
        <f>IF(Lab_Data[[#This Row],[PerformanceRating]]&gt;=3,"Approved","Review Required")</f>
        <v>Approved</v>
      </c>
    </row>
    <row r="869" spans="1:41"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t="str">
        <f>"LAB-"&amp;Lab_Data[[#This Row],[EmployeeNumber]]</f>
        <v>LAB-1215</v>
      </c>
      <c r="AK869" t="str">
        <f>Lab_Data[[#This Row],[JobRole]]</f>
        <v>Manager</v>
      </c>
      <c r="AL869" t="str">
        <f>Lab_Data[[#This Row],[Department]]</f>
        <v>Research &amp; Development</v>
      </c>
      <c r="AM869" t="str">
        <f>IF(Lab_Data[[#This Row],[Attrition]]="Yes","Failed","Completed")</f>
        <v>Completed</v>
      </c>
      <c r="AN869">
        <f>Lab_Data[[#This Row],[YearsAtCompany]]</f>
        <v>2</v>
      </c>
      <c r="AO869" t="str">
        <f>IF(Lab_Data[[#This Row],[PerformanceRating]]&gt;=3,"Approved","Review Required")</f>
        <v>Approved</v>
      </c>
    </row>
    <row r="870" spans="1:41"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t="str">
        <f>"LAB-"&amp;Lab_Data[[#This Row],[EmployeeNumber]]</f>
        <v>LAB-1216</v>
      </c>
      <c r="AK870" t="str">
        <f>Lab_Data[[#This Row],[JobRole]]</f>
        <v>Laboratory Technician</v>
      </c>
      <c r="AL870" t="str">
        <f>Lab_Data[[#This Row],[Department]]</f>
        <v>Research &amp; Development</v>
      </c>
      <c r="AM870" t="str">
        <f>IF(Lab_Data[[#This Row],[Attrition]]="Yes","Failed","Completed")</f>
        <v>Completed</v>
      </c>
      <c r="AN870">
        <f>Lab_Data[[#This Row],[YearsAtCompany]]</f>
        <v>6</v>
      </c>
      <c r="AO870" t="str">
        <f>IF(Lab_Data[[#This Row],[PerformanceRating]]&gt;=3,"Approved","Review Required")</f>
        <v>Approved</v>
      </c>
    </row>
    <row r="871" spans="1:41"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t="str">
        <f>"LAB-"&amp;Lab_Data[[#This Row],[EmployeeNumber]]</f>
        <v>LAB-1217</v>
      </c>
      <c r="AK871" t="str">
        <f>Lab_Data[[#This Row],[JobRole]]</f>
        <v>Research Director</v>
      </c>
      <c r="AL871" t="str">
        <f>Lab_Data[[#This Row],[Department]]</f>
        <v>Research &amp; Development</v>
      </c>
      <c r="AM871" t="str">
        <f>IF(Lab_Data[[#This Row],[Attrition]]="Yes","Failed","Completed")</f>
        <v>Completed</v>
      </c>
      <c r="AN871">
        <f>Lab_Data[[#This Row],[YearsAtCompany]]</f>
        <v>4</v>
      </c>
      <c r="AO871" t="str">
        <f>IF(Lab_Data[[#This Row],[PerformanceRating]]&gt;=3,"Approved","Review Required")</f>
        <v>Approved</v>
      </c>
    </row>
    <row r="872" spans="1:41"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t="str">
        <f>"LAB-"&amp;Lab_Data[[#This Row],[EmployeeNumber]]</f>
        <v>LAB-1218</v>
      </c>
      <c r="AK872" t="str">
        <f>Lab_Data[[#This Row],[JobRole]]</f>
        <v>Sales Executive</v>
      </c>
      <c r="AL872" t="str">
        <f>Lab_Data[[#This Row],[Department]]</f>
        <v>Sales</v>
      </c>
      <c r="AM872" t="str">
        <f>IF(Lab_Data[[#This Row],[Attrition]]="Yes","Failed","Completed")</f>
        <v>Completed</v>
      </c>
      <c r="AN872">
        <f>Lab_Data[[#This Row],[YearsAtCompany]]</f>
        <v>7</v>
      </c>
      <c r="AO872" t="str">
        <f>IF(Lab_Data[[#This Row],[PerformanceRating]]&gt;=3,"Approved","Review Required")</f>
        <v>Approved</v>
      </c>
    </row>
    <row r="873" spans="1:41"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t="str">
        <f>"LAB-"&amp;Lab_Data[[#This Row],[EmployeeNumber]]</f>
        <v>LAB-1219</v>
      </c>
      <c r="AK873" t="str">
        <f>Lab_Data[[#This Row],[JobRole]]</f>
        <v>Laboratory Technician</v>
      </c>
      <c r="AL873" t="str">
        <f>Lab_Data[[#This Row],[Department]]</f>
        <v>Research &amp; Development</v>
      </c>
      <c r="AM873" t="str">
        <f>IF(Lab_Data[[#This Row],[Attrition]]="Yes","Failed","Completed")</f>
        <v>Failed</v>
      </c>
      <c r="AN873">
        <f>Lab_Data[[#This Row],[YearsAtCompany]]</f>
        <v>1</v>
      </c>
      <c r="AO873" t="str">
        <f>IF(Lab_Data[[#This Row],[PerformanceRating]]&gt;=3,"Approved","Review Required")</f>
        <v>Approved</v>
      </c>
    </row>
    <row r="874" spans="1:41"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t="str">
        <f>"LAB-"&amp;Lab_Data[[#This Row],[EmployeeNumber]]</f>
        <v>LAB-1220</v>
      </c>
      <c r="AK874" t="str">
        <f>Lab_Data[[#This Row],[JobRole]]</f>
        <v>Sales Executive</v>
      </c>
      <c r="AL874" t="str">
        <f>Lab_Data[[#This Row],[Department]]</f>
        <v>Sales</v>
      </c>
      <c r="AM874" t="str">
        <f>IF(Lab_Data[[#This Row],[Attrition]]="Yes","Failed","Completed")</f>
        <v>Completed</v>
      </c>
      <c r="AN874">
        <f>Lab_Data[[#This Row],[YearsAtCompany]]</f>
        <v>10</v>
      </c>
      <c r="AO874" t="str">
        <f>IF(Lab_Data[[#This Row],[PerformanceRating]]&gt;=3,"Approved","Review Required")</f>
        <v>Approved</v>
      </c>
    </row>
    <row r="875" spans="1:41"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t="str">
        <f>"LAB-"&amp;Lab_Data[[#This Row],[EmployeeNumber]]</f>
        <v>LAB-1221</v>
      </c>
      <c r="AK875" t="str">
        <f>Lab_Data[[#This Row],[JobRole]]</f>
        <v>Laboratory Technician</v>
      </c>
      <c r="AL875" t="str">
        <f>Lab_Data[[#This Row],[Department]]</f>
        <v>Research &amp; Development</v>
      </c>
      <c r="AM875" t="str">
        <f>IF(Lab_Data[[#This Row],[Attrition]]="Yes","Failed","Completed")</f>
        <v>Completed</v>
      </c>
      <c r="AN875">
        <f>Lab_Data[[#This Row],[YearsAtCompany]]</f>
        <v>7</v>
      </c>
      <c r="AO875" t="str">
        <f>IF(Lab_Data[[#This Row],[PerformanceRating]]&gt;=3,"Approved","Review Required")</f>
        <v>Approved</v>
      </c>
    </row>
    <row r="876" spans="1:41"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t="str">
        <f>"LAB-"&amp;Lab_Data[[#This Row],[EmployeeNumber]]</f>
        <v>LAB-1224</v>
      </c>
      <c r="AK876" t="str">
        <f>Lab_Data[[#This Row],[JobRole]]</f>
        <v>Laboratory Technician</v>
      </c>
      <c r="AL876" t="str">
        <f>Lab_Data[[#This Row],[Department]]</f>
        <v>Research &amp; Development</v>
      </c>
      <c r="AM876" t="str">
        <f>IF(Lab_Data[[#This Row],[Attrition]]="Yes","Failed","Completed")</f>
        <v>Completed</v>
      </c>
      <c r="AN876">
        <f>Lab_Data[[#This Row],[YearsAtCompany]]</f>
        <v>10</v>
      </c>
      <c r="AO876" t="str">
        <f>IF(Lab_Data[[#This Row],[PerformanceRating]]&gt;=3,"Approved","Review Required")</f>
        <v>Approved</v>
      </c>
    </row>
    <row r="877" spans="1:41"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t="str">
        <f>"LAB-"&amp;Lab_Data[[#This Row],[EmployeeNumber]]</f>
        <v>LAB-1225</v>
      </c>
      <c r="AK877" t="str">
        <f>Lab_Data[[#This Row],[JobRole]]</f>
        <v>Research Scientist</v>
      </c>
      <c r="AL877" t="str">
        <f>Lab_Data[[#This Row],[Department]]</f>
        <v>Research &amp; Development</v>
      </c>
      <c r="AM877" t="str">
        <f>IF(Lab_Data[[#This Row],[Attrition]]="Yes","Failed","Completed")</f>
        <v>Completed</v>
      </c>
      <c r="AN877">
        <f>Lab_Data[[#This Row],[YearsAtCompany]]</f>
        <v>20</v>
      </c>
      <c r="AO877" t="str">
        <f>IF(Lab_Data[[#This Row],[PerformanceRating]]&gt;=3,"Approved","Review Required")</f>
        <v>Approved</v>
      </c>
    </row>
    <row r="878" spans="1:41"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t="str">
        <f>"LAB-"&amp;Lab_Data[[#This Row],[EmployeeNumber]]</f>
        <v>LAB-1226</v>
      </c>
      <c r="AK878" t="str">
        <f>Lab_Data[[#This Row],[JobRole]]</f>
        <v>Sales Representative</v>
      </c>
      <c r="AL878" t="str">
        <f>Lab_Data[[#This Row],[Department]]</f>
        <v>Sales</v>
      </c>
      <c r="AM878" t="str">
        <f>IF(Lab_Data[[#This Row],[Attrition]]="Yes","Failed","Completed")</f>
        <v>Completed</v>
      </c>
      <c r="AN878">
        <f>Lab_Data[[#This Row],[YearsAtCompany]]</f>
        <v>2</v>
      </c>
      <c r="AO878" t="str">
        <f>IF(Lab_Data[[#This Row],[PerformanceRating]]&gt;=3,"Approved","Review Required")</f>
        <v>Approved</v>
      </c>
    </row>
    <row r="879" spans="1:41"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t="str">
        <f>"LAB-"&amp;Lab_Data[[#This Row],[EmployeeNumber]]</f>
        <v>LAB-1228</v>
      </c>
      <c r="AK879" t="str">
        <f>Lab_Data[[#This Row],[JobRole]]</f>
        <v>Manufacturing Director</v>
      </c>
      <c r="AL879" t="str">
        <f>Lab_Data[[#This Row],[Department]]</f>
        <v>Research &amp; Development</v>
      </c>
      <c r="AM879" t="str">
        <f>IF(Lab_Data[[#This Row],[Attrition]]="Yes","Failed","Completed")</f>
        <v>Completed</v>
      </c>
      <c r="AN879">
        <f>Lab_Data[[#This Row],[YearsAtCompany]]</f>
        <v>6</v>
      </c>
      <c r="AO879" t="str">
        <f>IF(Lab_Data[[#This Row],[PerformanceRating]]&gt;=3,"Approved","Review Required")</f>
        <v>Approved</v>
      </c>
    </row>
    <row r="880" spans="1:41"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t="str">
        <f>"LAB-"&amp;Lab_Data[[#This Row],[EmployeeNumber]]</f>
        <v>LAB-1231</v>
      </c>
      <c r="AK880" t="str">
        <f>Lab_Data[[#This Row],[JobRole]]</f>
        <v>Human Resources</v>
      </c>
      <c r="AL880" t="str">
        <f>Lab_Data[[#This Row],[Department]]</f>
        <v>Human Resources</v>
      </c>
      <c r="AM880" t="str">
        <f>IF(Lab_Data[[#This Row],[Attrition]]="Yes","Failed","Completed")</f>
        <v>Completed</v>
      </c>
      <c r="AN880">
        <f>Lab_Data[[#This Row],[YearsAtCompany]]</f>
        <v>4</v>
      </c>
      <c r="AO880" t="str">
        <f>IF(Lab_Data[[#This Row],[PerformanceRating]]&gt;=3,"Approved","Review Required")</f>
        <v>Approved</v>
      </c>
    </row>
    <row r="881" spans="1:41"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t="str">
        <f>"LAB-"&amp;Lab_Data[[#This Row],[EmployeeNumber]]</f>
        <v>LAB-1233</v>
      </c>
      <c r="AK881" t="str">
        <f>Lab_Data[[#This Row],[JobRole]]</f>
        <v>Sales Executive</v>
      </c>
      <c r="AL881" t="str">
        <f>Lab_Data[[#This Row],[Department]]</f>
        <v>Sales</v>
      </c>
      <c r="AM881" t="str">
        <f>IF(Lab_Data[[#This Row],[Attrition]]="Yes","Failed","Completed")</f>
        <v>Completed</v>
      </c>
      <c r="AN881">
        <f>Lab_Data[[#This Row],[YearsAtCompany]]</f>
        <v>11</v>
      </c>
      <c r="AO881" t="str">
        <f>IF(Lab_Data[[#This Row],[PerformanceRating]]&gt;=3,"Approved","Review Required")</f>
        <v>Approved</v>
      </c>
    </row>
    <row r="882" spans="1:41"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t="str">
        <f>"LAB-"&amp;Lab_Data[[#This Row],[EmployeeNumber]]</f>
        <v>LAB-1234</v>
      </c>
      <c r="AK882" t="str">
        <f>Lab_Data[[#This Row],[JobRole]]</f>
        <v>Laboratory Technician</v>
      </c>
      <c r="AL882" t="str">
        <f>Lab_Data[[#This Row],[Department]]</f>
        <v>Research &amp; Development</v>
      </c>
      <c r="AM882" t="str">
        <f>IF(Lab_Data[[#This Row],[Attrition]]="Yes","Failed","Completed")</f>
        <v>Completed</v>
      </c>
      <c r="AN882">
        <f>Lab_Data[[#This Row],[YearsAtCompany]]</f>
        <v>2</v>
      </c>
      <c r="AO882" t="str">
        <f>IF(Lab_Data[[#This Row],[PerformanceRating]]&gt;=3,"Approved","Review Required")</f>
        <v>Approved</v>
      </c>
    </row>
    <row r="883" spans="1:41"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t="str">
        <f>"LAB-"&amp;Lab_Data[[#This Row],[EmployeeNumber]]</f>
        <v>LAB-1235</v>
      </c>
      <c r="AK883" t="str">
        <f>Lab_Data[[#This Row],[JobRole]]</f>
        <v>Research Scientist</v>
      </c>
      <c r="AL883" t="str">
        <f>Lab_Data[[#This Row],[Department]]</f>
        <v>Research &amp; Development</v>
      </c>
      <c r="AM883" t="str">
        <f>IF(Lab_Data[[#This Row],[Attrition]]="Yes","Failed","Completed")</f>
        <v>Completed</v>
      </c>
      <c r="AN883">
        <f>Lab_Data[[#This Row],[YearsAtCompany]]</f>
        <v>8</v>
      </c>
      <c r="AO883" t="str">
        <f>IF(Lab_Data[[#This Row],[PerformanceRating]]&gt;=3,"Approved","Review Required")</f>
        <v>Approved</v>
      </c>
    </row>
    <row r="884" spans="1:41"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t="str">
        <f>"LAB-"&amp;Lab_Data[[#This Row],[EmployeeNumber]]</f>
        <v>LAB-1237</v>
      </c>
      <c r="AK884" t="str">
        <f>Lab_Data[[#This Row],[JobRole]]</f>
        <v>Manufacturing Director</v>
      </c>
      <c r="AL884" t="str">
        <f>Lab_Data[[#This Row],[Department]]</f>
        <v>Research &amp; Development</v>
      </c>
      <c r="AM884" t="str">
        <f>IF(Lab_Data[[#This Row],[Attrition]]="Yes","Failed","Completed")</f>
        <v>Completed</v>
      </c>
      <c r="AN884">
        <f>Lab_Data[[#This Row],[YearsAtCompany]]</f>
        <v>7</v>
      </c>
      <c r="AO884" t="str">
        <f>IF(Lab_Data[[#This Row],[PerformanceRating]]&gt;=3,"Approved","Review Required")</f>
        <v>Approved</v>
      </c>
    </row>
    <row r="885" spans="1:41"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t="str">
        <f>"LAB-"&amp;Lab_Data[[#This Row],[EmployeeNumber]]</f>
        <v>LAB-1238</v>
      </c>
      <c r="AK885" t="str">
        <f>Lab_Data[[#This Row],[JobRole]]</f>
        <v>Research Scientist</v>
      </c>
      <c r="AL885" t="str">
        <f>Lab_Data[[#This Row],[Department]]</f>
        <v>Research &amp; Development</v>
      </c>
      <c r="AM885" t="str">
        <f>IF(Lab_Data[[#This Row],[Attrition]]="Yes","Failed","Completed")</f>
        <v>Completed</v>
      </c>
      <c r="AN885">
        <f>Lab_Data[[#This Row],[YearsAtCompany]]</f>
        <v>14</v>
      </c>
      <c r="AO885" t="str">
        <f>IF(Lab_Data[[#This Row],[PerformanceRating]]&gt;=3,"Approved","Review Required")</f>
        <v>Approved</v>
      </c>
    </row>
    <row r="886" spans="1:41"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t="str">
        <f>"LAB-"&amp;Lab_Data[[#This Row],[EmployeeNumber]]</f>
        <v>LAB-1239</v>
      </c>
      <c r="AK886" t="str">
        <f>Lab_Data[[#This Row],[JobRole]]</f>
        <v>Sales Executive</v>
      </c>
      <c r="AL886" t="str">
        <f>Lab_Data[[#This Row],[Department]]</f>
        <v>Sales</v>
      </c>
      <c r="AM886" t="str">
        <f>IF(Lab_Data[[#This Row],[Attrition]]="Yes","Failed","Completed")</f>
        <v>Completed</v>
      </c>
      <c r="AN886">
        <f>Lab_Data[[#This Row],[YearsAtCompany]]</f>
        <v>5</v>
      </c>
      <c r="AO886" t="str">
        <f>IF(Lab_Data[[#This Row],[PerformanceRating]]&gt;=3,"Approved","Review Required")</f>
        <v>Approved</v>
      </c>
    </row>
    <row r="887" spans="1:41"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t="str">
        <f>"LAB-"&amp;Lab_Data[[#This Row],[EmployeeNumber]]</f>
        <v>LAB-1240</v>
      </c>
      <c r="AK887" t="str">
        <f>Lab_Data[[#This Row],[JobRole]]</f>
        <v>Sales Executive</v>
      </c>
      <c r="AL887" t="str">
        <f>Lab_Data[[#This Row],[Department]]</f>
        <v>Sales</v>
      </c>
      <c r="AM887" t="str">
        <f>IF(Lab_Data[[#This Row],[Attrition]]="Yes","Failed","Completed")</f>
        <v>Completed</v>
      </c>
      <c r="AN887">
        <f>Lab_Data[[#This Row],[YearsAtCompany]]</f>
        <v>4</v>
      </c>
      <c r="AO887" t="str">
        <f>IF(Lab_Data[[#This Row],[PerformanceRating]]&gt;=3,"Approved","Review Required")</f>
        <v>Approved</v>
      </c>
    </row>
    <row r="888" spans="1:41"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t="str">
        <f>"LAB-"&amp;Lab_Data[[#This Row],[EmployeeNumber]]</f>
        <v>LAB-1241</v>
      </c>
      <c r="AK888" t="str">
        <f>Lab_Data[[#This Row],[JobRole]]</f>
        <v>Research Scientist</v>
      </c>
      <c r="AL888" t="str">
        <f>Lab_Data[[#This Row],[Department]]</f>
        <v>Research &amp; Development</v>
      </c>
      <c r="AM888" t="str">
        <f>IF(Lab_Data[[#This Row],[Attrition]]="Yes","Failed","Completed")</f>
        <v>Completed</v>
      </c>
      <c r="AN888">
        <f>Lab_Data[[#This Row],[YearsAtCompany]]</f>
        <v>11</v>
      </c>
      <c r="AO888" t="str">
        <f>IF(Lab_Data[[#This Row],[PerformanceRating]]&gt;=3,"Approved","Review Required")</f>
        <v>Approved</v>
      </c>
    </row>
    <row r="889" spans="1:41"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t="str">
        <f>"LAB-"&amp;Lab_Data[[#This Row],[EmployeeNumber]]</f>
        <v>LAB-1242</v>
      </c>
      <c r="AK889" t="str">
        <f>Lab_Data[[#This Row],[JobRole]]</f>
        <v>Research Director</v>
      </c>
      <c r="AL889" t="str">
        <f>Lab_Data[[#This Row],[Department]]</f>
        <v>Research &amp; Development</v>
      </c>
      <c r="AM889" t="str">
        <f>IF(Lab_Data[[#This Row],[Attrition]]="Yes","Failed","Completed")</f>
        <v>Completed</v>
      </c>
      <c r="AN889">
        <f>Lab_Data[[#This Row],[YearsAtCompany]]</f>
        <v>1</v>
      </c>
      <c r="AO889" t="str">
        <f>IF(Lab_Data[[#This Row],[PerformanceRating]]&gt;=3,"Approved","Review Required")</f>
        <v>Approved</v>
      </c>
    </row>
    <row r="890" spans="1:41"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t="str">
        <f>"LAB-"&amp;Lab_Data[[#This Row],[EmployeeNumber]]</f>
        <v>LAB-1243</v>
      </c>
      <c r="AK890" t="str">
        <f>Lab_Data[[#This Row],[JobRole]]</f>
        <v>Sales Executive</v>
      </c>
      <c r="AL890" t="str">
        <f>Lab_Data[[#This Row],[Department]]</f>
        <v>Sales</v>
      </c>
      <c r="AM890" t="str">
        <f>IF(Lab_Data[[#This Row],[Attrition]]="Yes","Failed","Completed")</f>
        <v>Completed</v>
      </c>
      <c r="AN890">
        <f>Lab_Data[[#This Row],[YearsAtCompany]]</f>
        <v>13</v>
      </c>
      <c r="AO890" t="str">
        <f>IF(Lab_Data[[#This Row],[PerformanceRating]]&gt;=3,"Approved","Review Required")</f>
        <v>Approved</v>
      </c>
    </row>
    <row r="891" spans="1:41"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t="str">
        <f>"LAB-"&amp;Lab_Data[[#This Row],[EmployeeNumber]]</f>
        <v>LAB-1244</v>
      </c>
      <c r="AK891" t="str">
        <f>Lab_Data[[#This Row],[JobRole]]</f>
        <v>Research Scientist</v>
      </c>
      <c r="AL891" t="str">
        <f>Lab_Data[[#This Row],[Department]]</f>
        <v>Research &amp; Development</v>
      </c>
      <c r="AM891" t="str">
        <f>IF(Lab_Data[[#This Row],[Attrition]]="Yes","Failed","Completed")</f>
        <v>Completed</v>
      </c>
      <c r="AN891">
        <f>Lab_Data[[#This Row],[YearsAtCompany]]</f>
        <v>9</v>
      </c>
      <c r="AO891" t="str">
        <f>IF(Lab_Data[[#This Row],[PerformanceRating]]&gt;=3,"Approved","Review Required")</f>
        <v>Approved</v>
      </c>
    </row>
    <row r="892" spans="1:41"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t="str">
        <f>"LAB-"&amp;Lab_Data[[#This Row],[EmployeeNumber]]</f>
        <v>LAB-1245</v>
      </c>
      <c r="AK892" t="str">
        <f>Lab_Data[[#This Row],[JobRole]]</f>
        <v>Manufacturing Director</v>
      </c>
      <c r="AL892" t="str">
        <f>Lab_Data[[#This Row],[Department]]</f>
        <v>Research &amp; Development</v>
      </c>
      <c r="AM892" t="str">
        <f>IF(Lab_Data[[#This Row],[Attrition]]="Yes","Failed","Completed")</f>
        <v>Completed</v>
      </c>
      <c r="AN892">
        <f>Lab_Data[[#This Row],[YearsAtCompany]]</f>
        <v>5</v>
      </c>
      <c r="AO892" t="str">
        <f>IF(Lab_Data[[#This Row],[PerformanceRating]]&gt;=3,"Approved","Review Required")</f>
        <v>Approved</v>
      </c>
    </row>
    <row r="893" spans="1:41"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t="str">
        <f>"LAB-"&amp;Lab_Data[[#This Row],[EmployeeNumber]]</f>
        <v>LAB-1246</v>
      </c>
      <c r="AK893" t="str">
        <f>Lab_Data[[#This Row],[JobRole]]</f>
        <v>Research Scientist</v>
      </c>
      <c r="AL893" t="str">
        <f>Lab_Data[[#This Row],[Department]]</f>
        <v>Research &amp; Development</v>
      </c>
      <c r="AM893" t="str">
        <f>IF(Lab_Data[[#This Row],[Attrition]]="Yes","Failed","Completed")</f>
        <v>Completed</v>
      </c>
      <c r="AN893">
        <f>Lab_Data[[#This Row],[YearsAtCompany]]</f>
        <v>10</v>
      </c>
      <c r="AO893" t="str">
        <f>IF(Lab_Data[[#This Row],[PerformanceRating]]&gt;=3,"Approved","Review Required")</f>
        <v>Approved</v>
      </c>
    </row>
    <row r="894" spans="1:41"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t="str">
        <f>"LAB-"&amp;Lab_Data[[#This Row],[EmployeeNumber]]</f>
        <v>LAB-1248</v>
      </c>
      <c r="AK894" t="str">
        <f>Lab_Data[[#This Row],[JobRole]]</f>
        <v>Research Scientist</v>
      </c>
      <c r="AL894" t="str">
        <f>Lab_Data[[#This Row],[Department]]</f>
        <v>Research &amp; Development</v>
      </c>
      <c r="AM894" t="str">
        <f>IF(Lab_Data[[#This Row],[Attrition]]="Yes","Failed","Completed")</f>
        <v>Failed</v>
      </c>
      <c r="AN894">
        <f>Lab_Data[[#This Row],[YearsAtCompany]]</f>
        <v>1</v>
      </c>
      <c r="AO894" t="str">
        <f>IF(Lab_Data[[#This Row],[PerformanceRating]]&gt;=3,"Approved","Review Required")</f>
        <v>Approved</v>
      </c>
    </row>
    <row r="895" spans="1:41"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t="str">
        <f>"LAB-"&amp;Lab_Data[[#This Row],[EmployeeNumber]]</f>
        <v>LAB-1249</v>
      </c>
      <c r="AK895" t="str">
        <f>Lab_Data[[#This Row],[JobRole]]</f>
        <v>Research Scientist</v>
      </c>
      <c r="AL895" t="str">
        <f>Lab_Data[[#This Row],[Department]]</f>
        <v>Research &amp; Development</v>
      </c>
      <c r="AM895" t="str">
        <f>IF(Lab_Data[[#This Row],[Attrition]]="Yes","Failed","Completed")</f>
        <v>Completed</v>
      </c>
      <c r="AN895">
        <f>Lab_Data[[#This Row],[YearsAtCompany]]</f>
        <v>3</v>
      </c>
      <c r="AO895" t="str">
        <f>IF(Lab_Data[[#This Row],[PerformanceRating]]&gt;=3,"Approved","Review Required")</f>
        <v>Approved</v>
      </c>
    </row>
    <row r="896" spans="1:41"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t="str">
        <f>"LAB-"&amp;Lab_Data[[#This Row],[EmployeeNumber]]</f>
        <v>LAB-1250</v>
      </c>
      <c r="AK896" t="str">
        <f>Lab_Data[[#This Row],[JobRole]]</f>
        <v>Research Director</v>
      </c>
      <c r="AL896" t="str">
        <f>Lab_Data[[#This Row],[Department]]</f>
        <v>Research &amp; Development</v>
      </c>
      <c r="AM896" t="str">
        <f>IF(Lab_Data[[#This Row],[Attrition]]="Yes","Failed","Completed")</f>
        <v>Completed</v>
      </c>
      <c r="AN896">
        <f>Lab_Data[[#This Row],[YearsAtCompany]]</f>
        <v>10</v>
      </c>
      <c r="AO896" t="str">
        <f>IF(Lab_Data[[#This Row],[PerformanceRating]]&gt;=3,"Approved","Review Required")</f>
        <v>Approved</v>
      </c>
    </row>
    <row r="897" spans="1:41"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t="str">
        <f>"LAB-"&amp;Lab_Data[[#This Row],[EmployeeNumber]]</f>
        <v>LAB-1251</v>
      </c>
      <c r="AK897" t="str">
        <f>Lab_Data[[#This Row],[JobRole]]</f>
        <v>Healthcare Representative</v>
      </c>
      <c r="AL897" t="str">
        <f>Lab_Data[[#This Row],[Department]]</f>
        <v>Research &amp; Development</v>
      </c>
      <c r="AM897" t="str">
        <f>IF(Lab_Data[[#This Row],[Attrition]]="Yes","Failed","Completed")</f>
        <v>Completed</v>
      </c>
      <c r="AN897">
        <f>Lab_Data[[#This Row],[YearsAtCompany]]</f>
        <v>6</v>
      </c>
      <c r="AO897" t="str">
        <f>IF(Lab_Data[[#This Row],[PerformanceRating]]&gt;=3,"Approved","Review Required")</f>
        <v>Approved</v>
      </c>
    </row>
    <row r="898" spans="1:41"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t="str">
        <f>"LAB-"&amp;Lab_Data[[#This Row],[EmployeeNumber]]</f>
        <v>LAB-1252</v>
      </c>
      <c r="AK898" t="str">
        <f>Lab_Data[[#This Row],[JobRole]]</f>
        <v>Healthcare Representative</v>
      </c>
      <c r="AL898" t="str">
        <f>Lab_Data[[#This Row],[Department]]</f>
        <v>Research &amp; Development</v>
      </c>
      <c r="AM898" t="str">
        <f>IF(Lab_Data[[#This Row],[Attrition]]="Yes","Failed","Completed")</f>
        <v>Completed</v>
      </c>
      <c r="AN898">
        <f>Lab_Data[[#This Row],[YearsAtCompany]]</f>
        <v>10</v>
      </c>
      <c r="AO898" t="str">
        <f>IF(Lab_Data[[#This Row],[PerformanceRating]]&gt;=3,"Approved","Review Required")</f>
        <v>Approved</v>
      </c>
    </row>
    <row r="899" spans="1:41"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t="str">
        <f>"LAB-"&amp;Lab_Data[[#This Row],[EmployeeNumber]]</f>
        <v>LAB-1254</v>
      </c>
      <c r="AK899" t="str">
        <f>Lab_Data[[#This Row],[JobRole]]</f>
        <v>Sales Executive</v>
      </c>
      <c r="AL899" t="str">
        <f>Lab_Data[[#This Row],[Department]]</f>
        <v>Sales</v>
      </c>
      <c r="AM899" t="str">
        <f>IF(Lab_Data[[#This Row],[Attrition]]="Yes","Failed","Completed")</f>
        <v>Completed</v>
      </c>
      <c r="AN899">
        <f>Lab_Data[[#This Row],[YearsAtCompany]]</f>
        <v>6</v>
      </c>
      <c r="AO899" t="str">
        <f>IF(Lab_Data[[#This Row],[PerformanceRating]]&gt;=3,"Approved","Review Required")</f>
        <v>Approved</v>
      </c>
    </row>
    <row r="900" spans="1:41"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t="str">
        <f>"LAB-"&amp;Lab_Data[[#This Row],[EmployeeNumber]]</f>
        <v>LAB-1255</v>
      </c>
      <c r="AK900" t="str">
        <f>Lab_Data[[#This Row],[JobRole]]</f>
        <v>Research Director</v>
      </c>
      <c r="AL900" t="str">
        <f>Lab_Data[[#This Row],[Department]]</f>
        <v>Research &amp; Development</v>
      </c>
      <c r="AM900" t="str">
        <f>IF(Lab_Data[[#This Row],[Attrition]]="Yes","Failed","Completed")</f>
        <v>Completed</v>
      </c>
      <c r="AN900">
        <f>Lab_Data[[#This Row],[YearsAtCompany]]</f>
        <v>8</v>
      </c>
      <c r="AO900" t="str">
        <f>IF(Lab_Data[[#This Row],[PerformanceRating]]&gt;=3,"Approved","Review Required")</f>
        <v>Approved</v>
      </c>
    </row>
    <row r="901" spans="1:41"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t="str">
        <f>"LAB-"&amp;Lab_Data[[#This Row],[EmployeeNumber]]</f>
        <v>LAB-1256</v>
      </c>
      <c r="AK901" t="str">
        <f>Lab_Data[[#This Row],[JobRole]]</f>
        <v>Manager</v>
      </c>
      <c r="AL901" t="str">
        <f>Lab_Data[[#This Row],[Department]]</f>
        <v>Research &amp; Development</v>
      </c>
      <c r="AM901" t="str">
        <f>IF(Lab_Data[[#This Row],[Attrition]]="Yes","Failed","Completed")</f>
        <v>Completed</v>
      </c>
      <c r="AN901">
        <f>Lab_Data[[#This Row],[YearsAtCompany]]</f>
        <v>1</v>
      </c>
      <c r="AO901" t="str">
        <f>IF(Lab_Data[[#This Row],[PerformanceRating]]&gt;=3,"Approved","Review Required")</f>
        <v>Approved</v>
      </c>
    </row>
    <row r="902" spans="1:41"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t="str">
        <f>"LAB-"&amp;Lab_Data[[#This Row],[EmployeeNumber]]</f>
        <v>LAB-1257</v>
      </c>
      <c r="AK902" t="str">
        <f>Lab_Data[[#This Row],[JobRole]]</f>
        <v>Research Scientist</v>
      </c>
      <c r="AL902" t="str">
        <f>Lab_Data[[#This Row],[Department]]</f>
        <v>Research &amp; Development</v>
      </c>
      <c r="AM902" t="str">
        <f>IF(Lab_Data[[#This Row],[Attrition]]="Yes","Failed","Completed")</f>
        <v>Completed</v>
      </c>
      <c r="AN902">
        <f>Lab_Data[[#This Row],[YearsAtCompany]]</f>
        <v>11</v>
      </c>
      <c r="AO902" t="str">
        <f>IF(Lab_Data[[#This Row],[PerformanceRating]]&gt;=3,"Approved","Review Required")</f>
        <v>Approved</v>
      </c>
    </row>
    <row r="903" spans="1:41"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t="str">
        <f>"LAB-"&amp;Lab_Data[[#This Row],[EmployeeNumber]]</f>
        <v>LAB-1258</v>
      </c>
      <c r="AK903" t="str">
        <f>Lab_Data[[#This Row],[JobRole]]</f>
        <v>Laboratory Technician</v>
      </c>
      <c r="AL903" t="str">
        <f>Lab_Data[[#This Row],[Department]]</f>
        <v>Research &amp; Development</v>
      </c>
      <c r="AM903" t="str">
        <f>IF(Lab_Data[[#This Row],[Attrition]]="Yes","Failed","Completed")</f>
        <v>Completed</v>
      </c>
      <c r="AN903">
        <f>Lab_Data[[#This Row],[YearsAtCompany]]</f>
        <v>1</v>
      </c>
      <c r="AO903" t="str">
        <f>IF(Lab_Data[[#This Row],[PerformanceRating]]&gt;=3,"Approved","Review Required")</f>
        <v>Approved</v>
      </c>
    </row>
    <row r="904" spans="1:41"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t="str">
        <f>"LAB-"&amp;Lab_Data[[#This Row],[EmployeeNumber]]</f>
        <v>LAB-1259</v>
      </c>
      <c r="AK904" t="str">
        <f>Lab_Data[[#This Row],[JobRole]]</f>
        <v>Research Scientist</v>
      </c>
      <c r="AL904" t="str">
        <f>Lab_Data[[#This Row],[Department]]</f>
        <v>Research &amp; Development</v>
      </c>
      <c r="AM904" t="str">
        <f>IF(Lab_Data[[#This Row],[Attrition]]="Yes","Failed","Completed")</f>
        <v>Completed</v>
      </c>
      <c r="AN904">
        <f>Lab_Data[[#This Row],[YearsAtCompany]]</f>
        <v>5</v>
      </c>
      <c r="AO904" t="str">
        <f>IF(Lab_Data[[#This Row],[PerformanceRating]]&gt;=3,"Approved","Review Required")</f>
        <v>Approved</v>
      </c>
    </row>
    <row r="905" spans="1:41"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t="str">
        <f>"LAB-"&amp;Lab_Data[[#This Row],[EmployeeNumber]]</f>
        <v>LAB-1260</v>
      </c>
      <c r="AK905" t="str">
        <f>Lab_Data[[#This Row],[JobRole]]</f>
        <v>Healthcare Representative</v>
      </c>
      <c r="AL905" t="str">
        <f>Lab_Data[[#This Row],[Department]]</f>
        <v>Research &amp; Development</v>
      </c>
      <c r="AM905" t="str">
        <f>IF(Lab_Data[[#This Row],[Attrition]]="Yes","Failed","Completed")</f>
        <v>Completed</v>
      </c>
      <c r="AN905">
        <f>Lab_Data[[#This Row],[YearsAtCompany]]</f>
        <v>6</v>
      </c>
      <c r="AO905" t="str">
        <f>IF(Lab_Data[[#This Row],[PerformanceRating]]&gt;=3,"Approved","Review Required")</f>
        <v>Approved</v>
      </c>
    </row>
    <row r="906" spans="1:41"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t="str">
        <f>"LAB-"&amp;Lab_Data[[#This Row],[EmployeeNumber]]</f>
        <v>LAB-1263</v>
      </c>
      <c r="AK906" t="str">
        <f>Lab_Data[[#This Row],[JobRole]]</f>
        <v>Research Director</v>
      </c>
      <c r="AL906" t="str">
        <f>Lab_Data[[#This Row],[Department]]</f>
        <v>Research &amp; Development</v>
      </c>
      <c r="AM906" t="str">
        <f>IF(Lab_Data[[#This Row],[Attrition]]="Yes","Failed","Completed")</f>
        <v>Completed</v>
      </c>
      <c r="AN906">
        <f>Lab_Data[[#This Row],[YearsAtCompany]]</f>
        <v>1</v>
      </c>
      <c r="AO906" t="str">
        <f>IF(Lab_Data[[#This Row],[PerformanceRating]]&gt;=3,"Approved","Review Required")</f>
        <v>Approved</v>
      </c>
    </row>
    <row r="907" spans="1:41"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t="str">
        <f>"LAB-"&amp;Lab_Data[[#This Row],[EmployeeNumber]]</f>
        <v>LAB-1264</v>
      </c>
      <c r="AK907" t="str">
        <f>Lab_Data[[#This Row],[JobRole]]</f>
        <v>Research Director</v>
      </c>
      <c r="AL907" t="str">
        <f>Lab_Data[[#This Row],[Department]]</f>
        <v>Research &amp; Development</v>
      </c>
      <c r="AM907" t="str">
        <f>IF(Lab_Data[[#This Row],[Attrition]]="Yes","Failed","Completed")</f>
        <v>Completed</v>
      </c>
      <c r="AN907">
        <f>Lab_Data[[#This Row],[YearsAtCompany]]</f>
        <v>7</v>
      </c>
      <c r="AO907" t="str">
        <f>IF(Lab_Data[[#This Row],[PerformanceRating]]&gt;=3,"Approved","Review Required")</f>
        <v>Approved</v>
      </c>
    </row>
    <row r="908" spans="1:41"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t="str">
        <f>"LAB-"&amp;Lab_Data[[#This Row],[EmployeeNumber]]</f>
        <v>LAB-1265</v>
      </c>
      <c r="AK908" t="str">
        <f>Lab_Data[[#This Row],[JobRole]]</f>
        <v>Research Scientist</v>
      </c>
      <c r="AL908" t="str">
        <f>Lab_Data[[#This Row],[Department]]</f>
        <v>Research &amp; Development</v>
      </c>
      <c r="AM908" t="str">
        <f>IF(Lab_Data[[#This Row],[Attrition]]="Yes","Failed","Completed")</f>
        <v>Completed</v>
      </c>
      <c r="AN908">
        <f>Lab_Data[[#This Row],[YearsAtCompany]]</f>
        <v>1</v>
      </c>
      <c r="AO908" t="str">
        <f>IF(Lab_Data[[#This Row],[PerformanceRating]]&gt;=3,"Approved","Review Required")</f>
        <v>Approved</v>
      </c>
    </row>
    <row r="909" spans="1:41"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t="str">
        <f>"LAB-"&amp;Lab_Data[[#This Row],[EmployeeNumber]]</f>
        <v>LAB-1267</v>
      </c>
      <c r="AK909" t="str">
        <f>Lab_Data[[#This Row],[JobRole]]</f>
        <v>Manager</v>
      </c>
      <c r="AL909" t="str">
        <f>Lab_Data[[#This Row],[Department]]</f>
        <v>Sales</v>
      </c>
      <c r="AM909" t="str">
        <f>IF(Lab_Data[[#This Row],[Attrition]]="Yes","Failed","Completed")</f>
        <v>Completed</v>
      </c>
      <c r="AN909">
        <f>Lab_Data[[#This Row],[YearsAtCompany]]</f>
        <v>22</v>
      </c>
      <c r="AO909" t="str">
        <f>IF(Lab_Data[[#This Row],[PerformanceRating]]&gt;=3,"Approved","Review Required")</f>
        <v>Approved</v>
      </c>
    </row>
    <row r="910" spans="1:41"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t="str">
        <f>"LAB-"&amp;Lab_Data[[#This Row],[EmployeeNumber]]</f>
        <v>LAB-1268</v>
      </c>
      <c r="AK910" t="str">
        <f>Lab_Data[[#This Row],[JobRole]]</f>
        <v>Sales Executive</v>
      </c>
      <c r="AL910" t="str">
        <f>Lab_Data[[#This Row],[Department]]</f>
        <v>Sales</v>
      </c>
      <c r="AM910" t="str">
        <f>IF(Lab_Data[[#This Row],[Attrition]]="Yes","Failed","Completed")</f>
        <v>Completed</v>
      </c>
      <c r="AN910">
        <f>Lab_Data[[#This Row],[YearsAtCompany]]</f>
        <v>9</v>
      </c>
      <c r="AO910" t="str">
        <f>IF(Lab_Data[[#This Row],[PerformanceRating]]&gt;=3,"Approved","Review Required")</f>
        <v>Approved</v>
      </c>
    </row>
    <row r="911" spans="1:41"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t="str">
        <f>"LAB-"&amp;Lab_Data[[#This Row],[EmployeeNumber]]</f>
        <v>LAB-1269</v>
      </c>
      <c r="AK911" t="str">
        <f>Lab_Data[[#This Row],[JobRole]]</f>
        <v>Research Scientist</v>
      </c>
      <c r="AL911" t="str">
        <f>Lab_Data[[#This Row],[Department]]</f>
        <v>Research &amp; Development</v>
      </c>
      <c r="AM911" t="str">
        <f>IF(Lab_Data[[#This Row],[Attrition]]="Yes","Failed","Completed")</f>
        <v>Completed</v>
      </c>
      <c r="AN911">
        <f>Lab_Data[[#This Row],[YearsAtCompany]]</f>
        <v>1</v>
      </c>
      <c r="AO911" t="str">
        <f>IF(Lab_Data[[#This Row],[PerformanceRating]]&gt;=3,"Approved","Review Required")</f>
        <v>Approved</v>
      </c>
    </row>
    <row r="912" spans="1:41"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t="str">
        <f>"LAB-"&amp;Lab_Data[[#This Row],[EmployeeNumber]]</f>
        <v>LAB-1270</v>
      </c>
      <c r="AK912" t="str">
        <f>Lab_Data[[#This Row],[JobRole]]</f>
        <v>Research Scientist</v>
      </c>
      <c r="AL912" t="str">
        <f>Lab_Data[[#This Row],[Department]]</f>
        <v>Research &amp; Development</v>
      </c>
      <c r="AM912" t="str">
        <f>IF(Lab_Data[[#This Row],[Attrition]]="Yes","Failed","Completed")</f>
        <v>Completed</v>
      </c>
      <c r="AN912">
        <f>Lab_Data[[#This Row],[YearsAtCompany]]</f>
        <v>1</v>
      </c>
      <c r="AO912" t="str">
        <f>IF(Lab_Data[[#This Row],[PerformanceRating]]&gt;=3,"Approved","Review Required")</f>
        <v>Approved</v>
      </c>
    </row>
    <row r="913" spans="1:41"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t="str">
        <f>"LAB-"&amp;Lab_Data[[#This Row],[EmployeeNumber]]</f>
        <v>LAB-1273</v>
      </c>
      <c r="AK913" t="str">
        <f>Lab_Data[[#This Row],[JobRole]]</f>
        <v>Sales Representative</v>
      </c>
      <c r="AL913" t="str">
        <f>Lab_Data[[#This Row],[Department]]</f>
        <v>Sales</v>
      </c>
      <c r="AM913" t="str">
        <f>IF(Lab_Data[[#This Row],[Attrition]]="Yes","Failed","Completed")</f>
        <v>Failed</v>
      </c>
      <c r="AN913">
        <f>Lab_Data[[#This Row],[YearsAtCompany]]</f>
        <v>1</v>
      </c>
      <c r="AO913" t="str">
        <f>IF(Lab_Data[[#This Row],[PerformanceRating]]&gt;=3,"Approved","Review Required")</f>
        <v>Approved</v>
      </c>
    </row>
    <row r="914" spans="1:41"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t="str">
        <f>"LAB-"&amp;Lab_Data[[#This Row],[EmployeeNumber]]</f>
        <v>LAB-1275</v>
      </c>
      <c r="AK914" t="str">
        <f>Lab_Data[[#This Row],[JobRole]]</f>
        <v>Research Scientist</v>
      </c>
      <c r="AL914" t="str">
        <f>Lab_Data[[#This Row],[Department]]</f>
        <v>Research &amp; Development</v>
      </c>
      <c r="AM914" t="str">
        <f>IF(Lab_Data[[#This Row],[Attrition]]="Yes","Failed","Completed")</f>
        <v>Completed</v>
      </c>
      <c r="AN914">
        <f>Lab_Data[[#This Row],[YearsAtCompany]]</f>
        <v>8</v>
      </c>
      <c r="AO914" t="str">
        <f>IF(Lab_Data[[#This Row],[PerformanceRating]]&gt;=3,"Approved","Review Required")</f>
        <v>Approved</v>
      </c>
    </row>
    <row r="915" spans="1:41"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t="str">
        <f>"LAB-"&amp;Lab_Data[[#This Row],[EmployeeNumber]]</f>
        <v>LAB-1277</v>
      </c>
      <c r="AK915" t="str">
        <f>Lab_Data[[#This Row],[JobRole]]</f>
        <v>Manager</v>
      </c>
      <c r="AL915" t="str">
        <f>Lab_Data[[#This Row],[Department]]</f>
        <v>Sales</v>
      </c>
      <c r="AM915" t="str">
        <f>IF(Lab_Data[[#This Row],[Attrition]]="Yes","Failed","Completed")</f>
        <v>Failed</v>
      </c>
      <c r="AN915">
        <f>Lab_Data[[#This Row],[YearsAtCompany]]</f>
        <v>24</v>
      </c>
      <c r="AO915" t="str">
        <f>IF(Lab_Data[[#This Row],[PerformanceRating]]&gt;=3,"Approved","Review Required")</f>
        <v>Approved</v>
      </c>
    </row>
    <row r="916" spans="1:41"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t="str">
        <f>"LAB-"&amp;Lab_Data[[#This Row],[EmployeeNumber]]</f>
        <v>LAB-1278</v>
      </c>
      <c r="AK916" t="str">
        <f>Lab_Data[[#This Row],[JobRole]]</f>
        <v>Healthcare Representative</v>
      </c>
      <c r="AL916" t="str">
        <f>Lab_Data[[#This Row],[Department]]</f>
        <v>Research &amp; Development</v>
      </c>
      <c r="AM916" t="str">
        <f>IF(Lab_Data[[#This Row],[Attrition]]="Yes","Failed","Completed")</f>
        <v>Completed</v>
      </c>
      <c r="AN916">
        <f>Lab_Data[[#This Row],[YearsAtCompany]]</f>
        <v>33</v>
      </c>
      <c r="AO916" t="str">
        <f>IF(Lab_Data[[#This Row],[PerformanceRating]]&gt;=3,"Approved","Review Required")</f>
        <v>Approved</v>
      </c>
    </row>
    <row r="917" spans="1:41"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t="str">
        <f>"LAB-"&amp;Lab_Data[[#This Row],[EmployeeNumber]]</f>
        <v>LAB-1279</v>
      </c>
      <c r="AK917" t="str">
        <f>Lab_Data[[#This Row],[JobRole]]</f>
        <v>Laboratory Technician</v>
      </c>
      <c r="AL917" t="str">
        <f>Lab_Data[[#This Row],[Department]]</f>
        <v>Research &amp; Development</v>
      </c>
      <c r="AM917" t="str">
        <f>IF(Lab_Data[[#This Row],[Attrition]]="Yes","Failed","Completed")</f>
        <v>Failed</v>
      </c>
      <c r="AN917">
        <f>Lab_Data[[#This Row],[YearsAtCompany]]</f>
        <v>2</v>
      </c>
      <c r="AO917" t="str">
        <f>IF(Lab_Data[[#This Row],[PerformanceRating]]&gt;=3,"Approved","Review Required")</f>
        <v>Approved</v>
      </c>
    </row>
    <row r="918" spans="1:41"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t="str">
        <f>"LAB-"&amp;Lab_Data[[#This Row],[EmployeeNumber]]</f>
        <v>LAB-1280</v>
      </c>
      <c r="AK918" t="str">
        <f>Lab_Data[[#This Row],[JobRole]]</f>
        <v>Manager</v>
      </c>
      <c r="AL918" t="str">
        <f>Lab_Data[[#This Row],[Department]]</f>
        <v>Sales</v>
      </c>
      <c r="AM918" t="str">
        <f>IF(Lab_Data[[#This Row],[Attrition]]="Yes","Failed","Completed")</f>
        <v>Completed</v>
      </c>
      <c r="AN918">
        <f>Lab_Data[[#This Row],[YearsAtCompany]]</f>
        <v>11</v>
      </c>
      <c r="AO918" t="str">
        <f>IF(Lab_Data[[#This Row],[PerformanceRating]]&gt;=3,"Approved","Review Required")</f>
        <v>Approved</v>
      </c>
    </row>
    <row r="919" spans="1:41"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t="str">
        <f>"LAB-"&amp;Lab_Data[[#This Row],[EmployeeNumber]]</f>
        <v>LAB-1281</v>
      </c>
      <c r="AK919" t="str">
        <f>Lab_Data[[#This Row],[JobRole]]</f>
        <v>Sales Executive</v>
      </c>
      <c r="AL919" t="str">
        <f>Lab_Data[[#This Row],[Department]]</f>
        <v>Sales</v>
      </c>
      <c r="AM919" t="str">
        <f>IF(Lab_Data[[#This Row],[Attrition]]="Yes","Failed","Completed")</f>
        <v>Completed</v>
      </c>
      <c r="AN919">
        <f>Lab_Data[[#This Row],[YearsAtCompany]]</f>
        <v>3</v>
      </c>
      <c r="AO919" t="str">
        <f>IF(Lab_Data[[#This Row],[PerformanceRating]]&gt;=3,"Approved","Review Required")</f>
        <v>Approved</v>
      </c>
    </row>
    <row r="920" spans="1:41"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t="str">
        <f>"LAB-"&amp;Lab_Data[[#This Row],[EmployeeNumber]]</f>
        <v>LAB-1282</v>
      </c>
      <c r="AK920" t="str">
        <f>Lab_Data[[#This Row],[JobRole]]</f>
        <v>Manager</v>
      </c>
      <c r="AL920" t="str">
        <f>Lab_Data[[#This Row],[Department]]</f>
        <v>Sales</v>
      </c>
      <c r="AM920" t="str">
        <f>IF(Lab_Data[[#This Row],[Attrition]]="Yes","Failed","Completed")</f>
        <v>Completed</v>
      </c>
      <c r="AN920">
        <f>Lab_Data[[#This Row],[YearsAtCompany]]</f>
        <v>29</v>
      </c>
      <c r="AO920" t="str">
        <f>IF(Lab_Data[[#This Row],[PerformanceRating]]&gt;=3,"Approved","Review Required")</f>
        <v>Approved</v>
      </c>
    </row>
    <row r="921" spans="1:41"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t="str">
        <f>"LAB-"&amp;Lab_Data[[#This Row],[EmployeeNumber]]</f>
        <v>LAB-1283</v>
      </c>
      <c r="AK921" t="str">
        <f>Lab_Data[[#This Row],[JobRole]]</f>
        <v>Manufacturing Director</v>
      </c>
      <c r="AL921" t="str">
        <f>Lab_Data[[#This Row],[Department]]</f>
        <v>Research &amp; Development</v>
      </c>
      <c r="AM921" t="str">
        <f>IF(Lab_Data[[#This Row],[Attrition]]="Yes","Failed","Completed")</f>
        <v>Completed</v>
      </c>
      <c r="AN921">
        <f>Lab_Data[[#This Row],[YearsAtCompany]]</f>
        <v>9</v>
      </c>
      <c r="AO921" t="str">
        <f>IF(Lab_Data[[#This Row],[PerformanceRating]]&gt;=3,"Approved","Review Required")</f>
        <v>Approved</v>
      </c>
    </row>
    <row r="922" spans="1:41"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t="str">
        <f>"LAB-"&amp;Lab_Data[[#This Row],[EmployeeNumber]]</f>
        <v>LAB-1285</v>
      </c>
      <c r="AK922" t="str">
        <f>Lab_Data[[#This Row],[JobRole]]</f>
        <v>Laboratory Technician</v>
      </c>
      <c r="AL922" t="str">
        <f>Lab_Data[[#This Row],[Department]]</f>
        <v>Research &amp; Development</v>
      </c>
      <c r="AM922" t="str">
        <f>IF(Lab_Data[[#This Row],[Attrition]]="Yes","Failed","Completed")</f>
        <v>Completed</v>
      </c>
      <c r="AN922">
        <f>Lab_Data[[#This Row],[YearsAtCompany]]</f>
        <v>11</v>
      </c>
      <c r="AO922" t="str">
        <f>IF(Lab_Data[[#This Row],[PerformanceRating]]&gt;=3,"Approved","Review Required")</f>
        <v>Approved</v>
      </c>
    </row>
    <row r="923" spans="1:41"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t="str">
        <f>"LAB-"&amp;Lab_Data[[#This Row],[EmployeeNumber]]</f>
        <v>LAB-1286</v>
      </c>
      <c r="AK923" t="str">
        <f>Lab_Data[[#This Row],[JobRole]]</f>
        <v>Laboratory Technician</v>
      </c>
      <c r="AL923" t="str">
        <f>Lab_Data[[#This Row],[Department]]</f>
        <v>Research &amp; Development</v>
      </c>
      <c r="AM923" t="str">
        <f>IF(Lab_Data[[#This Row],[Attrition]]="Yes","Failed","Completed")</f>
        <v>Completed</v>
      </c>
      <c r="AN923">
        <f>Lab_Data[[#This Row],[YearsAtCompany]]</f>
        <v>4</v>
      </c>
      <c r="AO923" t="str">
        <f>IF(Lab_Data[[#This Row],[PerformanceRating]]&gt;=3,"Approved","Review Required")</f>
        <v>Approved</v>
      </c>
    </row>
    <row r="924" spans="1:41"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t="str">
        <f>"LAB-"&amp;Lab_Data[[#This Row],[EmployeeNumber]]</f>
        <v>LAB-1288</v>
      </c>
      <c r="AK924" t="str">
        <f>Lab_Data[[#This Row],[JobRole]]</f>
        <v>Manager</v>
      </c>
      <c r="AL924" t="str">
        <f>Lab_Data[[#This Row],[Department]]</f>
        <v>Research &amp; Development</v>
      </c>
      <c r="AM924" t="str">
        <f>IF(Lab_Data[[#This Row],[Attrition]]="Yes","Failed","Completed")</f>
        <v>Completed</v>
      </c>
      <c r="AN924">
        <f>Lab_Data[[#This Row],[YearsAtCompany]]</f>
        <v>25</v>
      </c>
      <c r="AO924" t="str">
        <f>IF(Lab_Data[[#This Row],[PerformanceRating]]&gt;=3,"Approved","Review Required")</f>
        <v>Approved</v>
      </c>
    </row>
    <row r="925" spans="1:41"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t="str">
        <f>"LAB-"&amp;Lab_Data[[#This Row],[EmployeeNumber]]</f>
        <v>LAB-1289</v>
      </c>
      <c r="AK925" t="str">
        <f>Lab_Data[[#This Row],[JobRole]]</f>
        <v>Human Resources</v>
      </c>
      <c r="AL925" t="str">
        <f>Lab_Data[[#This Row],[Department]]</f>
        <v>Human Resources</v>
      </c>
      <c r="AM925" t="str">
        <f>IF(Lab_Data[[#This Row],[Attrition]]="Yes","Failed","Completed")</f>
        <v>Completed</v>
      </c>
      <c r="AN925">
        <f>Lab_Data[[#This Row],[YearsAtCompany]]</f>
        <v>10</v>
      </c>
      <c r="AO925" t="str">
        <f>IF(Lab_Data[[#This Row],[PerformanceRating]]&gt;=3,"Approved","Review Required")</f>
        <v>Approved</v>
      </c>
    </row>
    <row r="926" spans="1:41"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t="str">
        <f>"LAB-"&amp;Lab_Data[[#This Row],[EmployeeNumber]]</f>
        <v>LAB-1291</v>
      </c>
      <c r="AK926" t="str">
        <f>Lab_Data[[#This Row],[JobRole]]</f>
        <v>Research Scientist</v>
      </c>
      <c r="AL926" t="str">
        <f>Lab_Data[[#This Row],[Department]]</f>
        <v>Research &amp; Development</v>
      </c>
      <c r="AM926" t="str">
        <f>IF(Lab_Data[[#This Row],[Attrition]]="Yes","Failed","Completed")</f>
        <v>Completed</v>
      </c>
      <c r="AN926">
        <f>Lab_Data[[#This Row],[YearsAtCompany]]</f>
        <v>3</v>
      </c>
      <c r="AO926" t="str">
        <f>IF(Lab_Data[[#This Row],[PerformanceRating]]&gt;=3,"Approved","Review Required")</f>
        <v>Approved</v>
      </c>
    </row>
    <row r="927" spans="1:41"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t="str">
        <f>"LAB-"&amp;Lab_Data[[#This Row],[EmployeeNumber]]</f>
        <v>LAB-1292</v>
      </c>
      <c r="AK927" t="str">
        <f>Lab_Data[[#This Row],[JobRole]]</f>
        <v>Research Scientist</v>
      </c>
      <c r="AL927" t="str">
        <f>Lab_Data[[#This Row],[Department]]</f>
        <v>Research &amp; Development</v>
      </c>
      <c r="AM927" t="str">
        <f>IF(Lab_Data[[#This Row],[Attrition]]="Yes","Failed","Completed")</f>
        <v>Completed</v>
      </c>
      <c r="AN927">
        <f>Lab_Data[[#This Row],[YearsAtCompany]]</f>
        <v>1</v>
      </c>
      <c r="AO927" t="str">
        <f>IF(Lab_Data[[#This Row],[PerformanceRating]]&gt;=3,"Approved","Review Required")</f>
        <v>Approved</v>
      </c>
    </row>
    <row r="928" spans="1:41"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t="str">
        <f>"LAB-"&amp;Lab_Data[[#This Row],[EmployeeNumber]]</f>
        <v>LAB-1293</v>
      </c>
      <c r="AK928" t="str">
        <f>Lab_Data[[#This Row],[JobRole]]</f>
        <v>Sales Executive</v>
      </c>
      <c r="AL928" t="str">
        <f>Lab_Data[[#This Row],[Department]]</f>
        <v>Sales</v>
      </c>
      <c r="AM928" t="str">
        <f>IF(Lab_Data[[#This Row],[Attrition]]="Yes","Failed","Completed")</f>
        <v>Completed</v>
      </c>
      <c r="AN928">
        <f>Lab_Data[[#This Row],[YearsAtCompany]]</f>
        <v>21</v>
      </c>
      <c r="AO928" t="str">
        <f>IF(Lab_Data[[#This Row],[PerformanceRating]]&gt;=3,"Approved","Review Required")</f>
        <v>Approved</v>
      </c>
    </row>
    <row r="929" spans="1:41"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t="str">
        <f>"LAB-"&amp;Lab_Data[[#This Row],[EmployeeNumber]]</f>
        <v>LAB-1294</v>
      </c>
      <c r="AK929" t="str">
        <f>Lab_Data[[#This Row],[JobRole]]</f>
        <v>Manufacturing Director</v>
      </c>
      <c r="AL929" t="str">
        <f>Lab_Data[[#This Row],[Department]]</f>
        <v>Research &amp; Development</v>
      </c>
      <c r="AM929" t="str">
        <f>IF(Lab_Data[[#This Row],[Attrition]]="Yes","Failed","Completed")</f>
        <v>Completed</v>
      </c>
      <c r="AN929">
        <f>Lab_Data[[#This Row],[YearsAtCompany]]</f>
        <v>16</v>
      </c>
      <c r="AO929" t="str">
        <f>IF(Lab_Data[[#This Row],[PerformanceRating]]&gt;=3,"Approved","Review Required")</f>
        <v>Approved</v>
      </c>
    </row>
    <row r="930" spans="1:41"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t="str">
        <f>"LAB-"&amp;Lab_Data[[#This Row],[EmployeeNumber]]</f>
        <v>LAB-1295</v>
      </c>
      <c r="AK930" t="str">
        <f>Lab_Data[[#This Row],[JobRole]]</f>
        <v>Healthcare Representative</v>
      </c>
      <c r="AL930" t="str">
        <f>Lab_Data[[#This Row],[Department]]</f>
        <v>Research &amp; Development</v>
      </c>
      <c r="AM930" t="str">
        <f>IF(Lab_Data[[#This Row],[Attrition]]="Yes","Failed","Completed")</f>
        <v>Failed</v>
      </c>
      <c r="AN930">
        <f>Lab_Data[[#This Row],[YearsAtCompany]]</f>
        <v>10</v>
      </c>
      <c r="AO930" t="str">
        <f>IF(Lab_Data[[#This Row],[PerformanceRating]]&gt;=3,"Approved","Review Required")</f>
        <v>Approved</v>
      </c>
    </row>
    <row r="931" spans="1:41"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t="str">
        <f>"LAB-"&amp;Lab_Data[[#This Row],[EmployeeNumber]]</f>
        <v>LAB-1296</v>
      </c>
      <c r="AK931" t="str">
        <f>Lab_Data[[#This Row],[JobRole]]</f>
        <v>Laboratory Technician</v>
      </c>
      <c r="AL931" t="str">
        <f>Lab_Data[[#This Row],[Department]]</f>
        <v>Research &amp; Development</v>
      </c>
      <c r="AM931" t="str">
        <f>IF(Lab_Data[[#This Row],[Attrition]]="Yes","Failed","Completed")</f>
        <v>Completed</v>
      </c>
      <c r="AN931">
        <f>Lab_Data[[#This Row],[YearsAtCompany]]</f>
        <v>2</v>
      </c>
      <c r="AO931" t="str">
        <f>IF(Lab_Data[[#This Row],[PerformanceRating]]&gt;=3,"Approved","Review Required")</f>
        <v>Approved</v>
      </c>
    </row>
    <row r="932" spans="1:41"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t="str">
        <f>"LAB-"&amp;Lab_Data[[#This Row],[EmployeeNumber]]</f>
        <v>LAB-1297</v>
      </c>
      <c r="AK932" t="str">
        <f>Lab_Data[[#This Row],[JobRole]]</f>
        <v>Laboratory Technician</v>
      </c>
      <c r="AL932" t="str">
        <f>Lab_Data[[#This Row],[Department]]</f>
        <v>Research &amp; Development</v>
      </c>
      <c r="AM932" t="str">
        <f>IF(Lab_Data[[#This Row],[Attrition]]="Yes","Failed","Completed")</f>
        <v>Completed</v>
      </c>
      <c r="AN932">
        <f>Lab_Data[[#This Row],[YearsAtCompany]]</f>
        <v>7</v>
      </c>
      <c r="AO932" t="str">
        <f>IF(Lab_Data[[#This Row],[PerformanceRating]]&gt;=3,"Approved","Review Required")</f>
        <v>Approved</v>
      </c>
    </row>
    <row r="933" spans="1:41"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t="str">
        <f>"LAB-"&amp;Lab_Data[[#This Row],[EmployeeNumber]]</f>
        <v>LAB-1298</v>
      </c>
      <c r="AK933" t="str">
        <f>Lab_Data[[#This Row],[JobRole]]</f>
        <v>Manufacturing Director</v>
      </c>
      <c r="AL933" t="str">
        <f>Lab_Data[[#This Row],[Department]]</f>
        <v>Research &amp; Development</v>
      </c>
      <c r="AM933" t="str">
        <f>IF(Lab_Data[[#This Row],[Attrition]]="Yes","Failed","Completed")</f>
        <v>Completed</v>
      </c>
      <c r="AN933">
        <f>Lab_Data[[#This Row],[YearsAtCompany]]</f>
        <v>8</v>
      </c>
      <c r="AO933" t="str">
        <f>IF(Lab_Data[[#This Row],[PerformanceRating]]&gt;=3,"Approved","Review Required")</f>
        <v>Approved</v>
      </c>
    </row>
    <row r="934" spans="1:41"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t="str">
        <f>"LAB-"&amp;Lab_Data[[#This Row],[EmployeeNumber]]</f>
        <v>LAB-1299</v>
      </c>
      <c r="AK934" t="str">
        <f>Lab_Data[[#This Row],[JobRole]]</f>
        <v>Laboratory Technician</v>
      </c>
      <c r="AL934" t="str">
        <f>Lab_Data[[#This Row],[Department]]</f>
        <v>Research &amp; Development</v>
      </c>
      <c r="AM934" t="str">
        <f>IF(Lab_Data[[#This Row],[Attrition]]="Yes","Failed","Completed")</f>
        <v>Failed</v>
      </c>
      <c r="AN934">
        <f>Lab_Data[[#This Row],[YearsAtCompany]]</f>
        <v>7</v>
      </c>
      <c r="AO934" t="str">
        <f>IF(Lab_Data[[#This Row],[PerformanceRating]]&gt;=3,"Approved","Review Required")</f>
        <v>Approved</v>
      </c>
    </row>
    <row r="935" spans="1:41"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t="str">
        <f>"LAB-"&amp;Lab_Data[[#This Row],[EmployeeNumber]]</f>
        <v>LAB-1301</v>
      </c>
      <c r="AK935" t="str">
        <f>Lab_Data[[#This Row],[JobRole]]</f>
        <v>Research Scientist</v>
      </c>
      <c r="AL935" t="str">
        <f>Lab_Data[[#This Row],[Department]]</f>
        <v>Research &amp; Development</v>
      </c>
      <c r="AM935" t="str">
        <f>IF(Lab_Data[[#This Row],[Attrition]]="Yes","Failed","Completed")</f>
        <v>Completed</v>
      </c>
      <c r="AN935">
        <f>Lab_Data[[#This Row],[YearsAtCompany]]</f>
        <v>3</v>
      </c>
      <c r="AO935" t="str">
        <f>IF(Lab_Data[[#This Row],[PerformanceRating]]&gt;=3,"Approved","Review Required")</f>
        <v>Approved</v>
      </c>
    </row>
    <row r="936" spans="1:41"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t="str">
        <f>"LAB-"&amp;Lab_Data[[#This Row],[EmployeeNumber]]</f>
        <v>LAB-1303</v>
      </c>
      <c r="AK936" t="str">
        <f>Lab_Data[[#This Row],[JobRole]]</f>
        <v>Research Scientist</v>
      </c>
      <c r="AL936" t="str">
        <f>Lab_Data[[#This Row],[Department]]</f>
        <v>Research &amp; Development</v>
      </c>
      <c r="AM936" t="str">
        <f>IF(Lab_Data[[#This Row],[Attrition]]="Yes","Failed","Completed")</f>
        <v>Completed</v>
      </c>
      <c r="AN936">
        <f>Lab_Data[[#This Row],[YearsAtCompany]]</f>
        <v>2</v>
      </c>
      <c r="AO936" t="str">
        <f>IF(Lab_Data[[#This Row],[PerformanceRating]]&gt;=3,"Approved","Review Required")</f>
        <v>Approved</v>
      </c>
    </row>
    <row r="937" spans="1:41"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t="str">
        <f>"LAB-"&amp;Lab_Data[[#This Row],[EmployeeNumber]]</f>
        <v>LAB-1304</v>
      </c>
      <c r="AK937" t="str">
        <f>Lab_Data[[#This Row],[JobRole]]</f>
        <v>Sales Executive</v>
      </c>
      <c r="AL937" t="str">
        <f>Lab_Data[[#This Row],[Department]]</f>
        <v>Sales</v>
      </c>
      <c r="AM937" t="str">
        <f>IF(Lab_Data[[#This Row],[Attrition]]="Yes","Failed","Completed")</f>
        <v>Completed</v>
      </c>
      <c r="AN937">
        <f>Lab_Data[[#This Row],[YearsAtCompany]]</f>
        <v>10</v>
      </c>
      <c r="AO937" t="str">
        <f>IF(Lab_Data[[#This Row],[PerformanceRating]]&gt;=3,"Approved","Review Required")</f>
        <v>Approved</v>
      </c>
    </row>
    <row r="938" spans="1:41"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t="str">
        <f>"LAB-"&amp;Lab_Data[[#This Row],[EmployeeNumber]]</f>
        <v>LAB-1306</v>
      </c>
      <c r="AK938" t="str">
        <f>Lab_Data[[#This Row],[JobRole]]</f>
        <v>Manager</v>
      </c>
      <c r="AL938" t="str">
        <f>Lab_Data[[#This Row],[Department]]</f>
        <v>Research &amp; Development</v>
      </c>
      <c r="AM938" t="str">
        <f>IF(Lab_Data[[#This Row],[Attrition]]="Yes","Failed","Completed")</f>
        <v>Completed</v>
      </c>
      <c r="AN938">
        <f>Lab_Data[[#This Row],[YearsAtCompany]]</f>
        <v>0</v>
      </c>
      <c r="AO938" t="str">
        <f>IF(Lab_Data[[#This Row],[PerformanceRating]]&gt;=3,"Approved","Review Required")</f>
        <v>Approved</v>
      </c>
    </row>
    <row r="939" spans="1:41"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t="str">
        <f>"LAB-"&amp;Lab_Data[[#This Row],[EmployeeNumber]]</f>
        <v>LAB-1307</v>
      </c>
      <c r="AK939" t="str">
        <f>Lab_Data[[#This Row],[JobRole]]</f>
        <v>Manager</v>
      </c>
      <c r="AL939" t="str">
        <f>Lab_Data[[#This Row],[Department]]</f>
        <v>Research &amp; Development</v>
      </c>
      <c r="AM939" t="str">
        <f>IF(Lab_Data[[#This Row],[Attrition]]="Yes","Failed","Completed")</f>
        <v>Completed</v>
      </c>
      <c r="AN939">
        <f>Lab_Data[[#This Row],[YearsAtCompany]]</f>
        <v>19</v>
      </c>
      <c r="AO939" t="str">
        <f>IF(Lab_Data[[#This Row],[PerformanceRating]]&gt;=3,"Approved","Review Required")</f>
        <v>Approved</v>
      </c>
    </row>
    <row r="940" spans="1:41"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t="str">
        <f>"LAB-"&amp;Lab_Data[[#This Row],[EmployeeNumber]]</f>
        <v>LAB-1308</v>
      </c>
      <c r="AK940" t="str">
        <f>Lab_Data[[#This Row],[JobRole]]</f>
        <v>Research Scientist</v>
      </c>
      <c r="AL940" t="str">
        <f>Lab_Data[[#This Row],[Department]]</f>
        <v>Research &amp; Development</v>
      </c>
      <c r="AM940" t="str">
        <f>IF(Lab_Data[[#This Row],[Attrition]]="Yes","Failed","Completed")</f>
        <v>Completed</v>
      </c>
      <c r="AN940">
        <f>Lab_Data[[#This Row],[YearsAtCompany]]</f>
        <v>2</v>
      </c>
      <c r="AO940" t="str">
        <f>IF(Lab_Data[[#This Row],[PerformanceRating]]&gt;=3,"Approved","Review Required")</f>
        <v>Approved</v>
      </c>
    </row>
    <row r="941" spans="1:41"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t="str">
        <f>"LAB-"&amp;Lab_Data[[#This Row],[EmployeeNumber]]</f>
        <v>LAB-1309</v>
      </c>
      <c r="AK941" t="str">
        <f>Lab_Data[[#This Row],[JobRole]]</f>
        <v>Laboratory Technician</v>
      </c>
      <c r="AL941" t="str">
        <f>Lab_Data[[#This Row],[Department]]</f>
        <v>Research &amp; Development</v>
      </c>
      <c r="AM941" t="str">
        <f>IF(Lab_Data[[#This Row],[Attrition]]="Yes","Failed","Completed")</f>
        <v>Failed</v>
      </c>
      <c r="AN941">
        <f>Lab_Data[[#This Row],[YearsAtCompany]]</f>
        <v>10</v>
      </c>
      <c r="AO941" t="str">
        <f>IF(Lab_Data[[#This Row],[PerformanceRating]]&gt;=3,"Approved","Review Required")</f>
        <v>Approved</v>
      </c>
    </row>
    <row r="942" spans="1:41"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t="str">
        <f>"LAB-"&amp;Lab_Data[[#This Row],[EmployeeNumber]]</f>
        <v>LAB-1310</v>
      </c>
      <c r="AK942" t="str">
        <f>Lab_Data[[#This Row],[JobRole]]</f>
        <v>Research Scientist</v>
      </c>
      <c r="AL942" t="str">
        <f>Lab_Data[[#This Row],[Department]]</f>
        <v>Research &amp; Development</v>
      </c>
      <c r="AM942" t="str">
        <f>IF(Lab_Data[[#This Row],[Attrition]]="Yes","Failed","Completed")</f>
        <v>Failed</v>
      </c>
      <c r="AN942">
        <f>Lab_Data[[#This Row],[YearsAtCompany]]</f>
        <v>5</v>
      </c>
      <c r="AO942" t="str">
        <f>IF(Lab_Data[[#This Row],[PerformanceRating]]&gt;=3,"Approved","Review Required")</f>
        <v>Approved</v>
      </c>
    </row>
    <row r="943" spans="1:41"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t="str">
        <f>"LAB-"&amp;Lab_Data[[#This Row],[EmployeeNumber]]</f>
        <v>LAB-1311</v>
      </c>
      <c r="AK943" t="str">
        <f>Lab_Data[[#This Row],[JobRole]]</f>
        <v>Laboratory Technician</v>
      </c>
      <c r="AL943" t="str">
        <f>Lab_Data[[#This Row],[Department]]</f>
        <v>Research &amp; Development</v>
      </c>
      <c r="AM943" t="str">
        <f>IF(Lab_Data[[#This Row],[Attrition]]="Yes","Failed","Completed")</f>
        <v>Completed</v>
      </c>
      <c r="AN943">
        <f>Lab_Data[[#This Row],[YearsAtCompany]]</f>
        <v>9</v>
      </c>
      <c r="AO943" t="str">
        <f>IF(Lab_Data[[#This Row],[PerformanceRating]]&gt;=3,"Approved","Review Required")</f>
        <v>Approved</v>
      </c>
    </row>
    <row r="944" spans="1:41"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t="str">
        <f>"LAB-"&amp;Lab_Data[[#This Row],[EmployeeNumber]]</f>
        <v>LAB-1312</v>
      </c>
      <c r="AK944" t="str">
        <f>Lab_Data[[#This Row],[JobRole]]</f>
        <v>Healthcare Representative</v>
      </c>
      <c r="AL944" t="str">
        <f>Lab_Data[[#This Row],[Department]]</f>
        <v>Research &amp; Development</v>
      </c>
      <c r="AM944" t="str">
        <f>IF(Lab_Data[[#This Row],[Attrition]]="Yes","Failed","Completed")</f>
        <v>Completed</v>
      </c>
      <c r="AN944">
        <f>Lab_Data[[#This Row],[YearsAtCompany]]</f>
        <v>7</v>
      </c>
      <c r="AO944" t="str">
        <f>IF(Lab_Data[[#This Row],[PerformanceRating]]&gt;=3,"Approved","Review Required")</f>
        <v>Approved</v>
      </c>
    </row>
    <row r="945" spans="1:41"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t="str">
        <f>"LAB-"&amp;Lab_Data[[#This Row],[EmployeeNumber]]</f>
        <v>LAB-1314</v>
      </c>
      <c r="AK945" t="str">
        <f>Lab_Data[[#This Row],[JobRole]]</f>
        <v>Human Resources</v>
      </c>
      <c r="AL945" t="str">
        <f>Lab_Data[[#This Row],[Department]]</f>
        <v>Human Resources</v>
      </c>
      <c r="AM945" t="str">
        <f>IF(Lab_Data[[#This Row],[Attrition]]="Yes","Failed","Completed")</f>
        <v>Completed</v>
      </c>
      <c r="AN945">
        <f>Lab_Data[[#This Row],[YearsAtCompany]]</f>
        <v>7</v>
      </c>
      <c r="AO945" t="str">
        <f>IF(Lab_Data[[#This Row],[PerformanceRating]]&gt;=3,"Approved","Review Required")</f>
        <v>Approved</v>
      </c>
    </row>
    <row r="946" spans="1:41"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t="str">
        <f>"LAB-"&amp;Lab_Data[[#This Row],[EmployeeNumber]]</f>
        <v>LAB-1315</v>
      </c>
      <c r="AK946" t="str">
        <f>Lab_Data[[#This Row],[JobRole]]</f>
        <v>Laboratory Technician</v>
      </c>
      <c r="AL946" t="str">
        <f>Lab_Data[[#This Row],[Department]]</f>
        <v>Research &amp; Development</v>
      </c>
      <c r="AM946" t="str">
        <f>IF(Lab_Data[[#This Row],[Attrition]]="Yes","Failed","Completed")</f>
        <v>Completed</v>
      </c>
      <c r="AN946">
        <f>Lab_Data[[#This Row],[YearsAtCompany]]</f>
        <v>9</v>
      </c>
      <c r="AO946" t="str">
        <f>IF(Lab_Data[[#This Row],[PerformanceRating]]&gt;=3,"Approved","Review Required")</f>
        <v>Approved</v>
      </c>
    </row>
    <row r="947" spans="1:41"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t="str">
        <f>"LAB-"&amp;Lab_Data[[#This Row],[EmployeeNumber]]</f>
        <v>LAB-1317</v>
      </c>
      <c r="AK947" t="str">
        <f>Lab_Data[[#This Row],[JobRole]]</f>
        <v>Research Director</v>
      </c>
      <c r="AL947" t="str">
        <f>Lab_Data[[#This Row],[Department]]</f>
        <v>Research &amp; Development</v>
      </c>
      <c r="AM947" t="str">
        <f>IF(Lab_Data[[#This Row],[Attrition]]="Yes","Failed","Completed")</f>
        <v>Completed</v>
      </c>
      <c r="AN947">
        <f>Lab_Data[[#This Row],[YearsAtCompany]]</f>
        <v>3</v>
      </c>
      <c r="AO947" t="str">
        <f>IF(Lab_Data[[#This Row],[PerformanceRating]]&gt;=3,"Approved","Review Required")</f>
        <v>Approved</v>
      </c>
    </row>
    <row r="948" spans="1:41"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t="str">
        <f>"LAB-"&amp;Lab_Data[[#This Row],[EmployeeNumber]]</f>
        <v>LAB-1318</v>
      </c>
      <c r="AK948" t="str">
        <f>Lab_Data[[#This Row],[JobRole]]</f>
        <v>Sales Executive</v>
      </c>
      <c r="AL948" t="str">
        <f>Lab_Data[[#This Row],[Department]]</f>
        <v>Sales</v>
      </c>
      <c r="AM948" t="str">
        <f>IF(Lab_Data[[#This Row],[Attrition]]="Yes","Failed","Completed")</f>
        <v>Failed</v>
      </c>
      <c r="AN948">
        <f>Lab_Data[[#This Row],[YearsAtCompany]]</f>
        <v>5</v>
      </c>
      <c r="AO948" t="str">
        <f>IF(Lab_Data[[#This Row],[PerformanceRating]]&gt;=3,"Approved","Review Required")</f>
        <v>Approved</v>
      </c>
    </row>
    <row r="949" spans="1:41"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t="str">
        <f>"LAB-"&amp;Lab_Data[[#This Row],[EmployeeNumber]]</f>
        <v>LAB-1319</v>
      </c>
      <c r="AK949" t="str">
        <f>Lab_Data[[#This Row],[JobRole]]</f>
        <v>Sales Executive</v>
      </c>
      <c r="AL949" t="str">
        <f>Lab_Data[[#This Row],[Department]]</f>
        <v>Sales</v>
      </c>
      <c r="AM949" t="str">
        <f>IF(Lab_Data[[#This Row],[Attrition]]="Yes","Failed","Completed")</f>
        <v>Failed</v>
      </c>
      <c r="AN949">
        <f>Lab_Data[[#This Row],[YearsAtCompany]]</f>
        <v>8</v>
      </c>
      <c r="AO949" t="str">
        <f>IF(Lab_Data[[#This Row],[PerformanceRating]]&gt;=3,"Approved","Review Required")</f>
        <v>Approved</v>
      </c>
    </row>
    <row r="950" spans="1:41"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t="str">
        <f>"LAB-"&amp;Lab_Data[[#This Row],[EmployeeNumber]]</f>
        <v>LAB-1321</v>
      </c>
      <c r="AK950" t="str">
        <f>Lab_Data[[#This Row],[JobRole]]</f>
        <v>Manager</v>
      </c>
      <c r="AL950" t="str">
        <f>Lab_Data[[#This Row],[Department]]</f>
        <v>Research &amp; Development</v>
      </c>
      <c r="AM950" t="str">
        <f>IF(Lab_Data[[#This Row],[Attrition]]="Yes","Failed","Completed")</f>
        <v>Completed</v>
      </c>
      <c r="AN950">
        <f>Lab_Data[[#This Row],[YearsAtCompany]]</f>
        <v>9</v>
      </c>
      <c r="AO950" t="str">
        <f>IF(Lab_Data[[#This Row],[PerformanceRating]]&gt;=3,"Approved","Review Required")</f>
        <v>Approved</v>
      </c>
    </row>
    <row r="951" spans="1:41"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t="str">
        <f>"LAB-"&amp;Lab_Data[[#This Row],[EmployeeNumber]]</f>
        <v>LAB-1322</v>
      </c>
      <c r="AK951" t="str">
        <f>Lab_Data[[#This Row],[JobRole]]</f>
        <v>Manufacturing Director</v>
      </c>
      <c r="AL951" t="str">
        <f>Lab_Data[[#This Row],[Department]]</f>
        <v>Research &amp; Development</v>
      </c>
      <c r="AM951" t="str">
        <f>IF(Lab_Data[[#This Row],[Attrition]]="Yes","Failed","Completed")</f>
        <v>Completed</v>
      </c>
      <c r="AN951">
        <f>Lab_Data[[#This Row],[YearsAtCompany]]</f>
        <v>8</v>
      </c>
      <c r="AO951" t="str">
        <f>IF(Lab_Data[[#This Row],[PerformanceRating]]&gt;=3,"Approved","Review Required")</f>
        <v>Approved</v>
      </c>
    </row>
    <row r="952" spans="1:41"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t="str">
        <f>"LAB-"&amp;Lab_Data[[#This Row],[EmployeeNumber]]</f>
        <v>LAB-1324</v>
      </c>
      <c r="AK952" t="str">
        <f>Lab_Data[[#This Row],[JobRole]]</f>
        <v>Sales Executive</v>
      </c>
      <c r="AL952" t="str">
        <f>Lab_Data[[#This Row],[Department]]</f>
        <v>Sales</v>
      </c>
      <c r="AM952" t="str">
        <f>IF(Lab_Data[[#This Row],[Attrition]]="Yes","Failed","Completed")</f>
        <v>Completed</v>
      </c>
      <c r="AN952">
        <f>Lab_Data[[#This Row],[YearsAtCompany]]</f>
        <v>10</v>
      </c>
      <c r="AO952" t="str">
        <f>IF(Lab_Data[[#This Row],[PerformanceRating]]&gt;=3,"Approved","Review Required")</f>
        <v>Approved</v>
      </c>
    </row>
    <row r="953" spans="1:41"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t="str">
        <f>"LAB-"&amp;Lab_Data[[#This Row],[EmployeeNumber]]</f>
        <v>LAB-1329</v>
      </c>
      <c r="AK953" t="str">
        <f>Lab_Data[[#This Row],[JobRole]]</f>
        <v>Sales Executive</v>
      </c>
      <c r="AL953" t="str">
        <f>Lab_Data[[#This Row],[Department]]</f>
        <v>Sales</v>
      </c>
      <c r="AM953" t="str">
        <f>IF(Lab_Data[[#This Row],[Attrition]]="Yes","Failed","Completed")</f>
        <v>Completed</v>
      </c>
      <c r="AN953">
        <f>Lab_Data[[#This Row],[YearsAtCompany]]</f>
        <v>19</v>
      </c>
      <c r="AO953" t="str">
        <f>IF(Lab_Data[[#This Row],[PerformanceRating]]&gt;=3,"Approved","Review Required")</f>
        <v>Approved</v>
      </c>
    </row>
    <row r="954" spans="1:41"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t="str">
        <f>"LAB-"&amp;Lab_Data[[#This Row],[EmployeeNumber]]</f>
        <v>LAB-1331</v>
      </c>
      <c r="AK954" t="str">
        <f>Lab_Data[[#This Row],[JobRole]]</f>
        <v>Sales Representative</v>
      </c>
      <c r="AL954" t="str">
        <f>Lab_Data[[#This Row],[Department]]</f>
        <v>Sales</v>
      </c>
      <c r="AM954" t="str">
        <f>IF(Lab_Data[[#This Row],[Attrition]]="Yes","Failed","Completed")</f>
        <v>Failed</v>
      </c>
      <c r="AN954">
        <f>Lab_Data[[#This Row],[YearsAtCompany]]</f>
        <v>3</v>
      </c>
      <c r="AO954" t="str">
        <f>IF(Lab_Data[[#This Row],[PerformanceRating]]&gt;=3,"Approved","Review Required")</f>
        <v>Approved</v>
      </c>
    </row>
    <row r="955" spans="1:41"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t="str">
        <f>"LAB-"&amp;Lab_Data[[#This Row],[EmployeeNumber]]</f>
        <v>LAB-1333</v>
      </c>
      <c r="AK955" t="str">
        <f>Lab_Data[[#This Row],[JobRole]]</f>
        <v>Laboratory Technician</v>
      </c>
      <c r="AL955" t="str">
        <f>Lab_Data[[#This Row],[Department]]</f>
        <v>Research &amp; Development</v>
      </c>
      <c r="AM955" t="str">
        <f>IF(Lab_Data[[#This Row],[Attrition]]="Yes","Failed","Completed")</f>
        <v>Failed</v>
      </c>
      <c r="AN955">
        <f>Lab_Data[[#This Row],[YearsAtCompany]]</f>
        <v>3</v>
      </c>
      <c r="AO955" t="str">
        <f>IF(Lab_Data[[#This Row],[PerformanceRating]]&gt;=3,"Approved","Review Required")</f>
        <v>Approved</v>
      </c>
    </row>
    <row r="956" spans="1:41"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t="str">
        <f>"LAB-"&amp;Lab_Data[[#This Row],[EmployeeNumber]]</f>
        <v>LAB-1334</v>
      </c>
      <c r="AK956" t="str">
        <f>Lab_Data[[#This Row],[JobRole]]</f>
        <v>Manager</v>
      </c>
      <c r="AL956" t="str">
        <f>Lab_Data[[#This Row],[Department]]</f>
        <v>Research &amp; Development</v>
      </c>
      <c r="AM956" t="str">
        <f>IF(Lab_Data[[#This Row],[Attrition]]="Yes","Failed","Completed")</f>
        <v>Completed</v>
      </c>
      <c r="AN956">
        <f>Lab_Data[[#This Row],[YearsAtCompany]]</f>
        <v>20</v>
      </c>
      <c r="AO956" t="str">
        <f>IF(Lab_Data[[#This Row],[PerformanceRating]]&gt;=3,"Approved","Review Required")</f>
        <v>Approved</v>
      </c>
    </row>
    <row r="957" spans="1:41"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t="str">
        <f>"LAB-"&amp;Lab_Data[[#This Row],[EmployeeNumber]]</f>
        <v>LAB-1336</v>
      </c>
      <c r="AK957" t="str">
        <f>Lab_Data[[#This Row],[JobRole]]</f>
        <v>Manager</v>
      </c>
      <c r="AL957" t="str">
        <f>Lab_Data[[#This Row],[Department]]</f>
        <v>Research &amp; Development</v>
      </c>
      <c r="AM957" t="str">
        <f>IF(Lab_Data[[#This Row],[Attrition]]="Yes","Failed","Completed")</f>
        <v>Completed</v>
      </c>
      <c r="AN957">
        <f>Lab_Data[[#This Row],[YearsAtCompany]]</f>
        <v>19</v>
      </c>
      <c r="AO957" t="str">
        <f>IF(Lab_Data[[#This Row],[PerformanceRating]]&gt;=3,"Approved","Review Required")</f>
        <v>Approved</v>
      </c>
    </row>
    <row r="958" spans="1:41"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t="str">
        <f>"LAB-"&amp;Lab_Data[[#This Row],[EmployeeNumber]]</f>
        <v>LAB-1338</v>
      </c>
      <c r="AK958" t="str">
        <f>Lab_Data[[#This Row],[JobRole]]</f>
        <v>Manager</v>
      </c>
      <c r="AL958" t="str">
        <f>Lab_Data[[#This Row],[Department]]</f>
        <v>Human Resources</v>
      </c>
      <c r="AM958" t="str">
        <f>IF(Lab_Data[[#This Row],[Attrition]]="Yes","Failed","Completed")</f>
        <v>Completed</v>
      </c>
      <c r="AN958">
        <f>Lab_Data[[#This Row],[YearsAtCompany]]</f>
        <v>7</v>
      </c>
      <c r="AO958" t="str">
        <f>IF(Lab_Data[[#This Row],[PerformanceRating]]&gt;=3,"Approved","Review Required")</f>
        <v>Approved</v>
      </c>
    </row>
    <row r="959" spans="1:41"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t="str">
        <f>"LAB-"&amp;Lab_Data[[#This Row],[EmployeeNumber]]</f>
        <v>LAB-1340</v>
      </c>
      <c r="AK959" t="str">
        <f>Lab_Data[[#This Row],[JobRole]]</f>
        <v>Research Scientist</v>
      </c>
      <c r="AL959" t="str">
        <f>Lab_Data[[#This Row],[Department]]</f>
        <v>Research &amp; Development</v>
      </c>
      <c r="AM959" t="str">
        <f>IF(Lab_Data[[#This Row],[Attrition]]="Yes","Failed","Completed")</f>
        <v>Completed</v>
      </c>
      <c r="AN959">
        <f>Lab_Data[[#This Row],[YearsAtCompany]]</f>
        <v>4</v>
      </c>
      <c r="AO959" t="str">
        <f>IF(Lab_Data[[#This Row],[PerformanceRating]]&gt;=3,"Approved","Review Required")</f>
        <v>Approved</v>
      </c>
    </row>
    <row r="960" spans="1:41"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t="str">
        <f>"LAB-"&amp;Lab_Data[[#This Row],[EmployeeNumber]]</f>
        <v>LAB-1344</v>
      </c>
      <c r="AK960" t="str">
        <f>Lab_Data[[#This Row],[JobRole]]</f>
        <v>Healthcare Representative</v>
      </c>
      <c r="AL960" t="str">
        <f>Lab_Data[[#This Row],[Department]]</f>
        <v>Research &amp; Development</v>
      </c>
      <c r="AM960" t="str">
        <f>IF(Lab_Data[[#This Row],[Attrition]]="Yes","Failed","Completed")</f>
        <v>Completed</v>
      </c>
      <c r="AN960">
        <f>Lab_Data[[#This Row],[YearsAtCompany]]</f>
        <v>9</v>
      </c>
      <c r="AO960" t="str">
        <f>IF(Lab_Data[[#This Row],[PerformanceRating]]&gt;=3,"Approved","Review Required")</f>
        <v>Approved</v>
      </c>
    </row>
    <row r="961" spans="1:41"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t="str">
        <f>"LAB-"&amp;Lab_Data[[#This Row],[EmployeeNumber]]</f>
        <v>LAB-1346</v>
      </c>
      <c r="AK961" t="str">
        <f>Lab_Data[[#This Row],[JobRole]]</f>
        <v>Research Scientist</v>
      </c>
      <c r="AL961" t="str">
        <f>Lab_Data[[#This Row],[Department]]</f>
        <v>Research &amp; Development</v>
      </c>
      <c r="AM961" t="str">
        <f>IF(Lab_Data[[#This Row],[Attrition]]="Yes","Failed","Completed")</f>
        <v>Completed</v>
      </c>
      <c r="AN961">
        <f>Lab_Data[[#This Row],[YearsAtCompany]]</f>
        <v>9</v>
      </c>
      <c r="AO961" t="str">
        <f>IF(Lab_Data[[#This Row],[PerformanceRating]]&gt;=3,"Approved","Review Required")</f>
        <v>Approved</v>
      </c>
    </row>
    <row r="962" spans="1:41"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t="str">
        <f>"LAB-"&amp;Lab_Data[[#This Row],[EmployeeNumber]]</f>
        <v>LAB-1349</v>
      </c>
      <c r="AK962" t="str">
        <f>Lab_Data[[#This Row],[JobRole]]</f>
        <v>Sales Executive</v>
      </c>
      <c r="AL962" t="str">
        <f>Lab_Data[[#This Row],[Department]]</f>
        <v>Sales</v>
      </c>
      <c r="AM962" t="str">
        <f>IF(Lab_Data[[#This Row],[Attrition]]="Yes","Failed","Completed")</f>
        <v>Completed</v>
      </c>
      <c r="AN962">
        <f>Lab_Data[[#This Row],[YearsAtCompany]]</f>
        <v>9</v>
      </c>
      <c r="AO962" t="str">
        <f>IF(Lab_Data[[#This Row],[PerformanceRating]]&gt;=3,"Approved","Review Required")</f>
        <v>Approved</v>
      </c>
    </row>
    <row r="963" spans="1:41"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t="str">
        <f>"LAB-"&amp;Lab_Data[[#This Row],[EmployeeNumber]]</f>
        <v>LAB-1350</v>
      </c>
      <c r="AK963" t="str">
        <f>Lab_Data[[#This Row],[JobRole]]</f>
        <v>Research Scientist</v>
      </c>
      <c r="AL963" t="str">
        <f>Lab_Data[[#This Row],[Department]]</f>
        <v>Research &amp; Development</v>
      </c>
      <c r="AM963" t="str">
        <f>IF(Lab_Data[[#This Row],[Attrition]]="Yes","Failed","Completed")</f>
        <v>Completed</v>
      </c>
      <c r="AN963">
        <f>Lab_Data[[#This Row],[YearsAtCompany]]</f>
        <v>9</v>
      </c>
      <c r="AO963" t="str">
        <f>IF(Lab_Data[[#This Row],[PerformanceRating]]&gt;=3,"Approved","Review Required")</f>
        <v>Approved</v>
      </c>
    </row>
    <row r="964" spans="1:41"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t="str">
        <f>"LAB-"&amp;Lab_Data[[#This Row],[EmployeeNumber]]</f>
        <v>LAB-1352</v>
      </c>
      <c r="AK964" t="str">
        <f>Lab_Data[[#This Row],[JobRole]]</f>
        <v>Manager</v>
      </c>
      <c r="AL964" t="str">
        <f>Lab_Data[[#This Row],[Department]]</f>
        <v>Human Resources</v>
      </c>
      <c r="AM964" t="str">
        <f>IF(Lab_Data[[#This Row],[Attrition]]="Yes","Failed","Completed")</f>
        <v>Completed</v>
      </c>
      <c r="AN964">
        <f>Lab_Data[[#This Row],[YearsAtCompany]]</f>
        <v>33</v>
      </c>
      <c r="AO964" t="str">
        <f>IF(Lab_Data[[#This Row],[PerformanceRating]]&gt;=3,"Approved","Review Required")</f>
        <v>Approved</v>
      </c>
    </row>
    <row r="965" spans="1:41"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t="str">
        <f>"LAB-"&amp;Lab_Data[[#This Row],[EmployeeNumber]]</f>
        <v>LAB-1355</v>
      </c>
      <c r="AK965" t="str">
        <f>Lab_Data[[#This Row],[JobRole]]</f>
        <v>Sales Executive</v>
      </c>
      <c r="AL965" t="str">
        <f>Lab_Data[[#This Row],[Department]]</f>
        <v>Sales</v>
      </c>
      <c r="AM965" t="str">
        <f>IF(Lab_Data[[#This Row],[Attrition]]="Yes","Failed","Completed")</f>
        <v>Completed</v>
      </c>
      <c r="AN965">
        <f>Lab_Data[[#This Row],[YearsAtCompany]]</f>
        <v>7</v>
      </c>
      <c r="AO965" t="str">
        <f>IF(Lab_Data[[#This Row],[PerformanceRating]]&gt;=3,"Approved","Review Required")</f>
        <v>Approved</v>
      </c>
    </row>
    <row r="966" spans="1:41"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t="str">
        <f>"LAB-"&amp;Lab_Data[[#This Row],[EmployeeNumber]]</f>
        <v>LAB-1356</v>
      </c>
      <c r="AK966" t="str">
        <f>Lab_Data[[#This Row],[JobRole]]</f>
        <v>Sales Executive</v>
      </c>
      <c r="AL966" t="str">
        <f>Lab_Data[[#This Row],[Department]]</f>
        <v>Sales</v>
      </c>
      <c r="AM966" t="str">
        <f>IF(Lab_Data[[#This Row],[Attrition]]="Yes","Failed","Completed")</f>
        <v>Completed</v>
      </c>
      <c r="AN966">
        <f>Lab_Data[[#This Row],[YearsAtCompany]]</f>
        <v>10</v>
      </c>
      <c r="AO966" t="str">
        <f>IF(Lab_Data[[#This Row],[PerformanceRating]]&gt;=3,"Approved","Review Required")</f>
        <v>Approved</v>
      </c>
    </row>
    <row r="967" spans="1:41"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t="str">
        <f>"LAB-"&amp;Lab_Data[[#This Row],[EmployeeNumber]]</f>
        <v>LAB-1358</v>
      </c>
      <c r="AK967" t="str">
        <f>Lab_Data[[#This Row],[JobRole]]</f>
        <v>Laboratory Technician</v>
      </c>
      <c r="AL967" t="str">
        <f>Lab_Data[[#This Row],[Department]]</f>
        <v>Research &amp; Development</v>
      </c>
      <c r="AM967" t="str">
        <f>IF(Lab_Data[[#This Row],[Attrition]]="Yes","Failed","Completed")</f>
        <v>Completed</v>
      </c>
      <c r="AN967">
        <f>Lab_Data[[#This Row],[YearsAtCompany]]</f>
        <v>3</v>
      </c>
      <c r="AO967" t="str">
        <f>IF(Lab_Data[[#This Row],[PerformanceRating]]&gt;=3,"Approved","Review Required")</f>
        <v>Approved</v>
      </c>
    </row>
    <row r="968" spans="1:41"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t="str">
        <f>"LAB-"&amp;Lab_Data[[#This Row],[EmployeeNumber]]</f>
        <v>LAB-1360</v>
      </c>
      <c r="AK968" t="str">
        <f>Lab_Data[[#This Row],[JobRole]]</f>
        <v>Manufacturing Director</v>
      </c>
      <c r="AL968" t="str">
        <f>Lab_Data[[#This Row],[Department]]</f>
        <v>Research &amp; Development</v>
      </c>
      <c r="AM968" t="str">
        <f>IF(Lab_Data[[#This Row],[Attrition]]="Yes","Failed","Completed")</f>
        <v>Failed</v>
      </c>
      <c r="AN968">
        <f>Lab_Data[[#This Row],[YearsAtCompany]]</f>
        <v>10</v>
      </c>
      <c r="AO968" t="str">
        <f>IF(Lab_Data[[#This Row],[PerformanceRating]]&gt;=3,"Approved","Review Required")</f>
        <v>Approved</v>
      </c>
    </row>
    <row r="969" spans="1:41"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t="str">
        <f>"LAB-"&amp;Lab_Data[[#This Row],[EmployeeNumber]]</f>
        <v>LAB-1361</v>
      </c>
      <c r="AK969" t="str">
        <f>Lab_Data[[#This Row],[JobRole]]</f>
        <v>Laboratory Technician</v>
      </c>
      <c r="AL969" t="str">
        <f>Lab_Data[[#This Row],[Department]]</f>
        <v>Research &amp; Development</v>
      </c>
      <c r="AM969" t="str">
        <f>IF(Lab_Data[[#This Row],[Attrition]]="Yes","Failed","Completed")</f>
        <v>Completed</v>
      </c>
      <c r="AN969">
        <f>Lab_Data[[#This Row],[YearsAtCompany]]</f>
        <v>4</v>
      </c>
      <c r="AO969" t="str">
        <f>IF(Lab_Data[[#This Row],[PerformanceRating]]&gt;=3,"Approved","Review Required")</f>
        <v>Approved</v>
      </c>
    </row>
    <row r="970" spans="1:41"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t="str">
        <f>"LAB-"&amp;Lab_Data[[#This Row],[EmployeeNumber]]</f>
        <v>LAB-1362</v>
      </c>
      <c r="AK970" t="str">
        <f>Lab_Data[[#This Row],[JobRole]]</f>
        <v>Sales Executive</v>
      </c>
      <c r="AL970" t="str">
        <f>Lab_Data[[#This Row],[Department]]</f>
        <v>Sales</v>
      </c>
      <c r="AM970" t="str">
        <f>IF(Lab_Data[[#This Row],[Attrition]]="Yes","Failed","Completed")</f>
        <v>Completed</v>
      </c>
      <c r="AN970">
        <f>Lab_Data[[#This Row],[YearsAtCompany]]</f>
        <v>15</v>
      </c>
      <c r="AO970" t="str">
        <f>IF(Lab_Data[[#This Row],[PerformanceRating]]&gt;=3,"Approved","Review Required")</f>
        <v>Approved</v>
      </c>
    </row>
    <row r="971" spans="1:41"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t="str">
        <f>"LAB-"&amp;Lab_Data[[#This Row],[EmployeeNumber]]</f>
        <v>LAB-1363</v>
      </c>
      <c r="AK971" t="str">
        <f>Lab_Data[[#This Row],[JobRole]]</f>
        <v>Manufacturing Director</v>
      </c>
      <c r="AL971" t="str">
        <f>Lab_Data[[#This Row],[Department]]</f>
        <v>Research &amp; Development</v>
      </c>
      <c r="AM971" t="str">
        <f>IF(Lab_Data[[#This Row],[Attrition]]="Yes","Failed","Completed")</f>
        <v>Completed</v>
      </c>
      <c r="AN971">
        <f>Lab_Data[[#This Row],[YearsAtCompany]]</f>
        <v>10</v>
      </c>
      <c r="AO971" t="str">
        <f>IF(Lab_Data[[#This Row],[PerformanceRating]]&gt;=3,"Approved","Review Required")</f>
        <v>Approved</v>
      </c>
    </row>
    <row r="972" spans="1:41"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t="str">
        <f>"LAB-"&amp;Lab_Data[[#This Row],[EmployeeNumber]]</f>
        <v>LAB-1364</v>
      </c>
      <c r="AK972" t="str">
        <f>Lab_Data[[#This Row],[JobRole]]</f>
        <v>Sales Representative</v>
      </c>
      <c r="AL972" t="str">
        <f>Lab_Data[[#This Row],[Department]]</f>
        <v>Sales</v>
      </c>
      <c r="AM972" t="str">
        <f>IF(Lab_Data[[#This Row],[Attrition]]="Yes","Failed","Completed")</f>
        <v>Completed</v>
      </c>
      <c r="AN972">
        <f>Lab_Data[[#This Row],[YearsAtCompany]]</f>
        <v>1</v>
      </c>
      <c r="AO972" t="str">
        <f>IF(Lab_Data[[#This Row],[PerformanceRating]]&gt;=3,"Approved","Review Required")</f>
        <v>Approved</v>
      </c>
    </row>
    <row r="973" spans="1:41"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t="str">
        <f>"LAB-"&amp;Lab_Data[[#This Row],[EmployeeNumber]]</f>
        <v>LAB-1367</v>
      </c>
      <c r="AK973" t="str">
        <f>Lab_Data[[#This Row],[JobRole]]</f>
        <v>Manufacturing Director</v>
      </c>
      <c r="AL973" t="str">
        <f>Lab_Data[[#This Row],[Department]]</f>
        <v>Research &amp; Development</v>
      </c>
      <c r="AM973" t="str">
        <f>IF(Lab_Data[[#This Row],[Attrition]]="Yes","Failed","Completed")</f>
        <v>Completed</v>
      </c>
      <c r="AN973">
        <f>Lab_Data[[#This Row],[YearsAtCompany]]</f>
        <v>5</v>
      </c>
      <c r="AO973" t="str">
        <f>IF(Lab_Data[[#This Row],[PerformanceRating]]&gt;=3,"Approved","Review Required")</f>
        <v>Approved</v>
      </c>
    </row>
    <row r="974" spans="1:41"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t="str">
        <f>"LAB-"&amp;Lab_Data[[#This Row],[EmployeeNumber]]</f>
        <v>LAB-1368</v>
      </c>
      <c r="AK974" t="str">
        <f>Lab_Data[[#This Row],[JobRole]]</f>
        <v>Laboratory Technician</v>
      </c>
      <c r="AL974" t="str">
        <f>Lab_Data[[#This Row],[Department]]</f>
        <v>Research &amp; Development</v>
      </c>
      <c r="AM974" t="str">
        <f>IF(Lab_Data[[#This Row],[Attrition]]="Yes","Failed","Completed")</f>
        <v>Completed</v>
      </c>
      <c r="AN974">
        <f>Lab_Data[[#This Row],[YearsAtCompany]]</f>
        <v>0</v>
      </c>
      <c r="AO974" t="str">
        <f>IF(Lab_Data[[#This Row],[PerformanceRating]]&gt;=3,"Approved","Review Required")</f>
        <v>Approved</v>
      </c>
    </row>
    <row r="975" spans="1:41"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t="str">
        <f>"LAB-"&amp;Lab_Data[[#This Row],[EmployeeNumber]]</f>
        <v>LAB-1369</v>
      </c>
      <c r="AK975" t="str">
        <f>Lab_Data[[#This Row],[JobRole]]</f>
        <v>Laboratory Technician</v>
      </c>
      <c r="AL975" t="str">
        <f>Lab_Data[[#This Row],[Department]]</f>
        <v>Research &amp; Development</v>
      </c>
      <c r="AM975" t="str">
        <f>IF(Lab_Data[[#This Row],[Attrition]]="Yes","Failed","Completed")</f>
        <v>Completed</v>
      </c>
      <c r="AN975">
        <f>Lab_Data[[#This Row],[YearsAtCompany]]</f>
        <v>9</v>
      </c>
      <c r="AO975" t="str">
        <f>IF(Lab_Data[[#This Row],[PerformanceRating]]&gt;=3,"Approved","Review Required")</f>
        <v>Approved</v>
      </c>
    </row>
    <row r="976" spans="1:41"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t="str">
        <f>"LAB-"&amp;Lab_Data[[#This Row],[EmployeeNumber]]</f>
        <v>LAB-1371</v>
      </c>
      <c r="AK976" t="str">
        <f>Lab_Data[[#This Row],[JobRole]]</f>
        <v>Sales Executive</v>
      </c>
      <c r="AL976" t="str">
        <f>Lab_Data[[#This Row],[Department]]</f>
        <v>Sales</v>
      </c>
      <c r="AM976" t="str">
        <f>IF(Lab_Data[[#This Row],[Attrition]]="Yes","Failed","Completed")</f>
        <v>Completed</v>
      </c>
      <c r="AN976">
        <f>Lab_Data[[#This Row],[YearsAtCompany]]</f>
        <v>6</v>
      </c>
      <c r="AO976" t="str">
        <f>IF(Lab_Data[[#This Row],[PerformanceRating]]&gt;=3,"Approved","Review Required")</f>
        <v>Approved</v>
      </c>
    </row>
    <row r="977" spans="1:41"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t="str">
        <f>"LAB-"&amp;Lab_Data[[#This Row],[EmployeeNumber]]</f>
        <v>LAB-1372</v>
      </c>
      <c r="AK977" t="str">
        <f>Lab_Data[[#This Row],[JobRole]]</f>
        <v>Sales Executive</v>
      </c>
      <c r="AL977" t="str">
        <f>Lab_Data[[#This Row],[Department]]</f>
        <v>Sales</v>
      </c>
      <c r="AM977" t="str">
        <f>IF(Lab_Data[[#This Row],[Attrition]]="Yes","Failed","Completed")</f>
        <v>Failed</v>
      </c>
      <c r="AN977">
        <f>Lab_Data[[#This Row],[YearsAtCompany]]</f>
        <v>19</v>
      </c>
      <c r="AO977" t="str">
        <f>IF(Lab_Data[[#This Row],[PerformanceRating]]&gt;=3,"Approved","Review Required")</f>
        <v>Approved</v>
      </c>
    </row>
    <row r="978" spans="1:41"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t="str">
        <f>"LAB-"&amp;Lab_Data[[#This Row],[EmployeeNumber]]</f>
        <v>LAB-1373</v>
      </c>
      <c r="AK978" t="str">
        <f>Lab_Data[[#This Row],[JobRole]]</f>
        <v>Manufacturing Director</v>
      </c>
      <c r="AL978" t="str">
        <f>Lab_Data[[#This Row],[Department]]</f>
        <v>Research &amp; Development</v>
      </c>
      <c r="AM978" t="str">
        <f>IF(Lab_Data[[#This Row],[Attrition]]="Yes","Failed","Completed")</f>
        <v>Completed</v>
      </c>
      <c r="AN978">
        <f>Lab_Data[[#This Row],[YearsAtCompany]]</f>
        <v>19</v>
      </c>
      <c r="AO978" t="str">
        <f>IF(Lab_Data[[#This Row],[PerformanceRating]]&gt;=3,"Approved","Review Required")</f>
        <v>Approved</v>
      </c>
    </row>
    <row r="979" spans="1:41"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t="str">
        <f>"LAB-"&amp;Lab_Data[[#This Row],[EmployeeNumber]]</f>
        <v>LAB-1374</v>
      </c>
      <c r="AK979" t="str">
        <f>Lab_Data[[#This Row],[JobRole]]</f>
        <v>Research Scientist</v>
      </c>
      <c r="AL979" t="str">
        <f>Lab_Data[[#This Row],[Department]]</f>
        <v>Research &amp; Development</v>
      </c>
      <c r="AM979" t="str">
        <f>IF(Lab_Data[[#This Row],[Attrition]]="Yes","Failed","Completed")</f>
        <v>Completed</v>
      </c>
      <c r="AN979">
        <f>Lab_Data[[#This Row],[YearsAtCompany]]</f>
        <v>5</v>
      </c>
      <c r="AO979" t="str">
        <f>IF(Lab_Data[[#This Row],[PerformanceRating]]&gt;=3,"Approved","Review Required")</f>
        <v>Approved</v>
      </c>
    </row>
    <row r="980" spans="1:41"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t="str">
        <f>"LAB-"&amp;Lab_Data[[#This Row],[EmployeeNumber]]</f>
        <v>LAB-1375</v>
      </c>
      <c r="AK980" t="str">
        <f>Lab_Data[[#This Row],[JobRole]]</f>
        <v>Healthcare Representative</v>
      </c>
      <c r="AL980" t="str">
        <f>Lab_Data[[#This Row],[Department]]</f>
        <v>Research &amp; Development</v>
      </c>
      <c r="AM980" t="str">
        <f>IF(Lab_Data[[#This Row],[Attrition]]="Yes","Failed","Completed")</f>
        <v>Completed</v>
      </c>
      <c r="AN980">
        <f>Lab_Data[[#This Row],[YearsAtCompany]]</f>
        <v>12</v>
      </c>
      <c r="AO980" t="str">
        <f>IF(Lab_Data[[#This Row],[PerformanceRating]]&gt;=3,"Approved","Review Required")</f>
        <v>Approved</v>
      </c>
    </row>
    <row r="981" spans="1:41"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t="str">
        <f>"LAB-"&amp;Lab_Data[[#This Row],[EmployeeNumber]]</f>
        <v>LAB-1377</v>
      </c>
      <c r="AK981" t="str">
        <f>Lab_Data[[#This Row],[JobRole]]</f>
        <v>Laboratory Technician</v>
      </c>
      <c r="AL981" t="str">
        <f>Lab_Data[[#This Row],[Department]]</f>
        <v>Research &amp; Development</v>
      </c>
      <c r="AM981" t="str">
        <f>IF(Lab_Data[[#This Row],[Attrition]]="Yes","Failed","Completed")</f>
        <v>Completed</v>
      </c>
      <c r="AN981">
        <f>Lab_Data[[#This Row],[YearsAtCompany]]</f>
        <v>8</v>
      </c>
      <c r="AO981" t="str">
        <f>IF(Lab_Data[[#This Row],[PerformanceRating]]&gt;=3,"Approved","Review Required")</f>
        <v>Approved</v>
      </c>
    </row>
    <row r="982" spans="1:41"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t="str">
        <f>"LAB-"&amp;Lab_Data[[#This Row],[EmployeeNumber]]</f>
        <v>LAB-1379</v>
      </c>
      <c r="AK982" t="str">
        <f>Lab_Data[[#This Row],[JobRole]]</f>
        <v>Sales Representative</v>
      </c>
      <c r="AL982" t="str">
        <f>Lab_Data[[#This Row],[Department]]</f>
        <v>Sales</v>
      </c>
      <c r="AM982" t="str">
        <f>IF(Lab_Data[[#This Row],[Attrition]]="Yes","Failed","Completed")</f>
        <v>Failed</v>
      </c>
      <c r="AN982">
        <f>Lab_Data[[#This Row],[YearsAtCompany]]</f>
        <v>1</v>
      </c>
      <c r="AO982" t="str">
        <f>IF(Lab_Data[[#This Row],[PerformanceRating]]&gt;=3,"Approved","Review Required")</f>
        <v>Approved</v>
      </c>
    </row>
    <row r="983" spans="1:41"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t="str">
        <f>"LAB-"&amp;Lab_Data[[#This Row],[EmployeeNumber]]</f>
        <v>LAB-1380</v>
      </c>
      <c r="AK983" t="str">
        <f>Lab_Data[[#This Row],[JobRole]]</f>
        <v>Sales Executive</v>
      </c>
      <c r="AL983" t="str">
        <f>Lab_Data[[#This Row],[Department]]</f>
        <v>Sales</v>
      </c>
      <c r="AM983" t="str">
        <f>IF(Lab_Data[[#This Row],[Attrition]]="Yes","Failed","Completed")</f>
        <v>Failed</v>
      </c>
      <c r="AN983">
        <f>Lab_Data[[#This Row],[YearsAtCompany]]</f>
        <v>4</v>
      </c>
      <c r="AO983" t="str">
        <f>IF(Lab_Data[[#This Row],[PerformanceRating]]&gt;=3,"Approved","Review Required")</f>
        <v>Approved</v>
      </c>
    </row>
    <row r="984" spans="1:41"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t="str">
        <f>"LAB-"&amp;Lab_Data[[#This Row],[EmployeeNumber]]</f>
        <v>LAB-1382</v>
      </c>
      <c r="AK984" t="str">
        <f>Lab_Data[[#This Row],[JobRole]]</f>
        <v>Research Scientist</v>
      </c>
      <c r="AL984" t="str">
        <f>Lab_Data[[#This Row],[Department]]</f>
        <v>Research &amp; Development</v>
      </c>
      <c r="AM984" t="str">
        <f>IF(Lab_Data[[#This Row],[Attrition]]="Yes","Failed","Completed")</f>
        <v>Completed</v>
      </c>
      <c r="AN984">
        <f>Lab_Data[[#This Row],[YearsAtCompany]]</f>
        <v>4</v>
      </c>
      <c r="AO984" t="str">
        <f>IF(Lab_Data[[#This Row],[PerformanceRating]]&gt;=3,"Approved","Review Required")</f>
        <v>Approved</v>
      </c>
    </row>
    <row r="985" spans="1:41"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t="str">
        <f>"LAB-"&amp;Lab_Data[[#This Row],[EmployeeNumber]]</f>
        <v>LAB-1383</v>
      </c>
      <c r="AK985" t="str">
        <f>Lab_Data[[#This Row],[JobRole]]</f>
        <v>Healthcare Representative</v>
      </c>
      <c r="AL985" t="str">
        <f>Lab_Data[[#This Row],[Department]]</f>
        <v>Research &amp; Development</v>
      </c>
      <c r="AM985" t="str">
        <f>IF(Lab_Data[[#This Row],[Attrition]]="Yes","Failed","Completed")</f>
        <v>Completed</v>
      </c>
      <c r="AN985">
        <f>Lab_Data[[#This Row],[YearsAtCompany]]</f>
        <v>14</v>
      </c>
      <c r="AO985" t="str">
        <f>IF(Lab_Data[[#This Row],[PerformanceRating]]&gt;=3,"Approved","Review Required")</f>
        <v>Approved</v>
      </c>
    </row>
    <row r="986" spans="1:41"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t="str">
        <f>"LAB-"&amp;Lab_Data[[#This Row],[EmployeeNumber]]</f>
        <v>LAB-1387</v>
      </c>
      <c r="AK986" t="str">
        <f>Lab_Data[[#This Row],[JobRole]]</f>
        <v>Sales Executive</v>
      </c>
      <c r="AL986" t="str">
        <f>Lab_Data[[#This Row],[Department]]</f>
        <v>Sales</v>
      </c>
      <c r="AM986" t="str">
        <f>IF(Lab_Data[[#This Row],[Attrition]]="Yes","Failed","Completed")</f>
        <v>Completed</v>
      </c>
      <c r="AN986">
        <f>Lab_Data[[#This Row],[YearsAtCompany]]</f>
        <v>5</v>
      </c>
      <c r="AO986" t="str">
        <f>IF(Lab_Data[[#This Row],[PerformanceRating]]&gt;=3,"Approved","Review Required")</f>
        <v>Approved</v>
      </c>
    </row>
    <row r="987" spans="1:41"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t="str">
        <f>"LAB-"&amp;Lab_Data[[#This Row],[EmployeeNumber]]</f>
        <v>LAB-1389</v>
      </c>
      <c r="AK987" t="str">
        <f>Lab_Data[[#This Row],[JobRole]]</f>
        <v>Manufacturing Director</v>
      </c>
      <c r="AL987" t="str">
        <f>Lab_Data[[#This Row],[Department]]</f>
        <v>Research &amp; Development</v>
      </c>
      <c r="AM987" t="str">
        <f>IF(Lab_Data[[#This Row],[Attrition]]="Yes","Failed","Completed")</f>
        <v>Failed</v>
      </c>
      <c r="AN987">
        <f>Lab_Data[[#This Row],[YearsAtCompany]]</f>
        <v>10</v>
      </c>
      <c r="AO987" t="str">
        <f>IF(Lab_Data[[#This Row],[PerformanceRating]]&gt;=3,"Approved","Review Required")</f>
        <v>Approved</v>
      </c>
    </row>
    <row r="988" spans="1:41"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t="str">
        <f>"LAB-"&amp;Lab_Data[[#This Row],[EmployeeNumber]]</f>
        <v>LAB-1390</v>
      </c>
      <c r="AK988" t="str">
        <f>Lab_Data[[#This Row],[JobRole]]</f>
        <v>Sales Executive</v>
      </c>
      <c r="AL988" t="str">
        <f>Lab_Data[[#This Row],[Department]]</f>
        <v>Sales</v>
      </c>
      <c r="AM988" t="str">
        <f>IF(Lab_Data[[#This Row],[Attrition]]="Yes","Failed","Completed")</f>
        <v>Completed</v>
      </c>
      <c r="AN988">
        <f>Lab_Data[[#This Row],[YearsAtCompany]]</f>
        <v>5</v>
      </c>
      <c r="AO988" t="str">
        <f>IF(Lab_Data[[#This Row],[PerformanceRating]]&gt;=3,"Approved","Review Required")</f>
        <v>Approved</v>
      </c>
    </row>
    <row r="989" spans="1:41"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t="str">
        <f>"LAB-"&amp;Lab_Data[[#This Row],[EmployeeNumber]]</f>
        <v>LAB-1391</v>
      </c>
      <c r="AK989" t="str">
        <f>Lab_Data[[#This Row],[JobRole]]</f>
        <v>Sales Executive</v>
      </c>
      <c r="AL989" t="str">
        <f>Lab_Data[[#This Row],[Department]]</f>
        <v>Sales</v>
      </c>
      <c r="AM989" t="str">
        <f>IF(Lab_Data[[#This Row],[Attrition]]="Yes","Failed","Completed")</f>
        <v>Completed</v>
      </c>
      <c r="AN989">
        <f>Lab_Data[[#This Row],[YearsAtCompany]]</f>
        <v>4</v>
      </c>
      <c r="AO989" t="str">
        <f>IF(Lab_Data[[#This Row],[PerformanceRating]]&gt;=3,"Approved","Review Required")</f>
        <v>Approved</v>
      </c>
    </row>
    <row r="990" spans="1:41"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t="str">
        <f>"LAB-"&amp;Lab_Data[[#This Row],[EmployeeNumber]]</f>
        <v>LAB-1392</v>
      </c>
      <c r="AK990" t="str">
        <f>Lab_Data[[#This Row],[JobRole]]</f>
        <v>Research Scientist</v>
      </c>
      <c r="AL990" t="str">
        <f>Lab_Data[[#This Row],[Department]]</f>
        <v>Research &amp; Development</v>
      </c>
      <c r="AM990" t="str">
        <f>IF(Lab_Data[[#This Row],[Attrition]]="Yes","Failed","Completed")</f>
        <v>Completed</v>
      </c>
      <c r="AN990">
        <f>Lab_Data[[#This Row],[YearsAtCompany]]</f>
        <v>6</v>
      </c>
      <c r="AO990" t="str">
        <f>IF(Lab_Data[[#This Row],[PerformanceRating]]&gt;=3,"Approved","Review Required")</f>
        <v>Approved</v>
      </c>
    </row>
    <row r="991" spans="1:41"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t="str">
        <f>"LAB-"&amp;Lab_Data[[#This Row],[EmployeeNumber]]</f>
        <v>LAB-1394</v>
      </c>
      <c r="AK991" t="str">
        <f>Lab_Data[[#This Row],[JobRole]]</f>
        <v>Research Scientist</v>
      </c>
      <c r="AL991" t="str">
        <f>Lab_Data[[#This Row],[Department]]</f>
        <v>Research &amp; Development</v>
      </c>
      <c r="AM991" t="str">
        <f>IF(Lab_Data[[#This Row],[Attrition]]="Yes","Failed","Completed")</f>
        <v>Completed</v>
      </c>
      <c r="AN991">
        <f>Lab_Data[[#This Row],[YearsAtCompany]]</f>
        <v>6</v>
      </c>
      <c r="AO991" t="str">
        <f>IF(Lab_Data[[#This Row],[PerformanceRating]]&gt;=3,"Approved","Review Required")</f>
        <v>Approved</v>
      </c>
    </row>
    <row r="992" spans="1:41"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t="str">
        <f>"LAB-"&amp;Lab_Data[[#This Row],[EmployeeNumber]]</f>
        <v>LAB-1395</v>
      </c>
      <c r="AK992" t="str">
        <f>Lab_Data[[#This Row],[JobRole]]</f>
        <v>Sales Executive</v>
      </c>
      <c r="AL992" t="str">
        <f>Lab_Data[[#This Row],[Department]]</f>
        <v>Sales</v>
      </c>
      <c r="AM992" t="str">
        <f>IF(Lab_Data[[#This Row],[Attrition]]="Yes","Failed","Completed")</f>
        <v>Completed</v>
      </c>
      <c r="AN992">
        <f>Lab_Data[[#This Row],[YearsAtCompany]]</f>
        <v>5</v>
      </c>
      <c r="AO992" t="str">
        <f>IF(Lab_Data[[#This Row],[PerformanceRating]]&gt;=3,"Approved","Review Required")</f>
        <v>Approved</v>
      </c>
    </row>
    <row r="993" spans="1:41"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t="str">
        <f>"LAB-"&amp;Lab_Data[[#This Row],[EmployeeNumber]]</f>
        <v>LAB-1396</v>
      </c>
      <c r="AK993" t="str">
        <f>Lab_Data[[#This Row],[JobRole]]</f>
        <v>Sales Executive</v>
      </c>
      <c r="AL993" t="str">
        <f>Lab_Data[[#This Row],[Department]]</f>
        <v>Sales</v>
      </c>
      <c r="AM993" t="str">
        <f>IF(Lab_Data[[#This Row],[Attrition]]="Yes","Failed","Completed")</f>
        <v>Completed</v>
      </c>
      <c r="AN993">
        <f>Lab_Data[[#This Row],[YearsAtCompany]]</f>
        <v>3</v>
      </c>
      <c r="AO993" t="str">
        <f>IF(Lab_Data[[#This Row],[PerformanceRating]]&gt;=3,"Approved","Review Required")</f>
        <v>Approved</v>
      </c>
    </row>
    <row r="994" spans="1:41"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t="str">
        <f>"LAB-"&amp;Lab_Data[[#This Row],[EmployeeNumber]]</f>
        <v>LAB-1397</v>
      </c>
      <c r="AK994" t="str">
        <f>Lab_Data[[#This Row],[JobRole]]</f>
        <v>Healthcare Representative</v>
      </c>
      <c r="AL994" t="str">
        <f>Lab_Data[[#This Row],[Department]]</f>
        <v>Research &amp; Development</v>
      </c>
      <c r="AM994" t="str">
        <f>IF(Lab_Data[[#This Row],[Attrition]]="Yes","Failed","Completed")</f>
        <v>Completed</v>
      </c>
      <c r="AN994">
        <f>Lab_Data[[#This Row],[YearsAtCompany]]</f>
        <v>6</v>
      </c>
      <c r="AO994" t="str">
        <f>IF(Lab_Data[[#This Row],[PerformanceRating]]&gt;=3,"Approved","Review Required")</f>
        <v>Approved</v>
      </c>
    </row>
    <row r="995" spans="1:41"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t="str">
        <f>"LAB-"&amp;Lab_Data[[#This Row],[EmployeeNumber]]</f>
        <v>LAB-1399</v>
      </c>
      <c r="AK995" t="str">
        <f>Lab_Data[[#This Row],[JobRole]]</f>
        <v>Sales Executive</v>
      </c>
      <c r="AL995" t="str">
        <f>Lab_Data[[#This Row],[Department]]</f>
        <v>Sales</v>
      </c>
      <c r="AM995" t="str">
        <f>IF(Lab_Data[[#This Row],[Attrition]]="Yes","Failed","Completed")</f>
        <v>Completed</v>
      </c>
      <c r="AN995">
        <f>Lab_Data[[#This Row],[YearsAtCompany]]</f>
        <v>3</v>
      </c>
      <c r="AO995" t="str">
        <f>IF(Lab_Data[[#This Row],[PerformanceRating]]&gt;=3,"Approved","Review Required")</f>
        <v>Approved</v>
      </c>
    </row>
    <row r="996" spans="1:41"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t="str">
        <f>"LAB-"&amp;Lab_Data[[#This Row],[EmployeeNumber]]</f>
        <v>LAB-1401</v>
      </c>
      <c r="AK996" t="str">
        <f>Lab_Data[[#This Row],[JobRole]]</f>
        <v>Manufacturing Director</v>
      </c>
      <c r="AL996" t="str">
        <f>Lab_Data[[#This Row],[Department]]</f>
        <v>Research &amp; Development</v>
      </c>
      <c r="AM996" t="str">
        <f>IF(Lab_Data[[#This Row],[Attrition]]="Yes","Failed","Completed")</f>
        <v>Completed</v>
      </c>
      <c r="AN996">
        <f>Lab_Data[[#This Row],[YearsAtCompany]]</f>
        <v>5</v>
      </c>
      <c r="AO996" t="str">
        <f>IF(Lab_Data[[#This Row],[PerformanceRating]]&gt;=3,"Approved","Review Required")</f>
        <v>Approved</v>
      </c>
    </row>
    <row r="997" spans="1:41"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t="str">
        <f>"LAB-"&amp;Lab_Data[[#This Row],[EmployeeNumber]]</f>
        <v>LAB-1402</v>
      </c>
      <c r="AK997" t="str">
        <f>Lab_Data[[#This Row],[JobRole]]</f>
        <v>Research Scientist</v>
      </c>
      <c r="AL997" t="str">
        <f>Lab_Data[[#This Row],[Department]]</f>
        <v>Research &amp; Development</v>
      </c>
      <c r="AM997" t="str">
        <f>IF(Lab_Data[[#This Row],[Attrition]]="Yes","Failed","Completed")</f>
        <v>Completed</v>
      </c>
      <c r="AN997">
        <f>Lab_Data[[#This Row],[YearsAtCompany]]</f>
        <v>20</v>
      </c>
      <c r="AO997" t="str">
        <f>IF(Lab_Data[[#This Row],[PerformanceRating]]&gt;=3,"Approved","Review Required")</f>
        <v>Approved</v>
      </c>
    </row>
    <row r="998" spans="1:41"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t="str">
        <f>"LAB-"&amp;Lab_Data[[#This Row],[EmployeeNumber]]</f>
        <v>LAB-1403</v>
      </c>
      <c r="AK998" t="str">
        <f>Lab_Data[[#This Row],[JobRole]]</f>
        <v>Sales Executive</v>
      </c>
      <c r="AL998" t="str">
        <f>Lab_Data[[#This Row],[Department]]</f>
        <v>Sales</v>
      </c>
      <c r="AM998" t="str">
        <f>IF(Lab_Data[[#This Row],[Attrition]]="Yes","Failed","Completed")</f>
        <v>Completed</v>
      </c>
      <c r="AN998">
        <f>Lab_Data[[#This Row],[YearsAtCompany]]</f>
        <v>6</v>
      </c>
      <c r="AO998" t="str">
        <f>IF(Lab_Data[[#This Row],[PerformanceRating]]&gt;=3,"Approved","Review Required")</f>
        <v>Approved</v>
      </c>
    </row>
    <row r="999" spans="1:41"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t="str">
        <f>"LAB-"&amp;Lab_Data[[#This Row],[EmployeeNumber]]</f>
        <v>LAB-1405</v>
      </c>
      <c r="AK999" t="str">
        <f>Lab_Data[[#This Row],[JobRole]]</f>
        <v>Research Scientist</v>
      </c>
      <c r="AL999" t="str">
        <f>Lab_Data[[#This Row],[Department]]</f>
        <v>Research &amp; Development</v>
      </c>
      <c r="AM999" t="str">
        <f>IF(Lab_Data[[#This Row],[Attrition]]="Yes","Failed","Completed")</f>
        <v>Failed</v>
      </c>
      <c r="AN999">
        <f>Lab_Data[[#This Row],[YearsAtCompany]]</f>
        <v>8</v>
      </c>
      <c r="AO999" t="str">
        <f>IF(Lab_Data[[#This Row],[PerformanceRating]]&gt;=3,"Approved","Review Required")</f>
        <v>Approved</v>
      </c>
    </row>
    <row r="1000" spans="1:41"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t="str">
        <f>"LAB-"&amp;Lab_Data[[#This Row],[EmployeeNumber]]</f>
        <v>LAB-1407</v>
      </c>
      <c r="AK1000" t="str">
        <f>Lab_Data[[#This Row],[JobRole]]</f>
        <v>Research Scientist</v>
      </c>
      <c r="AL1000" t="str">
        <f>Lab_Data[[#This Row],[Department]]</f>
        <v>Research &amp; Development</v>
      </c>
      <c r="AM1000" t="str">
        <f>IF(Lab_Data[[#This Row],[Attrition]]="Yes","Failed","Completed")</f>
        <v>Completed</v>
      </c>
      <c r="AN1000">
        <f>Lab_Data[[#This Row],[YearsAtCompany]]</f>
        <v>4</v>
      </c>
      <c r="AO1000" t="str">
        <f>IF(Lab_Data[[#This Row],[PerformanceRating]]&gt;=3,"Approved","Review Required")</f>
        <v>Approved</v>
      </c>
    </row>
    <row r="1001" spans="1:41"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t="str">
        <f>"LAB-"&amp;Lab_Data[[#This Row],[EmployeeNumber]]</f>
        <v>LAB-1408</v>
      </c>
      <c r="AK1001" t="str">
        <f>Lab_Data[[#This Row],[JobRole]]</f>
        <v>Manager</v>
      </c>
      <c r="AL1001" t="str">
        <f>Lab_Data[[#This Row],[Department]]</f>
        <v>Human Resources</v>
      </c>
      <c r="AM1001" t="str">
        <f>IF(Lab_Data[[#This Row],[Attrition]]="Yes","Failed","Completed")</f>
        <v>Completed</v>
      </c>
      <c r="AN1001">
        <f>Lab_Data[[#This Row],[YearsAtCompany]]</f>
        <v>20</v>
      </c>
      <c r="AO1001" t="str">
        <f>IF(Lab_Data[[#This Row],[PerformanceRating]]&gt;=3,"Approved","Review Required")</f>
        <v>Approved</v>
      </c>
    </row>
    <row r="1002" spans="1:41"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t="str">
        <f>"LAB-"&amp;Lab_Data[[#This Row],[EmployeeNumber]]</f>
        <v>LAB-1409</v>
      </c>
      <c r="AK1002" t="str">
        <f>Lab_Data[[#This Row],[JobRole]]</f>
        <v>Laboratory Technician</v>
      </c>
      <c r="AL1002" t="str">
        <f>Lab_Data[[#This Row],[Department]]</f>
        <v>Research &amp; Development</v>
      </c>
      <c r="AM1002" t="str">
        <f>IF(Lab_Data[[#This Row],[Attrition]]="Yes","Failed","Completed")</f>
        <v>Completed</v>
      </c>
      <c r="AN1002">
        <f>Lab_Data[[#This Row],[YearsAtCompany]]</f>
        <v>5</v>
      </c>
      <c r="AO1002" t="str">
        <f>IF(Lab_Data[[#This Row],[PerformanceRating]]&gt;=3,"Approved","Review Required")</f>
        <v>Approved</v>
      </c>
    </row>
    <row r="1003" spans="1:41"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t="str">
        <f>"LAB-"&amp;Lab_Data[[#This Row],[EmployeeNumber]]</f>
        <v>LAB-1411</v>
      </c>
      <c r="AK1003" t="str">
        <f>Lab_Data[[#This Row],[JobRole]]</f>
        <v>Laboratory Technician</v>
      </c>
      <c r="AL1003" t="str">
        <f>Lab_Data[[#This Row],[Department]]</f>
        <v>Research &amp; Development</v>
      </c>
      <c r="AM1003" t="str">
        <f>IF(Lab_Data[[#This Row],[Attrition]]="Yes","Failed","Completed")</f>
        <v>Completed</v>
      </c>
      <c r="AN1003">
        <f>Lab_Data[[#This Row],[YearsAtCompany]]</f>
        <v>3</v>
      </c>
      <c r="AO1003" t="str">
        <f>IF(Lab_Data[[#This Row],[PerformanceRating]]&gt;=3,"Approved","Review Required")</f>
        <v>Approved</v>
      </c>
    </row>
    <row r="1004" spans="1:41"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t="str">
        <f>"LAB-"&amp;Lab_Data[[#This Row],[EmployeeNumber]]</f>
        <v>LAB-1412</v>
      </c>
      <c r="AK1004" t="str">
        <f>Lab_Data[[#This Row],[JobRole]]</f>
        <v>Manufacturing Director</v>
      </c>
      <c r="AL1004" t="str">
        <f>Lab_Data[[#This Row],[Department]]</f>
        <v>Research &amp; Development</v>
      </c>
      <c r="AM1004" t="str">
        <f>IF(Lab_Data[[#This Row],[Attrition]]="Yes","Failed","Completed")</f>
        <v>Completed</v>
      </c>
      <c r="AN1004">
        <f>Lab_Data[[#This Row],[YearsAtCompany]]</f>
        <v>2</v>
      </c>
      <c r="AO1004" t="str">
        <f>IF(Lab_Data[[#This Row],[PerformanceRating]]&gt;=3,"Approved","Review Required")</f>
        <v>Approved</v>
      </c>
    </row>
    <row r="1005" spans="1:41"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t="str">
        <f>"LAB-"&amp;Lab_Data[[#This Row],[EmployeeNumber]]</f>
        <v>LAB-1415</v>
      </c>
      <c r="AK1005" t="str">
        <f>Lab_Data[[#This Row],[JobRole]]</f>
        <v>Laboratory Technician</v>
      </c>
      <c r="AL1005" t="str">
        <f>Lab_Data[[#This Row],[Department]]</f>
        <v>Research &amp; Development</v>
      </c>
      <c r="AM1005" t="str">
        <f>IF(Lab_Data[[#This Row],[Attrition]]="Yes","Failed","Completed")</f>
        <v>Completed</v>
      </c>
      <c r="AN1005">
        <f>Lab_Data[[#This Row],[YearsAtCompany]]</f>
        <v>3</v>
      </c>
      <c r="AO1005" t="str">
        <f>IF(Lab_Data[[#This Row],[PerformanceRating]]&gt;=3,"Approved","Review Required")</f>
        <v>Approved</v>
      </c>
    </row>
    <row r="1006" spans="1:41"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t="str">
        <f>"LAB-"&amp;Lab_Data[[#This Row],[EmployeeNumber]]</f>
        <v>LAB-1417</v>
      </c>
      <c r="AK1006" t="str">
        <f>Lab_Data[[#This Row],[JobRole]]</f>
        <v>Laboratory Technician</v>
      </c>
      <c r="AL1006" t="str">
        <f>Lab_Data[[#This Row],[Department]]</f>
        <v>Research &amp; Development</v>
      </c>
      <c r="AM1006" t="str">
        <f>IF(Lab_Data[[#This Row],[Attrition]]="Yes","Failed","Completed")</f>
        <v>Completed</v>
      </c>
      <c r="AN1006">
        <f>Lab_Data[[#This Row],[YearsAtCompany]]</f>
        <v>7</v>
      </c>
      <c r="AO1006" t="str">
        <f>IF(Lab_Data[[#This Row],[PerformanceRating]]&gt;=3,"Approved","Review Required")</f>
        <v>Approved</v>
      </c>
    </row>
    <row r="1007" spans="1:41"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t="str">
        <f>"LAB-"&amp;Lab_Data[[#This Row],[EmployeeNumber]]</f>
        <v>LAB-1419</v>
      </c>
      <c r="AK1007" t="str">
        <f>Lab_Data[[#This Row],[JobRole]]</f>
        <v>Human Resources</v>
      </c>
      <c r="AL1007" t="str">
        <f>Lab_Data[[#This Row],[Department]]</f>
        <v>Human Resources</v>
      </c>
      <c r="AM1007" t="str">
        <f>IF(Lab_Data[[#This Row],[Attrition]]="Yes","Failed","Completed")</f>
        <v>Completed</v>
      </c>
      <c r="AN1007">
        <f>Lab_Data[[#This Row],[YearsAtCompany]]</f>
        <v>10</v>
      </c>
      <c r="AO1007" t="str">
        <f>IF(Lab_Data[[#This Row],[PerformanceRating]]&gt;=3,"Approved","Review Required")</f>
        <v>Approved</v>
      </c>
    </row>
    <row r="1008" spans="1:41"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t="str">
        <f>"LAB-"&amp;Lab_Data[[#This Row],[EmployeeNumber]]</f>
        <v>LAB-1420</v>
      </c>
      <c r="AK1008" t="str">
        <f>Lab_Data[[#This Row],[JobRole]]</f>
        <v>Laboratory Technician</v>
      </c>
      <c r="AL1008" t="str">
        <f>Lab_Data[[#This Row],[Department]]</f>
        <v>Research &amp; Development</v>
      </c>
      <c r="AM1008" t="str">
        <f>IF(Lab_Data[[#This Row],[Attrition]]="Yes","Failed","Completed")</f>
        <v>Failed</v>
      </c>
      <c r="AN1008">
        <f>Lab_Data[[#This Row],[YearsAtCompany]]</f>
        <v>4</v>
      </c>
      <c r="AO1008" t="str">
        <f>IF(Lab_Data[[#This Row],[PerformanceRating]]&gt;=3,"Approved","Review Required")</f>
        <v>Approved</v>
      </c>
    </row>
    <row r="1009" spans="1:41"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t="str">
        <f>"LAB-"&amp;Lab_Data[[#This Row],[EmployeeNumber]]</f>
        <v>LAB-1421</v>
      </c>
      <c r="AK1009" t="str">
        <f>Lab_Data[[#This Row],[JobRole]]</f>
        <v>Healthcare Representative</v>
      </c>
      <c r="AL1009" t="str">
        <f>Lab_Data[[#This Row],[Department]]</f>
        <v>Research &amp; Development</v>
      </c>
      <c r="AM1009" t="str">
        <f>IF(Lab_Data[[#This Row],[Attrition]]="Yes","Failed","Completed")</f>
        <v>Failed</v>
      </c>
      <c r="AN1009">
        <f>Lab_Data[[#This Row],[YearsAtCompany]]</f>
        <v>8</v>
      </c>
      <c r="AO1009" t="str">
        <f>IF(Lab_Data[[#This Row],[PerformanceRating]]&gt;=3,"Approved","Review Required")</f>
        <v>Approved</v>
      </c>
    </row>
    <row r="1010" spans="1:41"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t="str">
        <f>"LAB-"&amp;Lab_Data[[#This Row],[EmployeeNumber]]</f>
        <v>LAB-1422</v>
      </c>
      <c r="AK1010" t="str">
        <f>Lab_Data[[#This Row],[JobRole]]</f>
        <v>Research Director</v>
      </c>
      <c r="AL1010" t="str">
        <f>Lab_Data[[#This Row],[Department]]</f>
        <v>Research &amp; Development</v>
      </c>
      <c r="AM1010" t="str">
        <f>IF(Lab_Data[[#This Row],[Attrition]]="Yes","Failed","Completed")</f>
        <v>Completed</v>
      </c>
      <c r="AN1010">
        <f>Lab_Data[[#This Row],[YearsAtCompany]]</f>
        <v>20</v>
      </c>
      <c r="AO1010" t="str">
        <f>IF(Lab_Data[[#This Row],[PerformanceRating]]&gt;=3,"Approved","Review Required")</f>
        <v>Approved</v>
      </c>
    </row>
    <row r="1011" spans="1:41"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t="str">
        <f>"LAB-"&amp;Lab_Data[[#This Row],[EmployeeNumber]]</f>
        <v>LAB-1423</v>
      </c>
      <c r="AK1011" t="str">
        <f>Lab_Data[[#This Row],[JobRole]]</f>
        <v>Research Director</v>
      </c>
      <c r="AL1011" t="str">
        <f>Lab_Data[[#This Row],[Department]]</f>
        <v>Research &amp; Development</v>
      </c>
      <c r="AM1011" t="str">
        <f>IF(Lab_Data[[#This Row],[Attrition]]="Yes","Failed","Completed")</f>
        <v>Completed</v>
      </c>
      <c r="AN1011">
        <f>Lab_Data[[#This Row],[YearsAtCompany]]</f>
        <v>9</v>
      </c>
      <c r="AO1011" t="str">
        <f>IF(Lab_Data[[#This Row],[PerformanceRating]]&gt;=3,"Approved","Review Required")</f>
        <v>Approved</v>
      </c>
    </row>
    <row r="1012" spans="1:41"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t="str">
        <f>"LAB-"&amp;Lab_Data[[#This Row],[EmployeeNumber]]</f>
        <v>LAB-1424</v>
      </c>
      <c r="AK1012" t="str">
        <f>Lab_Data[[#This Row],[JobRole]]</f>
        <v>Research Director</v>
      </c>
      <c r="AL1012" t="str">
        <f>Lab_Data[[#This Row],[Department]]</f>
        <v>Research &amp; Development</v>
      </c>
      <c r="AM1012" t="str">
        <f>IF(Lab_Data[[#This Row],[Attrition]]="Yes","Failed","Completed")</f>
        <v>Completed</v>
      </c>
      <c r="AN1012">
        <f>Lab_Data[[#This Row],[YearsAtCompany]]</f>
        <v>7</v>
      </c>
      <c r="AO1012" t="str">
        <f>IF(Lab_Data[[#This Row],[PerformanceRating]]&gt;=3,"Approved","Review Required")</f>
        <v>Approved</v>
      </c>
    </row>
    <row r="1013" spans="1:41"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t="str">
        <f>"LAB-"&amp;Lab_Data[[#This Row],[EmployeeNumber]]</f>
        <v>LAB-1425</v>
      </c>
      <c r="AK1013" t="str">
        <f>Lab_Data[[#This Row],[JobRole]]</f>
        <v>Sales Executive</v>
      </c>
      <c r="AL1013" t="str">
        <f>Lab_Data[[#This Row],[Department]]</f>
        <v>Sales</v>
      </c>
      <c r="AM1013" t="str">
        <f>IF(Lab_Data[[#This Row],[Attrition]]="Yes","Failed","Completed")</f>
        <v>Completed</v>
      </c>
      <c r="AN1013">
        <f>Lab_Data[[#This Row],[YearsAtCompany]]</f>
        <v>5</v>
      </c>
      <c r="AO1013" t="str">
        <f>IF(Lab_Data[[#This Row],[PerformanceRating]]&gt;=3,"Approved","Review Required")</f>
        <v>Approved</v>
      </c>
    </row>
    <row r="1014" spans="1:41"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t="str">
        <f>"LAB-"&amp;Lab_Data[[#This Row],[EmployeeNumber]]</f>
        <v>LAB-1427</v>
      </c>
      <c r="AK1014" t="str">
        <f>Lab_Data[[#This Row],[JobRole]]</f>
        <v>Sales Representative</v>
      </c>
      <c r="AL1014" t="str">
        <f>Lab_Data[[#This Row],[Department]]</f>
        <v>Sales</v>
      </c>
      <c r="AM1014" t="str">
        <f>IF(Lab_Data[[#This Row],[Attrition]]="Yes","Failed","Completed")</f>
        <v>Failed</v>
      </c>
      <c r="AN1014">
        <f>Lab_Data[[#This Row],[YearsAtCompany]]</f>
        <v>1</v>
      </c>
      <c r="AO1014" t="str">
        <f>IF(Lab_Data[[#This Row],[PerformanceRating]]&gt;=3,"Approved","Review Required")</f>
        <v>Approved</v>
      </c>
    </row>
    <row r="1015" spans="1:41"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t="str">
        <f>"LAB-"&amp;Lab_Data[[#This Row],[EmployeeNumber]]</f>
        <v>LAB-1428</v>
      </c>
      <c r="AK1015" t="str">
        <f>Lab_Data[[#This Row],[JobRole]]</f>
        <v>Sales Executive</v>
      </c>
      <c r="AL1015" t="str">
        <f>Lab_Data[[#This Row],[Department]]</f>
        <v>Sales</v>
      </c>
      <c r="AM1015" t="str">
        <f>IF(Lab_Data[[#This Row],[Attrition]]="Yes","Failed","Completed")</f>
        <v>Completed</v>
      </c>
      <c r="AN1015">
        <f>Lab_Data[[#This Row],[YearsAtCompany]]</f>
        <v>3</v>
      </c>
      <c r="AO1015" t="str">
        <f>IF(Lab_Data[[#This Row],[PerformanceRating]]&gt;=3,"Approved","Review Required")</f>
        <v>Approved</v>
      </c>
    </row>
    <row r="1016" spans="1:41"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t="str">
        <f>"LAB-"&amp;Lab_Data[[#This Row],[EmployeeNumber]]</f>
        <v>LAB-1430</v>
      </c>
      <c r="AK1016" t="str">
        <f>Lab_Data[[#This Row],[JobRole]]</f>
        <v>Research Director</v>
      </c>
      <c r="AL1016" t="str">
        <f>Lab_Data[[#This Row],[Department]]</f>
        <v>Research &amp; Development</v>
      </c>
      <c r="AM1016" t="str">
        <f>IF(Lab_Data[[#This Row],[Attrition]]="Yes","Failed","Completed")</f>
        <v>Completed</v>
      </c>
      <c r="AN1016">
        <f>Lab_Data[[#This Row],[YearsAtCompany]]</f>
        <v>3</v>
      </c>
      <c r="AO1016" t="str">
        <f>IF(Lab_Data[[#This Row],[PerformanceRating]]&gt;=3,"Approved","Review Required")</f>
        <v>Approved</v>
      </c>
    </row>
    <row r="1017" spans="1:41"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t="str">
        <f>"LAB-"&amp;Lab_Data[[#This Row],[EmployeeNumber]]</f>
        <v>LAB-1431</v>
      </c>
      <c r="AK1017" t="str">
        <f>Lab_Data[[#This Row],[JobRole]]</f>
        <v>Research Scientist</v>
      </c>
      <c r="AL1017" t="str">
        <f>Lab_Data[[#This Row],[Department]]</f>
        <v>Research &amp; Development</v>
      </c>
      <c r="AM1017" t="str">
        <f>IF(Lab_Data[[#This Row],[Attrition]]="Yes","Failed","Completed")</f>
        <v>Completed</v>
      </c>
      <c r="AN1017">
        <f>Lab_Data[[#This Row],[YearsAtCompany]]</f>
        <v>4</v>
      </c>
      <c r="AO1017" t="str">
        <f>IF(Lab_Data[[#This Row],[PerformanceRating]]&gt;=3,"Approved","Review Required")</f>
        <v>Approved</v>
      </c>
    </row>
    <row r="1018" spans="1:41"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t="str">
        <f>"LAB-"&amp;Lab_Data[[#This Row],[EmployeeNumber]]</f>
        <v>LAB-1433</v>
      </c>
      <c r="AK1018" t="str">
        <f>Lab_Data[[#This Row],[JobRole]]</f>
        <v>Research Scientist</v>
      </c>
      <c r="AL1018" t="str">
        <f>Lab_Data[[#This Row],[Department]]</f>
        <v>Research &amp; Development</v>
      </c>
      <c r="AM1018" t="str">
        <f>IF(Lab_Data[[#This Row],[Attrition]]="Yes","Failed","Completed")</f>
        <v>Failed</v>
      </c>
      <c r="AN1018">
        <f>Lab_Data[[#This Row],[YearsAtCompany]]</f>
        <v>1</v>
      </c>
      <c r="AO1018" t="str">
        <f>IF(Lab_Data[[#This Row],[PerformanceRating]]&gt;=3,"Approved","Review Required")</f>
        <v>Approved</v>
      </c>
    </row>
    <row r="1019" spans="1:41"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t="str">
        <f>"LAB-"&amp;Lab_Data[[#This Row],[EmployeeNumber]]</f>
        <v>LAB-1434</v>
      </c>
      <c r="AK1019" t="str">
        <f>Lab_Data[[#This Row],[JobRole]]</f>
        <v>Laboratory Technician</v>
      </c>
      <c r="AL1019" t="str">
        <f>Lab_Data[[#This Row],[Department]]</f>
        <v>Research &amp; Development</v>
      </c>
      <c r="AM1019" t="str">
        <f>IF(Lab_Data[[#This Row],[Attrition]]="Yes","Failed","Completed")</f>
        <v>Completed</v>
      </c>
      <c r="AN1019">
        <f>Lab_Data[[#This Row],[YearsAtCompany]]</f>
        <v>5</v>
      </c>
      <c r="AO1019" t="str">
        <f>IF(Lab_Data[[#This Row],[PerformanceRating]]&gt;=3,"Approved","Review Required")</f>
        <v>Approved</v>
      </c>
    </row>
    <row r="1020" spans="1:41"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t="str">
        <f>"LAB-"&amp;Lab_Data[[#This Row],[EmployeeNumber]]</f>
        <v>LAB-1435</v>
      </c>
      <c r="AK1020" t="str">
        <f>Lab_Data[[#This Row],[JobRole]]</f>
        <v>Laboratory Technician</v>
      </c>
      <c r="AL1020" t="str">
        <f>Lab_Data[[#This Row],[Department]]</f>
        <v>Research &amp; Development</v>
      </c>
      <c r="AM1020" t="str">
        <f>IF(Lab_Data[[#This Row],[Attrition]]="Yes","Failed","Completed")</f>
        <v>Completed</v>
      </c>
      <c r="AN1020">
        <f>Lab_Data[[#This Row],[YearsAtCompany]]</f>
        <v>10</v>
      </c>
      <c r="AO1020" t="str">
        <f>IF(Lab_Data[[#This Row],[PerformanceRating]]&gt;=3,"Approved","Review Required")</f>
        <v>Approved</v>
      </c>
    </row>
    <row r="1021" spans="1:41"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t="str">
        <f>"LAB-"&amp;Lab_Data[[#This Row],[EmployeeNumber]]</f>
        <v>LAB-1436</v>
      </c>
      <c r="AK1021" t="str">
        <f>Lab_Data[[#This Row],[JobRole]]</f>
        <v>Sales Executive</v>
      </c>
      <c r="AL1021" t="str">
        <f>Lab_Data[[#This Row],[Department]]</f>
        <v>Sales</v>
      </c>
      <c r="AM1021" t="str">
        <f>IF(Lab_Data[[#This Row],[Attrition]]="Yes","Failed","Completed")</f>
        <v>Completed</v>
      </c>
      <c r="AN1021">
        <f>Lab_Data[[#This Row],[YearsAtCompany]]</f>
        <v>3</v>
      </c>
      <c r="AO1021" t="str">
        <f>IF(Lab_Data[[#This Row],[PerformanceRating]]&gt;=3,"Approved","Review Required")</f>
        <v>Approved</v>
      </c>
    </row>
    <row r="1022" spans="1:41"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t="str">
        <f>"LAB-"&amp;Lab_Data[[#This Row],[EmployeeNumber]]</f>
        <v>LAB-1438</v>
      </c>
      <c r="AK1022" t="str">
        <f>Lab_Data[[#This Row],[JobRole]]</f>
        <v>Research Scientist</v>
      </c>
      <c r="AL1022" t="str">
        <f>Lab_Data[[#This Row],[Department]]</f>
        <v>Research &amp; Development</v>
      </c>
      <c r="AM1022" t="str">
        <f>IF(Lab_Data[[#This Row],[Attrition]]="Yes","Failed","Completed")</f>
        <v>Completed</v>
      </c>
      <c r="AN1022">
        <f>Lab_Data[[#This Row],[YearsAtCompany]]</f>
        <v>6</v>
      </c>
      <c r="AO1022" t="str">
        <f>IF(Lab_Data[[#This Row],[PerformanceRating]]&gt;=3,"Approved","Review Required")</f>
        <v>Approved</v>
      </c>
    </row>
    <row r="1023" spans="1:41"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t="str">
        <f>"LAB-"&amp;Lab_Data[[#This Row],[EmployeeNumber]]</f>
        <v>LAB-1439</v>
      </c>
      <c r="AK1023" t="str">
        <f>Lab_Data[[#This Row],[JobRole]]</f>
        <v>Sales Representative</v>
      </c>
      <c r="AL1023" t="str">
        <f>Lab_Data[[#This Row],[Department]]</f>
        <v>Sales</v>
      </c>
      <c r="AM1023" t="str">
        <f>IF(Lab_Data[[#This Row],[Attrition]]="Yes","Failed","Completed")</f>
        <v>Failed</v>
      </c>
      <c r="AN1023">
        <f>Lab_Data[[#This Row],[YearsAtCompany]]</f>
        <v>3</v>
      </c>
      <c r="AO1023" t="str">
        <f>IF(Lab_Data[[#This Row],[PerformanceRating]]&gt;=3,"Approved","Review Required")</f>
        <v>Approved</v>
      </c>
    </row>
    <row r="1024" spans="1:41"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t="str">
        <f>"LAB-"&amp;Lab_Data[[#This Row],[EmployeeNumber]]</f>
        <v>LAB-1440</v>
      </c>
      <c r="AK1024" t="str">
        <f>Lab_Data[[#This Row],[JobRole]]</f>
        <v>Laboratory Technician</v>
      </c>
      <c r="AL1024" t="str">
        <f>Lab_Data[[#This Row],[Department]]</f>
        <v>Research &amp; Development</v>
      </c>
      <c r="AM1024" t="str">
        <f>IF(Lab_Data[[#This Row],[Attrition]]="Yes","Failed","Completed")</f>
        <v>Completed</v>
      </c>
      <c r="AN1024">
        <f>Lab_Data[[#This Row],[YearsAtCompany]]</f>
        <v>6</v>
      </c>
      <c r="AO1024" t="str">
        <f>IF(Lab_Data[[#This Row],[PerformanceRating]]&gt;=3,"Approved","Review Required")</f>
        <v>Approved</v>
      </c>
    </row>
    <row r="1025" spans="1:41"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t="str">
        <f>"LAB-"&amp;Lab_Data[[#This Row],[EmployeeNumber]]</f>
        <v>LAB-1441</v>
      </c>
      <c r="AK1025" t="str">
        <f>Lab_Data[[#This Row],[JobRole]]</f>
        <v>Research Scientist</v>
      </c>
      <c r="AL1025" t="str">
        <f>Lab_Data[[#This Row],[Department]]</f>
        <v>Research &amp; Development</v>
      </c>
      <c r="AM1025" t="str">
        <f>IF(Lab_Data[[#This Row],[Attrition]]="Yes","Failed","Completed")</f>
        <v>Completed</v>
      </c>
      <c r="AN1025">
        <f>Lab_Data[[#This Row],[YearsAtCompany]]</f>
        <v>3</v>
      </c>
      <c r="AO1025" t="str">
        <f>IF(Lab_Data[[#This Row],[PerformanceRating]]&gt;=3,"Approved","Review Required")</f>
        <v>Approved</v>
      </c>
    </row>
    <row r="1026" spans="1:41"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t="str">
        <f>"LAB-"&amp;Lab_Data[[#This Row],[EmployeeNumber]]</f>
        <v>LAB-1443</v>
      </c>
      <c r="AK1026" t="str">
        <f>Lab_Data[[#This Row],[JobRole]]</f>
        <v>Research Director</v>
      </c>
      <c r="AL1026" t="str">
        <f>Lab_Data[[#This Row],[Department]]</f>
        <v>Research &amp; Development</v>
      </c>
      <c r="AM1026" t="str">
        <f>IF(Lab_Data[[#This Row],[Attrition]]="Yes","Failed","Completed")</f>
        <v>Completed</v>
      </c>
      <c r="AN1026">
        <f>Lab_Data[[#This Row],[YearsAtCompany]]</f>
        <v>20</v>
      </c>
      <c r="AO1026" t="str">
        <f>IF(Lab_Data[[#This Row],[PerformanceRating]]&gt;=3,"Approved","Review Required")</f>
        <v>Approved</v>
      </c>
    </row>
    <row r="1027" spans="1:41"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t="str">
        <f>"LAB-"&amp;Lab_Data[[#This Row],[EmployeeNumber]]</f>
        <v>LAB-1445</v>
      </c>
      <c r="AK1027" t="str">
        <f>Lab_Data[[#This Row],[JobRole]]</f>
        <v>Sales Executive</v>
      </c>
      <c r="AL1027" t="str">
        <f>Lab_Data[[#This Row],[Department]]</f>
        <v>Sales</v>
      </c>
      <c r="AM1027" t="str">
        <f>IF(Lab_Data[[#This Row],[Attrition]]="Yes","Failed","Completed")</f>
        <v>Completed</v>
      </c>
      <c r="AN1027">
        <f>Lab_Data[[#This Row],[YearsAtCompany]]</f>
        <v>5</v>
      </c>
      <c r="AO1027" t="str">
        <f>IF(Lab_Data[[#This Row],[PerformanceRating]]&gt;=3,"Approved","Review Required")</f>
        <v>Approved</v>
      </c>
    </row>
    <row r="1028" spans="1:41"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t="str">
        <f>"LAB-"&amp;Lab_Data[[#This Row],[EmployeeNumber]]</f>
        <v>LAB-1446</v>
      </c>
      <c r="AK1028" t="str">
        <f>Lab_Data[[#This Row],[JobRole]]</f>
        <v>Sales Executive</v>
      </c>
      <c r="AL1028" t="str">
        <f>Lab_Data[[#This Row],[Department]]</f>
        <v>Sales</v>
      </c>
      <c r="AM1028" t="str">
        <f>IF(Lab_Data[[#This Row],[Attrition]]="Yes","Failed","Completed")</f>
        <v>Completed</v>
      </c>
      <c r="AN1028">
        <f>Lab_Data[[#This Row],[YearsAtCompany]]</f>
        <v>4</v>
      </c>
      <c r="AO1028" t="str">
        <f>IF(Lab_Data[[#This Row],[PerformanceRating]]&gt;=3,"Approved","Review Required")</f>
        <v>Approved</v>
      </c>
    </row>
    <row r="1029" spans="1:41"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t="str">
        <f>"LAB-"&amp;Lab_Data[[#This Row],[EmployeeNumber]]</f>
        <v>LAB-1447</v>
      </c>
      <c r="AK1029" t="str">
        <f>Lab_Data[[#This Row],[JobRole]]</f>
        <v>Laboratory Technician</v>
      </c>
      <c r="AL1029" t="str">
        <f>Lab_Data[[#This Row],[Department]]</f>
        <v>Research &amp; Development</v>
      </c>
      <c r="AM1029" t="str">
        <f>IF(Lab_Data[[#This Row],[Attrition]]="Yes","Failed","Completed")</f>
        <v>Completed</v>
      </c>
      <c r="AN1029">
        <f>Lab_Data[[#This Row],[YearsAtCompany]]</f>
        <v>5</v>
      </c>
      <c r="AO1029" t="str">
        <f>IF(Lab_Data[[#This Row],[PerformanceRating]]&gt;=3,"Approved","Review Required")</f>
        <v>Approved</v>
      </c>
    </row>
    <row r="1030" spans="1:41"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t="str">
        <f>"LAB-"&amp;Lab_Data[[#This Row],[EmployeeNumber]]</f>
        <v>LAB-1448</v>
      </c>
      <c r="AK1030" t="str">
        <f>Lab_Data[[#This Row],[JobRole]]</f>
        <v>Research Scientist</v>
      </c>
      <c r="AL1030" t="str">
        <f>Lab_Data[[#This Row],[Department]]</f>
        <v>Research &amp; Development</v>
      </c>
      <c r="AM1030" t="str">
        <f>IF(Lab_Data[[#This Row],[Attrition]]="Yes","Failed","Completed")</f>
        <v>Completed</v>
      </c>
      <c r="AN1030">
        <f>Lab_Data[[#This Row],[YearsAtCompany]]</f>
        <v>4</v>
      </c>
      <c r="AO1030" t="str">
        <f>IF(Lab_Data[[#This Row],[PerformanceRating]]&gt;=3,"Approved","Review Required")</f>
        <v>Approved</v>
      </c>
    </row>
    <row r="1031" spans="1:41"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t="str">
        <f>"LAB-"&amp;Lab_Data[[#This Row],[EmployeeNumber]]</f>
        <v>LAB-1449</v>
      </c>
      <c r="AK1031" t="str">
        <f>Lab_Data[[#This Row],[JobRole]]</f>
        <v>Laboratory Technician</v>
      </c>
      <c r="AL1031" t="str">
        <f>Lab_Data[[#This Row],[Department]]</f>
        <v>Research &amp; Development</v>
      </c>
      <c r="AM1031" t="str">
        <f>IF(Lab_Data[[#This Row],[Attrition]]="Yes","Failed","Completed")</f>
        <v>Completed</v>
      </c>
      <c r="AN1031">
        <f>Lab_Data[[#This Row],[YearsAtCompany]]</f>
        <v>8</v>
      </c>
      <c r="AO1031" t="str">
        <f>IF(Lab_Data[[#This Row],[PerformanceRating]]&gt;=3,"Approved","Review Required")</f>
        <v>Approved</v>
      </c>
    </row>
    <row r="1032" spans="1:41"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t="str">
        <f>"LAB-"&amp;Lab_Data[[#This Row],[EmployeeNumber]]</f>
        <v>LAB-1453</v>
      </c>
      <c r="AK1032" t="str">
        <f>Lab_Data[[#This Row],[JobRole]]</f>
        <v>Sales Executive</v>
      </c>
      <c r="AL1032" t="str">
        <f>Lab_Data[[#This Row],[Department]]</f>
        <v>Sales</v>
      </c>
      <c r="AM1032" t="str">
        <f>IF(Lab_Data[[#This Row],[Attrition]]="Yes","Failed","Completed")</f>
        <v>Completed</v>
      </c>
      <c r="AN1032">
        <f>Lab_Data[[#This Row],[YearsAtCompany]]</f>
        <v>13</v>
      </c>
      <c r="AO1032" t="str">
        <f>IF(Lab_Data[[#This Row],[PerformanceRating]]&gt;=3,"Approved","Review Required")</f>
        <v>Approved</v>
      </c>
    </row>
    <row r="1033" spans="1:41"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t="str">
        <f>"LAB-"&amp;Lab_Data[[#This Row],[EmployeeNumber]]</f>
        <v>LAB-1457</v>
      </c>
      <c r="AK1033" t="str">
        <f>Lab_Data[[#This Row],[JobRole]]</f>
        <v>Sales Executive</v>
      </c>
      <c r="AL1033" t="str">
        <f>Lab_Data[[#This Row],[Department]]</f>
        <v>Sales</v>
      </c>
      <c r="AM1033" t="str">
        <f>IF(Lab_Data[[#This Row],[Attrition]]="Yes","Failed","Completed")</f>
        <v>Failed</v>
      </c>
      <c r="AN1033">
        <f>Lab_Data[[#This Row],[YearsAtCompany]]</f>
        <v>7</v>
      </c>
      <c r="AO1033" t="str">
        <f>IF(Lab_Data[[#This Row],[PerformanceRating]]&gt;=3,"Approved","Review Required")</f>
        <v>Approved</v>
      </c>
    </row>
    <row r="1034" spans="1:41"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t="str">
        <f>"LAB-"&amp;Lab_Data[[#This Row],[EmployeeNumber]]</f>
        <v>LAB-1458</v>
      </c>
      <c r="AK1034" t="str">
        <f>Lab_Data[[#This Row],[JobRole]]</f>
        <v>Laboratory Technician</v>
      </c>
      <c r="AL1034" t="str">
        <f>Lab_Data[[#This Row],[Department]]</f>
        <v>Research &amp; Development</v>
      </c>
      <c r="AM1034" t="str">
        <f>IF(Lab_Data[[#This Row],[Attrition]]="Yes","Failed","Completed")</f>
        <v>Failed</v>
      </c>
      <c r="AN1034">
        <f>Lab_Data[[#This Row],[YearsAtCompany]]</f>
        <v>1</v>
      </c>
      <c r="AO1034" t="str">
        <f>IF(Lab_Data[[#This Row],[PerformanceRating]]&gt;=3,"Approved","Review Required")</f>
        <v>Approved</v>
      </c>
    </row>
    <row r="1035" spans="1:41"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t="str">
        <f>"LAB-"&amp;Lab_Data[[#This Row],[EmployeeNumber]]</f>
        <v>LAB-1459</v>
      </c>
      <c r="AK1035" t="str">
        <f>Lab_Data[[#This Row],[JobRole]]</f>
        <v>Manufacturing Director</v>
      </c>
      <c r="AL1035" t="str">
        <f>Lab_Data[[#This Row],[Department]]</f>
        <v>Research &amp; Development</v>
      </c>
      <c r="AM1035" t="str">
        <f>IF(Lab_Data[[#This Row],[Attrition]]="Yes","Failed","Completed")</f>
        <v>Failed</v>
      </c>
      <c r="AN1035">
        <f>Lab_Data[[#This Row],[YearsAtCompany]]</f>
        <v>10</v>
      </c>
      <c r="AO1035" t="str">
        <f>IF(Lab_Data[[#This Row],[PerformanceRating]]&gt;=3,"Approved","Review Required")</f>
        <v>Approved</v>
      </c>
    </row>
    <row r="1036" spans="1:41"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t="str">
        <f>"LAB-"&amp;Lab_Data[[#This Row],[EmployeeNumber]]</f>
        <v>LAB-1460</v>
      </c>
      <c r="AK1036" t="str">
        <f>Lab_Data[[#This Row],[JobRole]]</f>
        <v>Healthcare Representative</v>
      </c>
      <c r="AL1036" t="str">
        <f>Lab_Data[[#This Row],[Department]]</f>
        <v>Research &amp; Development</v>
      </c>
      <c r="AM1036" t="str">
        <f>IF(Lab_Data[[#This Row],[Attrition]]="Yes","Failed","Completed")</f>
        <v>Completed</v>
      </c>
      <c r="AN1036">
        <f>Lab_Data[[#This Row],[YearsAtCompany]]</f>
        <v>7</v>
      </c>
      <c r="AO1036" t="str">
        <f>IF(Lab_Data[[#This Row],[PerformanceRating]]&gt;=3,"Approved","Review Required")</f>
        <v>Approved</v>
      </c>
    </row>
    <row r="1037" spans="1:41"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t="str">
        <f>"LAB-"&amp;Lab_Data[[#This Row],[EmployeeNumber]]</f>
        <v>LAB-1461</v>
      </c>
      <c r="AK1037" t="str">
        <f>Lab_Data[[#This Row],[JobRole]]</f>
        <v>Human Resources</v>
      </c>
      <c r="AL1037" t="str">
        <f>Lab_Data[[#This Row],[Department]]</f>
        <v>Human Resources</v>
      </c>
      <c r="AM1037" t="str">
        <f>IF(Lab_Data[[#This Row],[Attrition]]="Yes","Failed","Completed")</f>
        <v>Completed</v>
      </c>
      <c r="AN1037">
        <f>Lab_Data[[#This Row],[YearsAtCompany]]</f>
        <v>3</v>
      </c>
      <c r="AO1037" t="str">
        <f>IF(Lab_Data[[#This Row],[PerformanceRating]]&gt;=3,"Approved","Review Required")</f>
        <v>Approved</v>
      </c>
    </row>
    <row r="1038" spans="1:41"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t="str">
        <f>"LAB-"&amp;Lab_Data[[#This Row],[EmployeeNumber]]</f>
        <v>LAB-1464</v>
      </c>
      <c r="AK1038" t="str">
        <f>Lab_Data[[#This Row],[JobRole]]</f>
        <v>Laboratory Technician</v>
      </c>
      <c r="AL1038" t="str">
        <f>Lab_Data[[#This Row],[Department]]</f>
        <v>Research &amp; Development</v>
      </c>
      <c r="AM1038" t="str">
        <f>IF(Lab_Data[[#This Row],[Attrition]]="Yes","Failed","Completed")</f>
        <v>Failed</v>
      </c>
      <c r="AN1038">
        <f>Lab_Data[[#This Row],[YearsAtCompany]]</f>
        <v>2</v>
      </c>
      <c r="AO1038" t="str">
        <f>IF(Lab_Data[[#This Row],[PerformanceRating]]&gt;=3,"Approved","Review Required")</f>
        <v>Approved</v>
      </c>
    </row>
    <row r="1039" spans="1:41"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t="str">
        <f>"LAB-"&amp;Lab_Data[[#This Row],[EmployeeNumber]]</f>
        <v>LAB-1465</v>
      </c>
      <c r="AK1039" t="str">
        <f>Lab_Data[[#This Row],[JobRole]]</f>
        <v>Manufacturing Director</v>
      </c>
      <c r="AL1039" t="str">
        <f>Lab_Data[[#This Row],[Department]]</f>
        <v>Research &amp; Development</v>
      </c>
      <c r="AM1039" t="str">
        <f>IF(Lab_Data[[#This Row],[Attrition]]="Yes","Failed","Completed")</f>
        <v>Completed</v>
      </c>
      <c r="AN1039">
        <f>Lab_Data[[#This Row],[YearsAtCompany]]</f>
        <v>3</v>
      </c>
      <c r="AO1039" t="str">
        <f>IF(Lab_Data[[#This Row],[PerformanceRating]]&gt;=3,"Approved","Review Required")</f>
        <v>Approved</v>
      </c>
    </row>
    <row r="1040" spans="1:41"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t="str">
        <f>"LAB-"&amp;Lab_Data[[#This Row],[EmployeeNumber]]</f>
        <v>LAB-1466</v>
      </c>
      <c r="AK1040" t="str">
        <f>Lab_Data[[#This Row],[JobRole]]</f>
        <v>Sales Executive</v>
      </c>
      <c r="AL1040" t="str">
        <f>Lab_Data[[#This Row],[Department]]</f>
        <v>Sales</v>
      </c>
      <c r="AM1040" t="str">
        <f>IF(Lab_Data[[#This Row],[Attrition]]="Yes","Failed","Completed")</f>
        <v>Completed</v>
      </c>
      <c r="AN1040">
        <f>Lab_Data[[#This Row],[YearsAtCompany]]</f>
        <v>2</v>
      </c>
      <c r="AO1040" t="str">
        <f>IF(Lab_Data[[#This Row],[PerformanceRating]]&gt;=3,"Approved","Review Required")</f>
        <v>Approved</v>
      </c>
    </row>
    <row r="1041" spans="1:41"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t="str">
        <f>"LAB-"&amp;Lab_Data[[#This Row],[EmployeeNumber]]</f>
        <v>LAB-1467</v>
      </c>
      <c r="AK1041" t="str">
        <f>Lab_Data[[#This Row],[JobRole]]</f>
        <v>Human Resources</v>
      </c>
      <c r="AL1041" t="str">
        <f>Lab_Data[[#This Row],[Department]]</f>
        <v>Human Resources</v>
      </c>
      <c r="AM1041" t="str">
        <f>IF(Lab_Data[[#This Row],[Attrition]]="Yes","Failed","Completed")</f>
        <v>Failed</v>
      </c>
      <c r="AN1041">
        <f>Lab_Data[[#This Row],[YearsAtCompany]]</f>
        <v>2</v>
      </c>
      <c r="AO1041" t="str">
        <f>IF(Lab_Data[[#This Row],[PerformanceRating]]&gt;=3,"Approved","Review Required")</f>
        <v>Approved</v>
      </c>
    </row>
    <row r="1042" spans="1:41"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t="str">
        <f>"LAB-"&amp;Lab_Data[[#This Row],[EmployeeNumber]]</f>
        <v>LAB-1468</v>
      </c>
      <c r="AK1042" t="str">
        <f>Lab_Data[[#This Row],[JobRole]]</f>
        <v>Research Director</v>
      </c>
      <c r="AL1042" t="str">
        <f>Lab_Data[[#This Row],[Department]]</f>
        <v>Research &amp; Development</v>
      </c>
      <c r="AM1042" t="str">
        <f>IF(Lab_Data[[#This Row],[Attrition]]="Yes","Failed","Completed")</f>
        <v>Completed</v>
      </c>
      <c r="AN1042">
        <f>Lab_Data[[#This Row],[YearsAtCompany]]</f>
        <v>9</v>
      </c>
      <c r="AO1042" t="str">
        <f>IF(Lab_Data[[#This Row],[PerformanceRating]]&gt;=3,"Approved","Review Required")</f>
        <v>Approved</v>
      </c>
    </row>
    <row r="1043" spans="1:41"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t="str">
        <f>"LAB-"&amp;Lab_Data[[#This Row],[EmployeeNumber]]</f>
        <v>LAB-1469</v>
      </c>
      <c r="AK1043" t="str">
        <f>Lab_Data[[#This Row],[JobRole]]</f>
        <v>Sales Executive</v>
      </c>
      <c r="AL1043" t="str">
        <f>Lab_Data[[#This Row],[Department]]</f>
        <v>Sales</v>
      </c>
      <c r="AM1043" t="str">
        <f>IF(Lab_Data[[#This Row],[Attrition]]="Yes","Failed","Completed")</f>
        <v>Completed</v>
      </c>
      <c r="AN1043">
        <f>Lab_Data[[#This Row],[YearsAtCompany]]</f>
        <v>5</v>
      </c>
      <c r="AO1043" t="str">
        <f>IF(Lab_Data[[#This Row],[PerformanceRating]]&gt;=3,"Approved","Review Required")</f>
        <v>Approved</v>
      </c>
    </row>
    <row r="1044" spans="1:41"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t="str">
        <f>"LAB-"&amp;Lab_Data[[#This Row],[EmployeeNumber]]</f>
        <v>LAB-1471</v>
      </c>
      <c r="AK1044" t="str">
        <f>Lab_Data[[#This Row],[JobRole]]</f>
        <v>Laboratory Technician</v>
      </c>
      <c r="AL1044" t="str">
        <f>Lab_Data[[#This Row],[Department]]</f>
        <v>Research &amp; Development</v>
      </c>
      <c r="AM1044" t="str">
        <f>IF(Lab_Data[[#This Row],[Attrition]]="Yes","Failed","Completed")</f>
        <v>Completed</v>
      </c>
      <c r="AN1044">
        <f>Lab_Data[[#This Row],[YearsAtCompany]]</f>
        <v>5</v>
      </c>
      <c r="AO1044" t="str">
        <f>IF(Lab_Data[[#This Row],[PerformanceRating]]&gt;=3,"Approved","Review Required")</f>
        <v>Approved</v>
      </c>
    </row>
    <row r="1045" spans="1:41"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t="str">
        <f>"LAB-"&amp;Lab_Data[[#This Row],[EmployeeNumber]]</f>
        <v>LAB-1472</v>
      </c>
      <c r="AK1045" t="str">
        <f>Lab_Data[[#This Row],[JobRole]]</f>
        <v>Research Director</v>
      </c>
      <c r="AL1045" t="str">
        <f>Lab_Data[[#This Row],[Department]]</f>
        <v>Research &amp; Development</v>
      </c>
      <c r="AM1045" t="str">
        <f>IF(Lab_Data[[#This Row],[Attrition]]="Yes","Failed","Completed")</f>
        <v>Completed</v>
      </c>
      <c r="AN1045">
        <f>Lab_Data[[#This Row],[YearsAtCompany]]</f>
        <v>9</v>
      </c>
      <c r="AO1045" t="str">
        <f>IF(Lab_Data[[#This Row],[PerformanceRating]]&gt;=3,"Approved","Review Required")</f>
        <v>Approved</v>
      </c>
    </row>
    <row r="1046" spans="1:41"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t="str">
        <f>"LAB-"&amp;Lab_Data[[#This Row],[EmployeeNumber]]</f>
        <v>LAB-1473</v>
      </c>
      <c r="AK1046" t="str">
        <f>Lab_Data[[#This Row],[JobRole]]</f>
        <v>Healthcare Representative</v>
      </c>
      <c r="AL1046" t="str">
        <f>Lab_Data[[#This Row],[Department]]</f>
        <v>Research &amp; Development</v>
      </c>
      <c r="AM1046" t="str">
        <f>IF(Lab_Data[[#This Row],[Attrition]]="Yes","Failed","Completed")</f>
        <v>Completed</v>
      </c>
      <c r="AN1046">
        <f>Lab_Data[[#This Row],[YearsAtCompany]]</f>
        <v>3</v>
      </c>
      <c r="AO1046" t="str">
        <f>IF(Lab_Data[[#This Row],[PerformanceRating]]&gt;=3,"Approved","Review Required")</f>
        <v>Approved</v>
      </c>
    </row>
    <row r="1047" spans="1:41"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t="str">
        <f>"LAB-"&amp;Lab_Data[[#This Row],[EmployeeNumber]]</f>
        <v>LAB-1474</v>
      </c>
      <c r="AK1047" t="str">
        <f>Lab_Data[[#This Row],[JobRole]]</f>
        <v>Research Scientist</v>
      </c>
      <c r="AL1047" t="str">
        <f>Lab_Data[[#This Row],[Department]]</f>
        <v>Research &amp; Development</v>
      </c>
      <c r="AM1047" t="str">
        <f>IF(Lab_Data[[#This Row],[Attrition]]="Yes","Failed","Completed")</f>
        <v>Completed</v>
      </c>
      <c r="AN1047">
        <f>Lab_Data[[#This Row],[YearsAtCompany]]</f>
        <v>3</v>
      </c>
      <c r="AO1047" t="str">
        <f>IF(Lab_Data[[#This Row],[PerformanceRating]]&gt;=3,"Approved","Review Required")</f>
        <v>Approved</v>
      </c>
    </row>
    <row r="1048" spans="1:41"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t="str">
        <f>"LAB-"&amp;Lab_Data[[#This Row],[EmployeeNumber]]</f>
        <v>LAB-1475</v>
      </c>
      <c r="AK1048" t="str">
        <f>Lab_Data[[#This Row],[JobRole]]</f>
        <v>Research Scientist</v>
      </c>
      <c r="AL1048" t="str">
        <f>Lab_Data[[#This Row],[Department]]</f>
        <v>Research &amp; Development</v>
      </c>
      <c r="AM1048" t="str">
        <f>IF(Lab_Data[[#This Row],[Attrition]]="Yes","Failed","Completed")</f>
        <v>Completed</v>
      </c>
      <c r="AN1048">
        <f>Lab_Data[[#This Row],[YearsAtCompany]]</f>
        <v>5</v>
      </c>
      <c r="AO1048" t="str">
        <f>IF(Lab_Data[[#This Row],[PerformanceRating]]&gt;=3,"Approved","Review Required")</f>
        <v>Approved</v>
      </c>
    </row>
    <row r="1049" spans="1:41"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t="str">
        <f>"LAB-"&amp;Lab_Data[[#This Row],[EmployeeNumber]]</f>
        <v>LAB-1477</v>
      </c>
      <c r="AK1049" t="str">
        <f>Lab_Data[[#This Row],[JobRole]]</f>
        <v>Sales Executive</v>
      </c>
      <c r="AL1049" t="str">
        <f>Lab_Data[[#This Row],[Department]]</f>
        <v>Sales</v>
      </c>
      <c r="AM1049" t="str">
        <f>IF(Lab_Data[[#This Row],[Attrition]]="Yes","Failed","Completed")</f>
        <v>Completed</v>
      </c>
      <c r="AN1049">
        <f>Lab_Data[[#This Row],[YearsAtCompany]]</f>
        <v>4</v>
      </c>
      <c r="AO1049" t="str">
        <f>IF(Lab_Data[[#This Row],[PerformanceRating]]&gt;=3,"Approved","Review Required")</f>
        <v>Approved</v>
      </c>
    </row>
    <row r="1050" spans="1:41"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t="str">
        <f>"LAB-"&amp;Lab_Data[[#This Row],[EmployeeNumber]]</f>
        <v>LAB-1478</v>
      </c>
      <c r="AK1050" t="str">
        <f>Lab_Data[[#This Row],[JobRole]]</f>
        <v>Sales Executive</v>
      </c>
      <c r="AL1050" t="str">
        <f>Lab_Data[[#This Row],[Department]]</f>
        <v>Sales</v>
      </c>
      <c r="AM1050" t="str">
        <f>IF(Lab_Data[[#This Row],[Attrition]]="Yes","Failed","Completed")</f>
        <v>Completed</v>
      </c>
      <c r="AN1050">
        <f>Lab_Data[[#This Row],[YearsAtCompany]]</f>
        <v>13</v>
      </c>
      <c r="AO1050" t="str">
        <f>IF(Lab_Data[[#This Row],[PerformanceRating]]&gt;=3,"Approved","Review Required")</f>
        <v>Approved</v>
      </c>
    </row>
    <row r="1051" spans="1:41"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t="str">
        <f>"LAB-"&amp;Lab_Data[[#This Row],[EmployeeNumber]]</f>
        <v>LAB-1479</v>
      </c>
      <c r="AK1051" t="str">
        <f>Lab_Data[[#This Row],[JobRole]]</f>
        <v>Sales Executive</v>
      </c>
      <c r="AL1051" t="str">
        <f>Lab_Data[[#This Row],[Department]]</f>
        <v>Sales</v>
      </c>
      <c r="AM1051" t="str">
        <f>IF(Lab_Data[[#This Row],[Attrition]]="Yes","Failed","Completed")</f>
        <v>Completed</v>
      </c>
      <c r="AN1051">
        <f>Lab_Data[[#This Row],[YearsAtCompany]]</f>
        <v>2</v>
      </c>
      <c r="AO1051" t="str">
        <f>IF(Lab_Data[[#This Row],[PerformanceRating]]&gt;=3,"Approved","Review Required")</f>
        <v>Approved</v>
      </c>
    </row>
    <row r="1052" spans="1:41"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t="str">
        <f>"LAB-"&amp;Lab_Data[[#This Row],[EmployeeNumber]]</f>
        <v>LAB-1480</v>
      </c>
      <c r="AK1052" t="str">
        <f>Lab_Data[[#This Row],[JobRole]]</f>
        <v>Laboratory Technician</v>
      </c>
      <c r="AL1052" t="str">
        <f>Lab_Data[[#This Row],[Department]]</f>
        <v>Research &amp; Development</v>
      </c>
      <c r="AM1052" t="str">
        <f>IF(Lab_Data[[#This Row],[Attrition]]="Yes","Failed","Completed")</f>
        <v>Completed</v>
      </c>
      <c r="AN1052">
        <f>Lab_Data[[#This Row],[YearsAtCompany]]</f>
        <v>12</v>
      </c>
      <c r="AO1052" t="str">
        <f>IF(Lab_Data[[#This Row],[PerformanceRating]]&gt;=3,"Approved","Review Required")</f>
        <v>Approved</v>
      </c>
    </row>
    <row r="1053" spans="1:41"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t="str">
        <f>"LAB-"&amp;Lab_Data[[#This Row],[EmployeeNumber]]</f>
        <v>LAB-1481</v>
      </c>
      <c r="AK1053" t="str">
        <f>Lab_Data[[#This Row],[JobRole]]</f>
        <v>Sales Executive</v>
      </c>
      <c r="AL1053" t="str">
        <f>Lab_Data[[#This Row],[Department]]</f>
        <v>Sales</v>
      </c>
      <c r="AM1053" t="str">
        <f>IF(Lab_Data[[#This Row],[Attrition]]="Yes","Failed","Completed")</f>
        <v>Completed</v>
      </c>
      <c r="AN1053">
        <f>Lab_Data[[#This Row],[YearsAtCompany]]</f>
        <v>1</v>
      </c>
      <c r="AO1053" t="str">
        <f>IF(Lab_Data[[#This Row],[PerformanceRating]]&gt;=3,"Approved","Review Required")</f>
        <v>Approved</v>
      </c>
    </row>
    <row r="1054" spans="1:41"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t="str">
        <f>"LAB-"&amp;Lab_Data[[#This Row],[EmployeeNumber]]</f>
        <v>LAB-1482</v>
      </c>
      <c r="AK1054" t="str">
        <f>Lab_Data[[#This Row],[JobRole]]</f>
        <v>Research Scientist</v>
      </c>
      <c r="AL1054" t="str">
        <f>Lab_Data[[#This Row],[Department]]</f>
        <v>Research &amp; Development</v>
      </c>
      <c r="AM1054" t="str">
        <f>IF(Lab_Data[[#This Row],[Attrition]]="Yes","Failed","Completed")</f>
        <v>Completed</v>
      </c>
      <c r="AN1054">
        <f>Lab_Data[[#This Row],[YearsAtCompany]]</f>
        <v>1</v>
      </c>
      <c r="AO1054" t="str">
        <f>IF(Lab_Data[[#This Row],[PerformanceRating]]&gt;=3,"Approved","Review Required")</f>
        <v>Approved</v>
      </c>
    </row>
    <row r="1055" spans="1:41"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t="str">
        <f>"LAB-"&amp;Lab_Data[[#This Row],[EmployeeNumber]]</f>
        <v>LAB-1483</v>
      </c>
      <c r="AK1055" t="str">
        <f>Lab_Data[[#This Row],[JobRole]]</f>
        <v>Research Scientist</v>
      </c>
      <c r="AL1055" t="str">
        <f>Lab_Data[[#This Row],[Department]]</f>
        <v>Research &amp; Development</v>
      </c>
      <c r="AM1055" t="str">
        <f>IF(Lab_Data[[#This Row],[Attrition]]="Yes","Failed","Completed")</f>
        <v>Completed</v>
      </c>
      <c r="AN1055">
        <f>Lab_Data[[#This Row],[YearsAtCompany]]</f>
        <v>12</v>
      </c>
      <c r="AO1055" t="str">
        <f>IF(Lab_Data[[#This Row],[PerformanceRating]]&gt;=3,"Approved","Review Required")</f>
        <v>Approved</v>
      </c>
    </row>
    <row r="1056" spans="1:41"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t="str">
        <f>"LAB-"&amp;Lab_Data[[#This Row],[EmployeeNumber]]</f>
        <v>LAB-1484</v>
      </c>
      <c r="AK1056" t="str">
        <f>Lab_Data[[#This Row],[JobRole]]</f>
        <v>Healthcare Representative</v>
      </c>
      <c r="AL1056" t="str">
        <f>Lab_Data[[#This Row],[Department]]</f>
        <v>Research &amp; Development</v>
      </c>
      <c r="AM1056" t="str">
        <f>IF(Lab_Data[[#This Row],[Attrition]]="Yes","Failed","Completed")</f>
        <v>Completed</v>
      </c>
      <c r="AN1056">
        <f>Lab_Data[[#This Row],[YearsAtCompany]]</f>
        <v>8</v>
      </c>
      <c r="AO1056" t="str">
        <f>IF(Lab_Data[[#This Row],[PerformanceRating]]&gt;=3,"Approved","Review Required")</f>
        <v>Approved</v>
      </c>
    </row>
    <row r="1057" spans="1:41"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t="str">
        <f>"LAB-"&amp;Lab_Data[[#This Row],[EmployeeNumber]]</f>
        <v>LAB-1485</v>
      </c>
      <c r="AK1057" t="str">
        <f>Lab_Data[[#This Row],[JobRole]]</f>
        <v>Research Director</v>
      </c>
      <c r="AL1057" t="str">
        <f>Lab_Data[[#This Row],[Department]]</f>
        <v>Research &amp; Development</v>
      </c>
      <c r="AM1057" t="str">
        <f>IF(Lab_Data[[#This Row],[Attrition]]="Yes","Failed","Completed")</f>
        <v>Completed</v>
      </c>
      <c r="AN1057">
        <f>Lab_Data[[#This Row],[YearsAtCompany]]</f>
        <v>14</v>
      </c>
      <c r="AO1057" t="str">
        <f>IF(Lab_Data[[#This Row],[PerformanceRating]]&gt;=3,"Approved","Review Required")</f>
        <v>Approved</v>
      </c>
    </row>
    <row r="1058" spans="1:41"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t="str">
        <f>"LAB-"&amp;Lab_Data[[#This Row],[EmployeeNumber]]</f>
        <v>LAB-1486</v>
      </c>
      <c r="AK1058" t="str">
        <f>Lab_Data[[#This Row],[JobRole]]</f>
        <v>Sales Representative</v>
      </c>
      <c r="AL1058" t="str">
        <f>Lab_Data[[#This Row],[Department]]</f>
        <v>Sales</v>
      </c>
      <c r="AM1058" t="str">
        <f>IF(Lab_Data[[#This Row],[Attrition]]="Yes","Failed","Completed")</f>
        <v>Failed</v>
      </c>
      <c r="AN1058">
        <f>Lab_Data[[#This Row],[YearsAtCompany]]</f>
        <v>3</v>
      </c>
      <c r="AO1058" t="str">
        <f>IF(Lab_Data[[#This Row],[PerformanceRating]]&gt;=3,"Approved","Review Required")</f>
        <v>Approved</v>
      </c>
    </row>
    <row r="1059" spans="1:41"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t="str">
        <f>"LAB-"&amp;Lab_Data[[#This Row],[EmployeeNumber]]</f>
        <v>LAB-1487</v>
      </c>
      <c r="AK1059" t="str">
        <f>Lab_Data[[#This Row],[JobRole]]</f>
        <v>Sales Executive</v>
      </c>
      <c r="AL1059" t="str">
        <f>Lab_Data[[#This Row],[Department]]</f>
        <v>Sales</v>
      </c>
      <c r="AM1059" t="str">
        <f>IF(Lab_Data[[#This Row],[Attrition]]="Yes","Failed","Completed")</f>
        <v>Failed</v>
      </c>
      <c r="AN1059">
        <f>Lab_Data[[#This Row],[YearsAtCompany]]</f>
        <v>5</v>
      </c>
      <c r="AO1059" t="str">
        <f>IF(Lab_Data[[#This Row],[PerformanceRating]]&gt;=3,"Approved","Review Required")</f>
        <v>Approved</v>
      </c>
    </row>
    <row r="1060" spans="1:41"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t="str">
        <f>"LAB-"&amp;Lab_Data[[#This Row],[EmployeeNumber]]</f>
        <v>LAB-1489</v>
      </c>
      <c r="AK1060" t="str">
        <f>Lab_Data[[#This Row],[JobRole]]</f>
        <v>Sales Executive</v>
      </c>
      <c r="AL1060" t="str">
        <f>Lab_Data[[#This Row],[Department]]</f>
        <v>Sales</v>
      </c>
      <c r="AM1060" t="str">
        <f>IF(Lab_Data[[#This Row],[Attrition]]="Yes","Failed","Completed")</f>
        <v>Failed</v>
      </c>
      <c r="AN1060">
        <f>Lab_Data[[#This Row],[YearsAtCompany]]</f>
        <v>15</v>
      </c>
      <c r="AO1060" t="str">
        <f>IF(Lab_Data[[#This Row],[PerformanceRating]]&gt;=3,"Approved","Review Required")</f>
        <v>Approved</v>
      </c>
    </row>
    <row r="1061" spans="1:41"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t="str">
        <f>"LAB-"&amp;Lab_Data[[#This Row],[EmployeeNumber]]</f>
        <v>LAB-1492</v>
      </c>
      <c r="AK1061" t="str">
        <f>Lab_Data[[#This Row],[JobRole]]</f>
        <v>Sales Representative</v>
      </c>
      <c r="AL1061" t="str">
        <f>Lab_Data[[#This Row],[Department]]</f>
        <v>Sales</v>
      </c>
      <c r="AM1061" t="str">
        <f>IF(Lab_Data[[#This Row],[Attrition]]="Yes","Failed","Completed")</f>
        <v>Completed</v>
      </c>
      <c r="AN1061">
        <f>Lab_Data[[#This Row],[YearsAtCompany]]</f>
        <v>1</v>
      </c>
      <c r="AO1061" t="str">
        <f>IF(Lab_Data[[#This Row],[PerformanceRating]]&gt;=3,"Approved","Review Required")</f>
        <v>Approved</v>
      </c>
    </row>
    <row r="1062" spans="1:41"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t="str">
        <f>"LAB-"&amp;Lab_Data[[#This Row],[EmployeeNumber]]</f>
        <v>LAB-1494</v>
      </c>
      <c r="AK1062" t="str">
        <f>Lab_Data[[#This Row],[JobRole]]</f>
        <v>Laboratory Technician</v>
      </c>
      <c r="AL1062" t="str">
        <f>Lab_Data[[#This Row],[Department]]</f>
        <v>Research &amp; Development</v>
      </c>
      <c r="AM1062" t="str">
        <f>IF(Lab_Data[[#This Row],[Attrition]]="Yes","Failed","Completed")</f>
        <v>Failed</v>
      </c>
      <c r="AN1062">
        <f>Lab_Data[[#This Row],[YearsAtCompany]]</f>
        <v>0</v>
      </c>
      <c r="AO1062" t="str">
        <f>IF(Lab_Data[[#This Row],[PerformanceRating]]&gt;=3,"Approved","Review Required")</f>
        <v>Approved</v>
      </c>
    </row>
    <row r="1063" spans="1:41"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t="str">
        <f>"LAB-"&amp;Lab_Data[[#This Row],[EmployeeNumber]]</f>
        <v>LAB-1495</v>
      </c>
      <c r="AK1063" t="str">
        <f>Lab_Data[[#This Row],[JobRole]]</f>
        <v>Sales Representative</v>
      </c>
      <c r="AL1063" t="str">
        <f>Lab_Data[[#This Row],[Department]]</f>
        <v>Sales</v>
      </c>
      <c r="AM1063" t="str">
        <f>IF(Lab_Data[[#This Row],[Attrition]]="Yes","Failed","Completed")</f>
        <v>Completed</v>
      </c>
      <c r="AN1063">
        <f>Lab_Data[[#This Row],[YearsAtCompany]]</f>
        <v>1</v>
      </c>
      <c r="AO1063" t="str">
        <f>IF(Lab_Data[[#This Row],[PerformanceRating]]&gt;=3,"Approved","Review Required")</f>
        <v>Approved</v>
      </c>
    </row>
    <row r="1064" spans="1:41"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t="str">
        <f>"LAB-"&amp;Lab_Data[[#This Row],[EmployeeNumber]]</f>
        <v>LAB-1496</v>
      </c>
      <c r="AK1064" t="str">
        <f>Lab_Data[[#This Row],[JobRole]]</f>
        <v>Manufacturing Director</v>
      </c>
      <c r="AL1064" t="str">
        <f>Lab_Data[[#This Row],[Department]]</f>
        <v>Research &amp; Development</v>
      </c>
      <c r="AM1064" t="str">
        <f>IF(Lab_Data[[#This Row],[Attrition]]="Yes","Failed","Completed")</f>
        <v>Completed</v>
      </c>
      <c r="AN1064">
        <f>Lab_Data[[#This Row],[YearsAtCompany]]</f>
        <v>2</v>
      </c>
      <c r="AO1064" t="str">
        <f>IF(Lab_Data[[#This Row],[PerformanceRating]]&gt;=3,"Approved","Review Required")</f>
        <v>Approved</v>
      </c>
    </row>
    <row r="1065" spans="1:41"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t="str">
        <f>"LAB-"&amp;Lab_Data[[#This Row],[EmployeeNumber]]</f>
        <v>LAB-1497</v>
      </c>
      <c r="AK1065" t="str">
        <f>Lab_Data[[#This Row],[JobRole]]</f>
        <v>Sales Executive</v>
      </c>
      <c r="AL1065" t="str">
        <f>Lab_Data[[#This Row],[Department]]</f>
        <v>Sales</v>
      </c>
      <c r="AM1065" t="str">
        <f>IF(Lab_Data[[#This Row],[Attrition]]="Yes","Failed","Completed")</f>
        <v>Completed</v>
      </c>
      <c r="AN1065">
        <f>Lab_Data[[#This Row],[YearsAtCompany]]</f>
        <v>10</v>
      </c>
      <c r="AO1065" t="str">
        <f>IF(Lab_Data[[#This Row],[PerformanceRating]]&gt;=3,"Approved","Review Required")</f>
        <v>Approved</v>
      </c>
    </row>
    <row r="1066" spans="1:41"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t="str">
        <f>"LAB-"&amp;Lab_Data[[#This Row],[EmployeeNumber]]</f>
        <v>LAB-1499</v>
      </c>
      <c r="AK1066" t="str">
        <f>Lab_Data[[#This Row],[JobRole]]</f>
        <v>Human Resources</v>
      </c>
      <c r="AL1066" t="str">
        <f>Lab_Data[[#This Row],[Department]]</f>
        <v>Human Resources</v>
      </c>
      <c r="AM1066" t="str">
        <f>IF(Lab_Data[[#This Row],[Attrition]]="Yes","Failed","Completed")</f>
        <v>Completed</v>
      </c>
      <c r="AN1066">
        <f>Lab_Data[[#This Row],[YearsAtCompany]]</f>
        <v>5</v>
      </c>
      <c r="AO1066" t="str">
        <f>IF(Lab_Data[[#This Row],[PerformanceRating]]&gt;=3,"Approved","Review Required")</f>
        <v>Approved</v>
      </c>
    </row>
    <row r="1067" spans="1:41"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t="str">
        <f>"LAB-"&amp;Lab_Data[[#This Row],[EmployeeNumber]]</f>
        <v>LAB-1501</v>
      </c>
      <c r="AK1067" t="str">
        <f>Lab_Data[[#This Row],[JobRole]]</f>
        <v>Healthcare Representative</v>
      </c>
      <c r="AL1067" t="str">
        <f>Lab_Data[[#This Row],[Department]]</f>
        <v>Research &amp; Development</v>
      </c>
      <c r="AM1067" t="str">
        <f>IF(Lab_Data[[#This Row],[Attrition]]="Yes","Failed","Completed")</f>
        <v>Completed</v>
      </c>
      <c r="AN1067">
        <f>Lab_Data[[#This Row],[YearsAtCompany]]</f>
        <v>3</v>
      </c>
      <c r="AO1067" t="str">
        <f>IF(Lab_Data[[#This Row],[PerformanceRating]]&gt;=3,"Approved","Review Required")</f>
        <v>Approved</v>
      </c>
    </row>
    <row r="1068" spans="1:41"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t="str">
        <f>"LAB-"&amp;Lab_Data[[#This Row],[EmployeeNumber]]</f>
        <v>LAB-1502</v>
      </c>
      <c r="AK1068" t="str">
        <f>Lab_Data[[#This Row],[JobRole]]</f>
        <v>Laboratory Technician</v>
      </c>
      <c r="AL1068" t="str">
        <f>Lab_Data[[#This Row],[Department]]</f>
        <v>Research &amp; Development</v>
      </c>
      <c r="AM1068" t="str">
        <f>IF(Lab_Data[[#This Row],[Attrition]]="Yes","Failed","Completed")</f>
        <v>Completed</v>
      </c>
      <c r="AN1068">
        <f>Lab_Data[[#This Row],[YearsAtCompany]]</f>
        <v>5</v>
      </c>
      <c r="AO1068" t="str">
        <f>IF(Lab_Data[[#This Row],[PerformanceRating]]&gt;=3,"Approved","Review Required")</f>
        <v>Approved</v>
      </c>
    </row>
    <row r="1069" spans="1:41"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t="str">
        <f>"LAB-"&amp;Lab_Data[[#This Row],[EmployeeNumber]]</f>
        <v>LAB-1503</v>
      </c>
      <c r="AK1069" t="str">
        <f>Lab_Data[[#This Row],[JobRole]]</f>
        <v>Sales Executive</v>
      </c>
      <c r="AL1069" t="str">
        <f>Lab_Data[[#This Row],[Department]]</f>
        <v>Sales</v>
      </c>
      <c r="AM1069" t="str">
        <f>IF(Lab_Data[[#This Row],[Attrition]]="Yes","Failed","Completed")</f>
        <v>Completed</v>
      </c>
      <c r="AN1069">
        <f>Lab_Data[[#This Row],[YearsAtCompany]]</f>
        <v>5</v>
      </c>
      <c r="AO1069" t="str">
        <f>IF(Lab_Data[[#This Row],[PerformanceRating]]&gt;=3,"Approved","Review Required")</f>
        <v>Approved</v>
      </c>
    </row>
    <row r="1070" spans="1:41"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t="str">
        <f>"LAB-"&amp;Lab_Data[[#This Row],[EmployeeNumber]]</f>
        <v>LAB-1504</v>
      </c>
      <c r="AK1070" t="str">
        <f>Lab_Data[[#This Row],[JobRole]]</f>
        <v>Laboratory Technician</v>
      </c>
      <c r="AL1070" t="str">
        <f>Lab_Data[[#This Row],[Department]]</f>
        <v>Research &amp; Development</v>
      </c>
      <c r="AM1070" t="str">
        <f>IF(Lab_Data[[#This Row],[Attrition]]="Yes","Failed","Completed")</f>
        <v>Failed</v>
      </c>
      <c r="AN1070">
        <f>Lab_Data[[#This Row],[YearsAtCompany]]</f>
        <v>0</v>
      </c>
      <c r="AO1070" t="str">
        <f>IF(Lab_Data[[#This Row],[PerformanceRating]]&gt;=3,"Approved","Review Required")</f>
        <v>Approved</v>
      </c>
    </row>
    <row r="1071" spans="1:41"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t="str">
        <f>"LAB-"&amp;Lab_Data[[#This Row],[EmployeeNumber]]</f>
        <v>LAB-1506</v>
      </c>
      <c r="AK1071" t="str">
        <f>Lab_Data[[#This Row],[JobRole]]</f>
        <v>Research Scientist</v>
      </c>
      <c r="AL1071" t="str">
        <f>Lab_Data[[#This Row],[Department]]</f>
        <v>Research &amp; Development</v>
      </c>
      <c r="AM1071" t="str">
        <f>IF(Lab_Data[[#This Row],[Attrition]]="Yes","Failed","Completed")</f>
        <v>Completed</v>
      </c>
      <c r="AN1071">
        <f>Lab_Data[[#This Row],[YearsAtCompany]]</f>
        <v>1</v>
      </c>
      <c r="AO1071" t="str">
        <f>IF(Lab_Data[[#This Row],[PerformanceRating]]&gt;=3,"Approved","Review Required")</f>
        <v>Approved</v>
      </c>
    </row>
    <row r="1072" spans="1:41"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t="str">
        <f>"LAB-"&amp;Lab_Data[[#This Row],[EmployeeNumber]]</f>
        <v>LAB-1507</v>
      </c>
      <c r="AK1072" t="str">
        <f>Lab_Data[[#This Row],[JobRole]]</f>
        <v>Sales Executive</v>
      </c>
      <c r="AL1072" t="str">
        <f>Lab_Data[[#This Row],[Department]]</f>
        <v>Sales</v>
      </c>
      <c r="AM1072" t="str">
        <f>IF(Lab_Data[[#This Row],[Attrition]]="Yes","Failed","Completed")</f>
        <v>Completed</v>
      </c>
      <c r="AN1072">
        <f>Lab_Data[[#This Row],[YearsAtCompany]]</f>
        <v>4</v>
      </c>
      <c r="AO1072" t="str">
        <f>IF(Lab_Data[[#This Row],[PerformanceRating]]&gt;=3,"Approved","Review Required")</f>
        <v>Approved</v>
      </c>
    </row>
    <row r="1073" spans="1:41"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t="str">
        <f>"LAB-"&amp;Lab_Data[[#This Row],[EmployeeNumber]]</f>
        <v>LAB-1509</v>
      </c>
      <c r="AK1073" t="str">
        <f>Lab_Data[[#This Row],[JobRole]]</f>
        <v>Laboratory Technician</v>
      </c>
      <c r="AL1073" t="str">
        <f>Lab_Data[[#This Row],[Department]]</f>
        <v>Research &amp; Development</v>
      </c>
      <c r="AM1073" t="str">
        <f>IF(Lab_Data[[#This Row],[Attrition]]="Yes","Failed","Completed")</f>
        <v>Completed</v>
      </c>
      <c r="AN1073">
        <f>Lab_Data[[#This Row],[YearsAtCompany]]</f>
        <v>3</v>
      </c>
      <c r="AO1073" t="str">
        <f>IF(Lab_Data[[#This Row],[PerformanceRating]]&gt;=3,"Approved","Review Required")</f>
        <v>Approved</v>
      </c>
    </row>
    <row r="1074" spans="1:41"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t="str">
        <f>"LAB-"&amp;Lab_Data[[#This Row],[EmployeeNumber]]</f>
        <v>LAB-1513</v>
      </c>
      <c r="AK1074" t="str">
        <f>Lab_Data[[#This Row],[JobRole]]</f>
        <v>Laboratory Technician</v>
      </c>
      <c r="AL1074" t="str">
        <f>Lab_Data[[#This Row],[Department]]</f>
        <v>Research &amp; Development</v>
      </c>
      <c r="AM1074" t="str">
        <f>IF(Lab_Data[[#This Row],[Attrition]]="Yes","Failed","Completed")</f>
        <v>Completed</v>
      </c>
      <c r="AN1074">
        <f>Lab_Data[[#This Row],[YearsAtCompany]]</f>
        <v>3</v>
      </c>
      <c r="AO1074" t="str">
        <f>IF(Lab_Data[[#This Row],[PerformanceRating]]&gt;=3,"Approved","Review Required")</f>
        <v>Approved</v>
      </c>
    </row>
    <row r="1075" spans="1:41"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t="str">
        <f>"LAB-"&amp;Lab_Data[[#This Row],[EmployeeNumber]]</f>
        <v>LAB-1514</v>
      </c>
      <c r="AK1075" t="str">
        <f>Lab_Data[[#This Row],[JobRole]]</f>
        <v>Manufacturing Director</v>
      </c>
      <c r="AL1075" t="str">
        <f>Lab_Data[[#This Row],[Department]]</f>
        <v>Research &amp; Development</v>
      </c>
      <c r="AM1075" t="str">
        <f>IF(Lab_Data[[#This Row],[Attrition]]="Yes","Failed","Completed")</f>
        <v>Completed</v>
      </c>
      <c r="AN1075">
        <f>Lab_Data[[#This Row],[YearsAtCompany]]</f>
        <v>8</v>
      </c>
      <c r="AO1075" t="str">
        <f>IF(Lab_Data[[#This Row],[PerformanceRating]]&gt;=3,"Approved","Review Required")</f>
        <v>Approved</v>
      </c>
    </row>
    <row r="1076" spans="1:41"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t="str">
        <f>"LAB-"&amp;Lab_Data[[#This Row],[EmployeeNumber]]</f>
        <v>LAB-1515</v>
      </c>
      <c r="AK1076" t="str">
        <f>Lab_Data[[#This Row],[JobRole]]</f>
        <v>Healthcare Representative</v>
      </c>
      <c r="AL1076" t="str">
        <f>Lab_Data[[#This Row],[Department]]</f>
        <v>Research &amp; Development</v>
      </c>
      <c r="AM1076" t="str">
        <f>IF(Lab_Data[[#This Row],[Attrition]]="Yes","Failed","Completed")</f>
        <v>Completed</v>
      </c>
      <c r="AN1076">
        <f>Lab_Data[[#This Row],[YearsAtCompany]]</f>
        <v>0</v>
      </c>
      <c r="AO1076" t="str">
        <f>IF(Lab_Data[[#This Row],[PerformanceRating]]&gt;=3,"Approved","Review Required")</f>
        <v>Approved</v>
      </c>
    </row>
    <row r="1077" spans="1:41"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t="str">
        <f>"LAB-"&amp;Lab_Data[[#This Row],[EmployeeNumber]]</f>
        <v>LAB-1516</v>
      </c>
      <c r="AK1077" t="str">
        <f>Lab_Data[[#This Row],[JobRole]]</f>
        <v>Manager</v>
      </c>
      <c r="AL1077" t="str">
        <f>Lab_Data[[#This Row],[Department]]</f>
        <v>Research &amp; Development</v>
      </c>
      <c r="AM1077" t="str">
        <f>IF(Lab_Data[[#This Row],[Attrition]]="Yes","Failed","Completed")</f>
        <v>Completed</v>
      </c>
      <c r="AN1077">
        <f>Lab_Data[[#This Row],[YearsAtCompany]]</f>
        <v>5</v>
      </c>
      <c r="AO1077" t="str">
        <f>IF(Lab_Data[[#This Row],[PerformanceRating]]&gt;=3,"Approved","Review Required")</f>
        <v>Approved</v>
      </c>
    </row>
    <row r="1078" spans="1:41"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t="str">
        <f>"LAB-"&amp;Lab_Data[[#This Row],[EmployeeNumber]]</f>
        <v>LAB-1520</v>
      </c>
      <c r="AK1078" t="str">
        <f>Lab_Data[[#This Row],[JobRole]]</f>
        <v>Manager</v>
      </c>
      <c r="AL1078" t="str">
        <f>Lab_Data[[#This Row],[Department]]</f>
        <v>Research &amp; Development</v>
      </c>
      <c r="AM1078" t="str">
        <f>IF(Lab_Data[[#This Row],[Attrition]]="Yes","Failed","Completed")</f>
        <v>Completed</v>
      </c>
      <c r="AN1078">
        <f>Lab_Data[[#This Row],[YearsAtCompany]]</f>
        <v>14</v>
      </c>
      <c r="AO1078" t="str">
        <f>IF(Lab_Data[[#This Row],[PerformanceRating]]&gt;=3,"Approved","Review Required")</f>
        <v>Approved</v>
      </c>
    </row>
    <row r="1079" spans="1:41"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t="str">
        <f>"LAB-"&amp;Lab_Data[[#This Row],[EmployeeNumber]]</f>
        <v>LAB-1522</v>
      </c>
      <c r="AK1079" t="str">
        <f>Lab_Data[[#This Row],[JobRole]]</f>
        <v>Research Scientist</v>
      </c>
      <c r="AL1079" t="str">
        <f>Lab_Data[[#This Row],[Department]]</f>
        <v>Research &amp; Development</v>
      </c>
      <c r="AM1079" t="str">
        <f>IF(Lab_Data[[#This Row],[Attrition]]="Yes","Failed","Completed")</f>
        <v>Failed</v>
      </c>
      <c r="AN1079">
        <f>Lab_Data[[#This Row],[YearsAtCompany]]</f>
        <v>9</v>
      </c>
      <c r="AO1079" t="str">
        <f>IF(Lab_Data[[#This Row],[PerformanceRating]]&gt;=3,"Approved","Review Required")</f>
        <v>Approved</v>
      </c>
    </row>
    <row r="1080" spans="1:41"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t="str">
        <f>"LAB-"&amp;Lab_Data[[#This Row],[EmployeeNumber]]</f>
        <v>LAB-1523</v>
      </c>
      <c r="AK1080" t="str">
        <f>Lab_Data[[#This Row],[JobRole]]</f>
        <v>Research Director</v>
      </c>
      <c r="AL1080" t="str">
        <f>Lab_Data[[#This Row],[Department]]</f>
        <v>Research &amp; Development</v>
      </c>
      <c r="AM1080" t="str">
        <f>IF(Lab_Data[[#This Row],[Attrition]]="Yes","Failed","Completed")</f>
        <v>Completed</v>
      </c>
      <c r="AN1080">
        <f>Lab_Data[[#This Row],[YearsAtCompany]]</f>
        <v>20</v>
      </c>
      <c r="AO1080" t="str">
        <f>IF(Lab_Data[[#This Row],[PerformanceRating]]&gt;=3,"Approved","Review Required")</f>
        <v>Approved</v>
      </c>
    </row>
    <row r="1081" spans="1:41"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t="str">
        <f>"LAB-"&amp;Lab_Data[[#This Row],[EmployeeNumber]]</f>
        <v>LAB-1525</v>
      </c>
      <c r="AK1081" t="str">
        <f>Lab_Data[[#This Row],[JobRole]]</f>
        <v>Manufacturing Director</v>
      </c>
      <c r="AL1081" t="str">
        <f>Lab_Data[[#This Row],[Department]]</f>
        <v>Research &amp; Development</v>
      </c>
      <c r="AM1081" t="str">
        <f>IF(Lab_Data[[#This Row],[Attrition]]="Yes","Failed","Completed")</f>
        <v>Completed</v>
      </c>
      <c r="AN1081">
        <f>Lab_Data[[#This Row],[YearsAtCompany]]</f>
        <v>2</v>
      </c>
      <c r="AO1081" t="str">
        <f>IF(Lab_Data[[#This Row],[PerformanceRating]]&gt;=3,"Approved","Review Required")</f>
        <v>Approved</v>
      </c>
    </row>
    <row r="1082" spans="1:41"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t="str">
        <f>"LAB-"&amp;Lab_Data[[#This Row],[EmployeeNumber]]</f>
        <v>LAB-1527</v>
      </c>
      <c r="AK1082" t="str">
        <f>Lab_Data[[#This Row],[JobRole]]</f>
        <v>Manager</v>
      </c>
      <c r="AL1082" t="str">
        <f>Lab_Data[[#This Row],[Department]]</f>
        <v>Sales</v>
      </c>
      <c r="AM1082" t="str">
        <f>IF(Lab_Data[[#This Row],[Attrition]]="Yes","Failed","Completed")</f>
        <v>Completed</v>
      </c>
      <c r="AN1082">
        <f>Lab_Data[[#This Row],[YearsAtCompany]]</f>
        <v>13</v>
      </c>
      <c r="AO1082" t="str">
        <f>IF(Lab_Data[[#This Row],[PerformanceRating]]&gt;=3,"Approved","Review Required")</f>
        <v>Approved</v>
      </c>
    </row>
    <row r="1083" spans="1:41"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t="str">
        <f>"LAB-"&amp;Lab_Data[[#This Row],[EmployeeNumber]]</f>
        <v>LAB-1529</v>
      </c>
      <c r="AK1083" t="str">
        <f>Lab_Data[[#This Row],[JobRole]]</f>
        <v>Healthcare Representative</v>
      </c>
      <c r="AL1083" t="str">
        <f>Lab_Data[[#This Row],[Department]]</f>
        <v>Research &amp; Development</v>
      </c>
      <c r="AM1083" t="str">
        <f>IF(Lab_Data[[#This Row],[Attrition]]="Yes","Failed","Completed")</f>
        <v>Completed</v>
      </c>
      <c r="AN1083">
        <f>Lab_Data[[#This Row],[YearsAtCompany]]</f>
        <v>11</v>
      </c>
      <c r="AO1083" t="str">
        <f>IF(Lab_Data[[#This Row],[PerformanceRating]]&gt;=3,"Approved","Review Required")</f>
        <v>Approved</v>
      </c>
    </row>
    <row r="1084" spans="1:41"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t="str">
        <f>"LAB-"&amp;Lab_Data[[#This Row],[EmployeeNumber]]</f>
        <v>LAB-1533</v>
      </c>
      <c r="AK1084" t="str">
        <f>Lab_Data[[#This Row],[JobRole]]</f>
        <v>Laboratory Technician</v>
      </c>
      <c r="AL1084" t="str">
        <f>Lab_Data[[#This Row],[Department]]</f>
        <v>Research &amp; Development</v>
      </c>
      <c r="AM1084" t="str">
        <f>IF(Lab_Data[[#This Row],[Attrition]]="Yes","Failed","Completed")</f>
        <v>Completed</v>
      </c>
      <c r="AN1084">
        <f>Lab_Data[[#This Row],[YearsAtCompany]]</f>
        <v>4</v>
      </c>
      <c r="AO1084" t="str">
        <f>IF(Lab_Data[[#This Row],[PerformanceRating]]&gt;=3,"Approved","Review Required")</f>
        <v>Approved</v>
      </c>
    </row>
    <row r="1085" spans="1:41"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t="str">
        <f>"LAB-"&amp;Lab_Data[[#This Row],[EmployeeNumber]]</f>
        <v>LAB-1534</v>
      </c>
      <c r="AK1085" t="str">
        <f>Lab_Data[[#This Row],[JobRole]]</f>
        <v>Laboratory Technician</v>
      </c>
      <c r="AL1085" t="str">
        <f>Lab_Data[[#This Row],[Department]]</f>
        <v>Research &amp; Development</v>
      </c>
      <c r="AM1085" t="str">
        <f>IF(Lab_Data[[#This Row],[Attrition]]="Yes","Failed","Completed")</f>
        <v>Failed</v>
      </c>
      <c r="AN1085">
        <f>Lab_Data[[#This Row],[YearsAtCompany]]</f>
        <v>5</v>
      </c>
      <c r="AO1085" t="str">
        <f>IF(Lab_Data[[#This Row],[PerformanceRating]]&gt;=3,"Approved","Review Required")</f>
        <v>Approved</v>
      </c>
    </row>
    <row r="1086" spans="1:41"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t="str">
        <f>"LAB-"&amp;Lab_Data[[#This Row],[EmployeeNumber]]</f>
        <v>LAB-1535</v>
      </c>
      <c r="AK1086" t="str">
        <f>Lab_Data[[#This Row],[JobRole]]</f>
        <v>Sales Executive</v>
      </c>
      <c r="AL1086" t="str">
        <f>Lab_Data[[#This Row],[Department]]</f>
        <v>Sales</v>
      </c>
      <c r="AM1086" t="str">
        <f>IF(Lab_Data[[#This Row],[Attrition]]="Yes","Failed","Completed")</f>
        <v>Completed</v>
      </c>
      <c r="AN1086">
        <f>Lab_Data[[#This Row],[YearsAtCompany]]</f>
        <v>10</v>
      </c>
      <c r="AO1086" t="str">
        <f>IF(Lab_Data[[#This Row],[PerformanceRating]]&gt;=3,"Approved","Review Required")</f>
        <v>Approved</v>
      </c>
    </row>
    <row r="1087" spans="1:41"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t="str">
        <f>"LAB-"&amp;Lab_Data[[#This Row],[EmployeeNumber]]</f>
        <v>LAB-1537</v>
      </c>
      <c r="AK1087" t="str">
        <f>Lab_Data[[#This Row],[JobRole]]</f>
        <v>Research Scientist</v>
      </c>
      <c r="AL1087" t="str">
        <f>Lab_Data[[#This Row],[Department]]</f>
        <v>Research &amp; Development</v>
      </c>
      <c r="AM1087" t="str">
        <f>IF(Lab_Data[[#This Row],[Attrition]]="Yes","Failed","Completed")</f>
        <v>Failed</v>
      </c>
      <c r="AN1087">
        <f>Lab_Data[[#This Row],[YearsAtCompany]]</f>
        <v>7</v>
      </c>
      <c r="AO1087" t="str">
        <f>IF(Lab_Data[[#This Row],[PerformanceRating]]&gt;=3,"Approved","Review Required")</f>
        <v>Approved</v>
      </c>
    </row>
    <row r="1088" spans="1:41"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t="str">
        <f>"LAB-"&amp;Lab_Data[[#This Row],[EmployeeNumber]]</f>
        <v>LAB-1539</v>
      </c>
      <c r="AK1088" t="str">
        <f>Lab_Data[[#This Row],[JobRole]]</f>
        <v>Research Director</v>
      </c>
      <c r="AL1088" t="str">
        <f>Lab_Data[[#This Row],[Department]]</f>
        <v>Research &amp; Development</v>
      </c>
      <c r="AM1088" t="str">
        <f>IF(Lab_Data[[#This Row],[Attrition]]="Yes","Failed","Completed")</f>
        <v>Completed</v>
      </c>
      <c r="AN1088">
        <f>Lab_Data[[#This Row],[YearsAtCompany]]</f>
        <v>32</v>
      </c>
      <c r="AO1088" t="str">
        <f>IF(Lab_Data[[#This Row],[PerformanceRating]]&gt;=3,"Approved","Review Required")</f>
        <v>Approved</v>
      </c>
    </row>
    <row r="1089" spans="1:41"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t="str">
        <f>"LAB-"&amp;Lab_Data[[#This Row],[EmployeeNumber]]</f>
        <v>LAB-1541</v>
      </c>
      <c r="AK1089" t="str">
        <f>Lab_Data[[#This Row],[JobRole]]</f>
        <v>Sales Representative</v>
      </c>
      <c r="AL1089" t="str">
        <f>Lab_Data[[#This Row],[Department]]</f>
        <v>Sales</v>
      </c>
      <c r="AM1089" t="str">
        <f>IF(Lab_Data[[#This Row],[Attrition]]="Yes","Failed","Completed")</f>
        <v>Completed</v>
      </c>
      <c r="AN1089">
        <f>Lab_Data[[#This Row],[YearsAtCompany]]</f>
        <v>11</v>
      </c>
      <c r="AO1089" t="str">
        <f>IF(Lab_Data[[#This Row],[PerformanceRating]]&gt;=3,"Approved","Review Required")</f>
        <v>Approved</v>
      </c>
    </row>
    <row r="1090" spans="1:41"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t="str">
        <f>"LAB-"&amp;Lab_Data[[#This Row],[EmployeeNumber]]</f>
        <v>LAB-1542</v>
      </c>
      <c r="AK1090" t="str">
        <f>Lab_Data[[#This Row],[JobRole]]</f>
        <v>Laboratory Technician</v>
      </c>
      <c r="AL1090" t="str">
        <f>Lab_Data[[#This Row],[Department]]</f>
        <v>Research &amp; Development</v>
      </c>
      <c r="AM1090" t="str">
        <f>IF(Lab_Data[[#This Row],[Attrition]]="Yes","Failed","Completed")</f>
        <v>Completed</v>
      </c>
      <c r="AN1090">
        <f>Lab_Data[[#This Row],[YearsAtCompany]]</f>
        <v>1</v>
      </c>
      <c r="AO1090" t="str">
        <f>IF(Lab_Data[[#This Row],[PerformanceRating]]&gt;=3,"Approved","Review Required")</f>
        <v>Approved</v>
      </c>
    </row>
    <row r="1091" spans="1:41"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t="str">
        <f>"LAB-"&amp;Lab_Data[[#This Row],[EmployeeNumber]]</f>
        <v>LAB-1543</v>
      </c>
      <c r="AK1091" t="str">
        <f>Lab_Data[[#This Row],[JobRole]]</f>
        <v>Research Scientist</v>
      </c>
      <c r="AL1091" t="str">
        <f>Lab_Data[[#This Row],[Department]]</f>
        <v>Research &amp; Development</v>
      </c>
      <c r="AM1091" t="str">
        <f>IF(Lab_Data[[#This Row],[Attrition]]="Yes","Failed","Completed")</f>
        <v>Completed</v>
      </c>
      <c r="AN1091">
        <f>Lab_Data[[#This Row],[YearsAtCompany]]</f>
        <v>10</v>
      </c>
      <c r="AO1091" t="str">
        <f>IF(Lab_Data[[#This Row],[PerformanceRating]]&gt;=3,"Approved","Review Required")</f>
        <v>Approved</v>
      </c>
    </row>
    <row r="1092" spans="1:41"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t="str">
        <f>"LAB-"&amp;Lab_Data[[#This Row],[EmployeeNumber]]</f>
        <v>LAB-1544</v>
      </c>
      <c r="AK1092" t="str">
        <f>Lab_Data[[#This Row],[JobRole]]</f>
        <v>Healthcare Representative</v>
      </c>
      <c r="AL1092" t="str">
        <f>Lab_Data[[#This Row],[Department]]</f>
        <v>Research &amp; Development</v>
      </c>
      <c r="AM1092" t="str">
        <f>IF(Lab_Data[[#This Row],[Attrition]]="Yes","Failed","Completed")</f>
        <v>Completed</v>
      </c>
      <c r="AN1092">
        <f>Lab_Data[[#This Row],[YearsAtCompany]]</f>
        <v>7</v>
      </c>
      <c r="AO1092" t="str">
        <f>IF(Lab_Data[[#This Row],[PerformanceRating]]&gt;=3,"Approved","Review Required")</f>
        <v>Approved</v>
      </c>
    </row>
    <row r="1093" spans="1:41"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t="str">
        <f>"LAB-"&amp;Lab_Data[[#This Row],[EmployeeNumber]]</f>
        <v>LAB-1545</v>
      </c>
      <c r="AK1093" t="str">
        <f>Lab_Data[[#This Row],[JobRole]]</f>
        <v>Manufacturing Director</v>
      </c>
      <c r="AL1093" t="str">
        <f>Lab_Data[[#This Row],[Department]]</f>
        <v>Research &amp; Development</v>
      </c>
      <c r="AM1093" t="str">
        <f>IF(Lab_Data[[#This Row],[Attrition]]="Yes","Failed","Completed")</f>
        <v>Completed</v>
      </c>
      <c r="AN1093">
        <f>Lab_Data[[#This Row],[YearsAtCompany]]</f>
        <v>5</v>
      </c>
      <c r="AO1093" t="str">
        <f>IF(Lab_Data[[#This Row],[PerformanceRating]]&gt;=3,"Approved","Review Required")</f>
        <v>Approved</v>
      </c>
    </row>
    <row r="1094" spans="1:41"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t="str">
        <f>"LAB-"&amp;Lab_Data[[#This Row],[EmployeeNumber]]</f>
        <v>LAB-1546</v>
      </c>
      <c r="AK1094" t="str">
        <f>Lab_Data[[#This Row],[JobRole]]</f>
        <v>Research Scientist</v>
      </c>
      <c r="AL1094" t="str">
        <f>Lab_Data[[#This Row],[Department]]</f>
        <v>Research &amp; Development</v>
      </c>
      <c r="AM1094" t="str">
        <f>IF(Lab_Data[[#This Row],[Attrition]]="Yes","Failed","Completed")</f>
        <v>Completed</v>
      </c>
      <c r="AN1094">
        <f>Lab_Data[[#This Row],[YearsAtCompany]]</f>
        <v>5</v>
      </c>
      <c r="AO1094" t="str">
        <f>IF(Lab_Data[[#This Row],[PerformanceRating]]&gt;=3,"Approved","Review Required")</f>
        <v>Approved</v>
      </c>
    </row>
    <row r="1095" spans="1:41"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t="str">
        <f>"LAB-"&amp;Lab_Data[[#This Row],[EmployeeNumber]]</f>
        <v>LAB-1547</v>
      </c>
      <c r="AK1095" t="str">
        <f>Lab_Data[[#This Row],[JobRole]]</f>
        <v>Healthcare Representative</v>
      </c>
      <c r="AL1095" t="str">
        <f>Lab_Data[[#This Row],[Department]]</f>
        <v>Research &amp; Development</v>
      </c>
      <c r="AM1095" t="str">
        <f>IF(Lab_Data[[#This Row],[Attrition]]="Yes","Failed","Completed")</f>
        <v>Completed</v>
      </c>
      <c r="AN1095">
        <f>Lab_Data[[#This Row],[YearsAtCompany]]</f>
        <v>20</v>
      </c>
      <c r="AO1095" t="str">
        <f>IF(Lab_Data[[#This Row],[PerformanceRating]]&gt;=3,"Approved","Review Required")</f>
        <v>Approved</v>
      </c>
    </row>
    <row r="1096" spans="1:41"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t="str">
        <f>"LAB-"&amp;Lab_Data[[#This Row],[EmployeeNumber]]</f>
        <v>LAB-1548</v>
      </c>
      <c r="AK1096" t="str">
        <f>Lab_Data[[#This Row],[JobRole]]</f>
        <v>Sales Executive</v>
      </c>
      <c r="AL1096" t="str">
        <f>Lab_Data[[#This Row],[Department]]</f>
        <v>Sales</v>
      </c>
      <c r="AM1096" t="str">
        <f>IF(Lab_Data[[#This Row],[Attrition]]="Yes","Failed","Completed")</f>
        <v>Completed</v>
      </c>
      <c r="AN1096">
        <f>Lab_Data[[#This Row],[YearsAtCompany]]</f>
        <v>8</v>
      </c>
      <c r="AO1096" t="str">
        <f>IF(Lab_Data[[#This Row],[PerformanceRating]]&gt;=3,"Approved","Review Required")</f>
        <v>Approved</v>
      </c>
    </row>
    <row r="1097" spans="1:41"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t="str">
        <f>"LAB-"&amp;Lab_Data[[#This Row],[EmployeeNumber]]</f>
        <v>LAB-1549</v>
      </c>
      <c r="AK1097" t="str">
        <f>Lab_Data[[#This Row],[JobRole]]</f>
        <v>Laboratory Technician</v>
      </c>
      <c r="AL1097" t="str">
        <f>Lab_Data[[#This Row],[Department]]</f>
        <v>Research &amp; Development</v>
      </c>
      <c r="AM1097" t="str">
        <f>IF(Lab_Data[[#This Row],[Attrition]]="Yes","Failed","Completed")</f>
        <v>Completed</v>
      </c>
      <c r="AN1097">
        <f>Lab_Data[[#This Row],[YearsAtCompany]]</f>
        <v>15</v>
      </c>
      <c r="AO1097" t="str">
        <f>IF(Lab_Data[[#This Row],[PerformanceRating]]&gt;=3,"Approved","Review Required")</f>
        <v>Approved</v>
      </c>
    </row>
    <row r="1098" spans="1:41"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t="str">
        <f>"LAB-"&amp;Lab_Data[[#This Row],[EmployeeNumber]]</f>
        <v>LAB-1550</v>
      </c>
      <c r="AK1098" t="str">
        <f>Lab_Data[[#This Row],[JobRole]]</f>
        <v>Manager</v>
      </c>
      <c r="AL1098" t="str">
        <f>Lab_Data[[#This Row],[Department]]</f>
        <v>Human Resources</v>
      </c>
      <c r="AM1098" t="str">
        <f>IF(Lab_Data[[#This Row],[Attrition]]="Yes","Failed","Completed")</f>
        <v>Completed</v>
      </c>
      <c r="AN1098">
        <f>Lab_Data[[#This Row],[YearsAtCompany]]</f>
        <v>21</v>
      </c>
      <c r="AO1098" t="str">
        <f>IF(Lab_Data[[#This Row],[PerformanceRating]]&gt;=3,"Approved","Review Required")</f>
        <v>Approved</v>
      </c>
    </row>
    <row r="1099" spans="1:41"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t="str">
        <f>"LAB-"&amp;Lab_Data[[#This Row],[EmployeeNumber]]</f>
        <v>LAB-1551</v>
      </c>
      <c r="AK1099" t="str">
        <f>Lab_Data[[#This Row],[JobRole]]</f>
        <v>Laboratory Technician</v>
      </c>
      <c r="AL1099" t="str">
        <f>Lab_Data[[#This Row],[Department]]</f>
        <v>Research &amp; Development</v>
      </c>
      <c r="AM1099" t="str">
        <f>IF(Lab_Data[[#This Row],[Attrition]]="Yes","Failed","Completed")</f>
        <v>Completed</v>
      </c>
      <c r="AN1099">
        <f>Lab_Data[[#This Row],[YearsAtCompany]]</f>
        <v>1</v>
      </c>
      <c r="AO1099" t="str">
        <f>IF(Lab_Data[[#This Row],[PerformanceRating]]&gt;=3,"Approved","Review Required")</f>
        <v>Approved</v>
      </c>
    </row>
    <row r="1100" spans="1:41"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t="str">
        <f>"LAB-"&amp;Lab_Data[[#This Row],[EmployeeNumber]]</f>
        <v>LAB-1552</v>
      </c>
      <c r="AK1100" t="str">
        <f>Lab_Data[[#This Row],[JobRole]]</f>
        <v>Healthcare Representative</v>
      </c>
      <c r="AL1100" t="str">
        <f>Lab_Data[[#This Row],[Department]]</f>
        <v>Research &amp; Development</v>
      </c>
      <c r="AM1100" t="str">
        <f>IF(Lab_Data[[#This Row],[Attrition]]="Yes","Failed","Completed")</f>
        <v>Completed</v>
      </c>
      <c r="AN1100">
        <f>Lab_Data[[#This Row],[YearsAtCompany]]</f>
        <v>2</v>
      </c>
      <c r="AO1100" t="str">
        <f>IF(Lab_Data[[#This Row],[PerformanceRating]]&gt;=3,"Approved","Review Required")</f>
        <v>Approved</v>
      </c>
    </row>
    <row r="1101" spans="1:41"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t="str">
        <f>"LAB-"&amp;Lab_Data[[#This Row],[EmployeeNumber]]</f>
        <v>LAB-1553</v>
      </c>
      <c r="AK1101" t="str">
        <f>Lab_Data[[#This Row],[JobRole]]</f>
        <v>Healthcare Representative</v>
      </c>
      <c r="AL1101" t="str">
        <f>Lab_Data[[#This Row],[Department]]</f>
        <v>Research &amp; Development</v>
      </c>
      <c r="AM1101" t="str">
        <f>IF(Lab_Data[[#This Row],[Attrition]]="Yes","Failed","Completed")</f>
        <v>Completed</v>
      </c>
      <c r="AN1101">
        <f>Lab_Data[[#This Row],[YearsAtCompany]]</f>
        <v>10</v>
      </c>
      <c r="AO1101" t="str">
        <f>IF(Lab_Data[[#This Row],[PerformanceRating]]&gt;=3,"Approved","Review Required")</f>
        <v>Approved</v>
      </c>
    </row>
    <row r="1102" spans="1:41"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t="str">
        <f>"LAB-"&amp;Lab_Data[[#This Row],[EmployeeNumber]]</f>
        <v>LAB-1554</v>
      </c>
      <c r="AK1102" t="str">
        <f>Lab_Data[[#This Row],[JobRole]]</f>
        <v>Sales Representative</v>
      </c>
      <c r="AL1102" t="str">
        <f>Lab_Data[[#This Row],[Department]]</f>
        <v>Sales</v>
      </c>
      <c r="AM1102" t="str">
        <f>IF(Lab_Data[[#This Row],[Attrition]]="Yes","Failed","Completed")</f>
        <v>Completed</v>
      </c>
      <c r="AN1102">
        <f>Lab_Data[[#This Row],[YearsAtCompany]]</f>
        <v>5</v>
      </c>
      <c r="AO1102" t="str">
        <f>IF(Lab_Data[[#This Row],[PerformanceRating]]&gt;=3,"Approved","Review Required")</f>
        <v>Approved</v>
      </c>
    </row>
    <row r="1103" spans="1:41"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t="str">
        <f>"LAB-"&amp;Lab_Data[[#This Row],[EmployeeNumber]]</f>
        <v>LAB-1555</v>
      </c>
      <c r="AK1103" t="str">
        <f>Lab_Data[[#This Row],[JobRole]]</f>
        <v>Research Scientist</v>
      </c>
      <c r="AL1103" t="str">
        <f>Lab_Data[[#This Row],[Department]]</f>
        <v>Research &amp; Development</v>
      </c>
      <c r="AM1103" t="str">
        <f>IF(Lab_Data[[#This Row],[Attrition]]="Yes","Failed","Completed")</f>
        <v>Completed</v>
      </c>
      <c r="AN1103">
        <f>Lab_Data[[#This Row],[YearsAtCompany]]</f>
        <v>7</v>
      </c>
      <c r="AO1103" t="str">
        <f>IF(Lab_Data[[#This Row],[PerformanceRating]]&gt;=3,"Approved","Review Required")</f>
        <v>Approved</v>
      </c>
    </row>
    <row r="1104" spans="1:41"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t="str">
        <f>"LAB-"&amp;Lab_Data[[#This Row],[EmployeeNumber]]</f>
        <v>LAB-1556</v>
      </c>
      <c r="AK1104" t="str">
        <f>Lab_Data[[#This Row],[JobRole]]</f>
        <v>Sales Representative</v>
      </c>
      <c r="AL1104" t="str">
        <f>Lab_Data[[#This Row],[Department]]</f>
        <v>Sales</v>
      </c>
      <c r="AM1104" t="str">
        <f>IF(Lab_Data[[#This Row],[Attrition]]="Yes","Failed","Completed")</f>
        <v>Completed</v>
      </c>
      <c r="AN1104">
        <f>Lab_Data[[#This Row],[YearsAtCompany]]</f>
        <v>3</v>
      </c>
      <c r="AO1104" t="str">
        <f>IF(Lab_Data[[#This Row],[PerformanceRating]]&gt;=3,"Approved","Review Required")</f>
        <v>Approved</v>
      </c>
    </row>
    <row r="1105" spans="1:41"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t="str">
        <f>"LAB-"&amp;Lab_Data[[#This Row],[EmployeeNumber]]</f>
        <v>LAB-1557</v>
      </c>
      <c r="AK1105" t="str">
        <f>Lab_Data[[#This Row],[JobRole]]</f>
        <v>Sales Executive</v>
      </c>
      <c r="AL1105" t="str">
        <f>Lab_Data[[#This Row],[Department]]</f>
        <v>Sales</v>
      </c>
      <c r="AM1105" t="str">
        <f>IF(Lab_Data[[#This Row],[Attrition]]="Yes","Failed","Completed")</f>
        <v>Completed</v>
      </c>
      <c r="AN1105">
        <f>Lab_Data[[#This Row],[YearsAtCompany]]</f>
        <v>8</v>
      </c>
      <c r="AO1105" t="str">
        <f>IF(Lab_Data[[#This Row],[PerformanceRating]]&gt;=3,"Approved","Review Required")</f>
        <v>Approved</v>
      </c>
    </row>
    <row r="1106" spans="1:41"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t="str">
        <f>"LAB-"&amp;Lab_Data[[#This Row],[EmployeeNumber]]</f>
        <v>LAB-1558</v>
      </c>
      <c r="AK1106" t="str">
        <f>Lab_Data[[#This Row],[JobRole]]</f>
        <v>Research Scientist</v>
      </c>
      <c r="AL1106" t="str">
        <f>Lab_Data[[#This Row],[Department]]</f>
        <v>Research &amp; Development</v>
      </c>
      <c r="AM1106" t="str">
        <f>IF(Lab_Data[[#This Row],[Attrition]]="Yes","Failed","Completed")</f>
        <v>Completed</v>
      </c>
      <c r="AN1106">
        <f>Lab_Data[[#This Row],[YearsAtCompany]]</f>
        <v>1</v>
      </c>
      <c r="AO1106" t="str">
        <f>IF(Lab_Data[[#This Row],[PerformanceRating]]&gt;=3,"Approved","Review Required")</f>
        <v>Approved</v>
      </c>
    </row>
    <row r="1107" spans="1:41"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t="str">
        <f>"LAB-"&amp;Lab_Data[[#This Row],[EmployeeNumber]]</f>
        <v>LAB-1560</v>
      </c>
      <c r="AK1107" t="str">
        <f>Lab_Data[[#This Row],[JobRole]]</f>
        <v>Sales Executive</v>
      </c>
      <c r="AL1107" t="str">
        <f>Lab_Data[[#This Row],[Department]]</f>
        <v>Sales</v>
      </c>
      <c r="AM1107" t="str">
        <f>IF(Lab_Data[[#This Row],[Attrition]]="Yes","Failed","Completed")</f>
        <v>Completed</v>
      </c>
      <c r="AN1107">
        <f>Lab_Data[[#This Row],[YearsAtCompany]]</f>
        <v>2</v>
      </c>
      <c r="AO1107" t="str">
        <f>IF(Lab_Data[[#This Row],[PerformanceRating]]&gt;=3,"Approved","Review Required")</f>
        <v>Approved</v>
      </c>
    </row>
    <row r="1108" spans="1:41"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t="str">
        <f>"LAB-"&amp;Lab_Data[[#This Row],[EmployeeNumber]]</f>
        <v>LAB-1562</v>
      </c>
      <c r="AK1108" t="str">
        <f>Lab_Data[[#This Row],[JobRole]]</f>
        <v>Sales Executive</v>
      </c>
      <c r="AL1108" t="str">
        <f>Lab_Data[[#This Row],[Department]]</f>
        <v>Sales</v>
      </c>
      <c r="AM1108" t="str">
        <f>IF(Lab_Data[[#This Row],[Attrition]]="Yes","Failed","Completed")</f>
        <v>Failed</v>
      </c>
      <c r="AN1108">
        <f>Lab_Data[[#This Row],[YearsAtCompany]]</f>
        <v>10</v>
      </c>
      <c r="AO1108" t="str">
        <f>IF(Lab_Data[[#This Row],[PerformanceRating]]&gt;=3,"Approved","Review Required")</f>
        <v>Approved</v>
      </c>
    </row>
    <row r="1109" spans="1:41"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t="str">
        <f>"LAB-"&amp;Lab_Data[[#This Row],[EmployeeNumber]]</f>
        <v>LAB-1563</v>
      </c>
      <c r="AK1109" t="str">
        <f>Lab_Data[[#This Row],[JobRole]]</f>
        <v>Human Resources</v>
      </c>
      <c r="AL1109" t="str">
        <f>Lab_Data[[#This Row],[Department]]</f>
        <v>Human Resources</v>
      </c>
      <c r="AM1109" t="str">
        <f>IF(Lab_Data[[#This Row],[Attrition]]="Yes","Failed","Completed")</f>
        <v>Completed</v>
      </c>
      <c r="AN1109">
        <f>Lab_Data[[#This Row],[YearsAtCompany]]</f>
        <v>6</v>
      </c>
      <c r="AO1109" t="str">
        <f>IF(Lab_Data[[#This Row],[PerformanceRating]]&gt;=3,"Approved","Review Required")</f>
        <v>Approved</v>
      </c>
    </row>
    <row r="1110" spans="1:41"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t="str">
        <f>"LAB-"&amp;Lab_Data[[#This Row],[EmployeeNumber]]</f>
        <v>LAB-1564</v>
      </c>
      <c r="AK1110" t="str">
        <f>Lab_Data[[#This Row],[JobRole]]</f>
        <v>Laboratory Technician</v>
      </c>
      <c r="AL1110" t="str">
        <f>Lab_Data[[#This Row],[Department]]</f>
        <v>Research &amp; Development</v>
      </c>
      <c r="AM1110" t="str">
        <f>IF(Lab_Data[[#This Row],[Attrition]]="Yes","Failed","Completed")</f>
        <v>Completed</v>
      </c>
      <c r="AN1110">
        <f>Lab_Data[[#This Row],[YearsAtCompany]]</f>
        <v>3</v>
      </c>
      <c r="AO1110" t="str">
        <f>IF(Lab_Data[[#This Row],[PerformanceRating]]&gt;=3,"Approved","Review Required")</f>
        <v>Approved</v>
      </c>
    </row>
    <row r="1111" spans="1:41"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t="str">
        <f>"LAB-"&amp;Lab_Data[[#This Row],[EmployeeNumber]]</f>
        <v>LAB-1568</v>
      </c>
      <c r="AK1111" t="str">
        <f>Lab_Data[[#This Row],[JobRole]]</f>
        <v>Sales Executive</v>
      </c>
      <c r="AL1111" t="str">
        <f>Lab_Data[[#This Row],[Department]]</f>
        <v>Sales</v>
      </c>
      <c r="AM1111" t="str">
        <f>IF(Lab_Data[[#This Row],[Attrition]]="Yes","Failed","Completed")</f>
        <v>Completed</v>
      </c>
      <c r="AN1111">
        <f>Lab_Data[[#This Row],[YearsAtCompany]]</f>
        <v>4</v>
      </c>
      <c r="AO1111" t="str">
        <f>IF(Lab_Data[[#This Row],[PerformanceRating]]&gt;=3,"Approved","Review Required")</f>
        <v>Approved</v>
      </c>
    </row>
    <row r="1112" spans="1:41"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t="str">
        <f>"LAB-"&amp;Lab_Data[[#This Row],[EmployeeNumber]]</f>
        <v>LAB-1569</v>
      </c>
      <c r="AK1112" t="str">
        <f>Lab_Data[[#This Row],[JobRole]]</f>
        <v>Laboratory Technician</v>
      </c>
      <c r="AL1112" t="str">
        <f>Lab_Data[[#This Row],[Department]]</f>
        <v>Research &amp; Development</v>
      </c>
      <c r="AM1112" t="str">
        <f>IF(Lab_Data[[#This Row],[Attrition]]="Yes","Failed","Completed")</f>
        <v>Failed</v>
      </c>
      <c r="AN1112">
        <f>Lab_Data[[#This Row],[YearsAtCompany]]</f>
        <v>1</v>
      </c>
      <c r="AO1112" t="str">
        <f>IF(Lab_Data[[#This Row],[PerformanceRating]]&gt;=3,"Approved","Review Required")</f>
        <v>Approved</v>
      </c>
    </row>
    <row r="1113" spans="1:41"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t="str">
        <f>"LAB-"&amp;Lab_Data[[#This Row],[EmployeeNumber]]</f>
        <v>LAB-1572</v>
      </c>
      <c r="AK1113" t="str">
        <f>Lab_Data[[#This Row],[JobRole]]</f>
        <v>Manufacturing Director</v>
      </c>
      <c r="AL1113" t="str">
        <f>Lab_Data[[#This Row],[Department]]</f>
        <v>Research &amp; Development</v>
      </c>
      <c r="AM1113" t="str">
        <f>IF(Lab_Data[[#This Row],[Attrition]]="Yes","Failed","Completed")</f>
        <v>Failed</v>
      </c>
      <c r="AN1113">
        <f>Lab_Data[[#This Row],[YearsAtCompany]]</f>
        <v>33</v>
      </c>
      <c r="AO1113" t="str">
        <f>IF(Lab_Data[[#This Row],[PerformanceRating]]&gt;=3,"Approved","Review Required")</f>
        <v>Approved</v>
      </c>
    </row>
    <row r="1114" spans="1:41"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t="str">
        <f>"LAB-"&amp;Lab_Data[[#This Row],[EmployeeNumber]]</f>
        <v>LAB-1573</v>
      </c>
      <c r="AK1114" t="str">
        <f>Lab_Data[[#This Row],[JobRole]]</f>
        <v>Manufacturing Director</v>
      </c>
      <c r="AL1114" t="str">
        <f>Lab_Data[[#This Row],[Department]]</f>
        <v>Research &amp; Development</v>
      </c>
      <c r="AM1114" t="str">
        <f>IF(Lab_Data[[#This Row],[Attrition]]="Yes","Failed","Completed")</f>
        <v>Failed</v>
      </c>
      <c r="AN1114">
        <f>Lab_Data[[#This Row],[YearsAtCompany]]</f>
        <v>5</v>
      </c>
      <c r="AO1114" t="str">
        <f>IF(Lab_Data[[#This Row],[PerformanceRating]]&gt;=3,"Approved","Review Required")</f>
        <v>Approved</v>
      </c>
    </row>
    <row r="1115" spans="1:41"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t="str">
        <f>"LAB-"&amp;Lab_Data[[#This Row],[EmployeeNumber]]</f>
        <v>LAB-1574</v>
      </c>
      <c r="AK1115" t="str">
        <f>Lab_Data[[#This Row],[JobRole]]</f>
        <v>Research Scientist</v>
      </c>
      <c r="AL1115" t="str">
        <f>Lab_Data[[#This Row],[Department]]</f>
        <v>Research &amp; Development</v>
      </c>
      <c r="AM1115" t="str">
        <f>IF(Lab_Data[[#This Row],[Attrition]]="Yes","Failed","Completed")</f>
        <v>Completed</v>
      </c>
      <c r="AN1115">
        <f>Lab_Data[[#This Row],[YearsAtCompany]]</f>
        <v>6</v>
      </c>
      <c r="AO1115" t="str">
        <f>IF(Lab_Data[[#This Row],[PerformanceRating]]&gt;=3,"Approved","Review Required")</f>
        <v>Approved</v>
      </c>
    </row>
    <row r="1116" spans="1:41"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t="str">
        <f>"LAB-"&amp;Lab_Data[[#This Row],[EmployeeNumber]]</f>
        <v>LAB-1576</v>
      </c>
      <c r="AK1116" t="str">
        <f>Lab_Data[[#This Row],[JobRole]]</f>
        <v>Research Scientist</v>
      </c>
      <c r="AL1116" t="str">
        <f>Lab_Data[[#This Row],[Department]]</f>
        <v>Research &amp; Development</v>
      </c>
      <c r="AM1116" t="str">
        <f>IF(Lab_Data[[#This Row],[Attrition]]="Yes","Failed","Completed")</f>
        <v>Completed</v>
      </c>
      <c r="AN1116">
        <f>Lab_Data[[#This Row],[YearsAtCompany]]</f>
        <v>8</v>
      </c>
      <c r="AO1116" t="str">
        <f>IF(Lab_Data[[#This Row],[PerformanceRating]]&gt;=3,"Approved","Review Required")</f>
        <v>Approved</v>
      </c>
    </row>
    <row r="1117" spans="1:41"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t="str">
        <f>"LAB-"&amp;Lab_Data[[#This Row],[EmployeeNumber]]</f>
        <v>LAB-1577</v>
      </c>
      <c r="AK1117" t="str">
        <f>Lab_Data[[#This Row],[JobRole]]</f>
        <v>Research Scientist</v>
      </c>
      <c r="AL1117" t="str">
        <f>Lab_Data[[#This Row],[Department]]</f>
        <v>Research &amp; Development</v>
      </c>
      <c r="AM1117" t="str">
        <f>IF(Lab_Data[[#This Row],[Attrition]]="Yes","Failed","Completed")</f>
        <v>Completed</v>
      </c>
      <c r="AN1117">
        <f>Lab_Data[[#This Row],[YearsAtCompany]]</f>
        <v>1</v>
      </c>
      <c r="AO1117" t="str">
        <f>IF(Lab_Data[[#This Row],[PerformanceRating]]&gt;=3,"Approved","Review Required")</f>
        <v>Approved</v>
      </c>
    </row>
    <row r="1118" spans="1:41"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t="str">
        <f>"LAB-"&amp;Lab_Data[[#This Row],[EmployeeNumber]]</f>
        <v>LAB-1578</v>
      </c>
      <c r="AK1118" t="str">
        <f>Lab_Data[[#This Row],[JobRole]]</f>
        <v>Manager</v>
      </c>
      <c r="AL1118" t="str">
        <f>Lab_Data[[#This Row],[Department]]</f>
        <v>Sales</v>
      </c>
      <c r="AM1118" t="str">
        <f>IF(Lab_Data[[#This Row],[Attrition]]="Yes","Failed","Completed")</f>
        <v>Completed</v>
      </c>
      <c r="AN1118">
        <f>Lab_Data[[#This Row],[YearsAtCompany]]</f>
        <v>36</v>
      </c>
      <c r="AO1118" t="str">
        <f>IF(Lab_Data[[#This Row],[PerformanceRating]]&gt;=3,"Approved","Review Required")</f>
        <v>Approved</v>
      </c>
    </row>
    <row r="1119" spans="1:41"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t="str">
        <f>"LAB-"&amp;Lab_Data[[#This Row],[EmployeeNumber]]</f>
        <v>LAB-1580</v>
      </c>
      <c r="AK1119" t="str">
        <f>Lab_Data[[#This Row],[JobRole]]</f>
        <v>Research Scientist</v>
      </c>
      <c r="AL1119" t="str">
        <f>Lab_Data[[#This Row],[Department]]</f>
        <v>Research &amp; Development</v>
      </c>
      <c r="AM1119" t="str">
        <f>IF(Lab_Data[[#This Row],[Attrition]]="Yes","Failed","Completed")</f>
        <v>Completed</v>
      </c>
      <c r="AN1119">
        <f>Lab_Data[[#This Row],[YearsAtCompany]]</f>
        <v>2</v>
      </c>
      <c r="AO1119" t="str">
        <f>IF(Lab_Data[[#This Row],[PerformanceRating]]&gt;=3,"Approved","Review Required")</f>
        <v>Approved</v>
      </c>
    </row>
    <row r="1120" spans="1:41"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t="str">
        <f>"LAB-"&amp;Lab_Data[[#This Row],[EmployeeNumber]]</f>
        <v>LAB-1581</v>
      </c>
      <c r="AK1120" t="str">
        <f>Lab_Data[[#This Row],[JobRole]]</f>
        <v>Research Scientist</v>
      </c>
      <c r="AL1120" t="str">
        <f>Lab_Data[[#This Row],[Department]]</f>
        <v>Research &amp; Development</v>
      </c>
      <c r="AM1120" t="str">
        <f>IF(Lab_Data[[#This Row],[Attrition]]="Yes","Failed","Completed")</f>
        <v>Completed</v>
      </c>
      <c r="AN1120">
        <f>Lab_Data[[#This Row],[YearsAtCompany]]</f>
        <v>1</v>
      </c>
      <c r="AO1120" t="str">
        <f>IF(Lab_Data[[#This Row],[PerformanceRating]]&gt;=3,"Approved","Review Required")</f>
        <v>Approved</v>
      </c>
    </row>
    <row r="1121" spans="1:41"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t="str">
        <f>"LAB-"&amp;Lab_Data[[#This Row],[EmployeeNumber]]</f>
        <v>LAB-1582</v>
      </c>
      <c r="AK1121" t="str">
        <f>Lab_Data[[#This Row],[JobRole]]</f>
        <v>Sales Executive</v>
      </c>
      <c r="AL1121" t="str">
        <f>Lab_Data[[#This Row],[Department]]</f>
        <v>Sales</v>
      </c>
      <c r="AM1121" t="str">
        <f>IF(Lab_Data[[#This Row],[Attrition]]="Yes","Failed","Completed")</f>
        <v>Completed</v>
      </c>
      <c r="AN1121">
        <f>Lab_Data[[#This Row],[YearsAtCompany]]</f>
        <v>9</v>
      </c>
      <c r="AO1121" t="str">
        <f>IF(Lab_Data[[#This Row],[PerformanceRating]]&gt;=3,"Approved","Review Required")</f>
        <v>Approved</v>
      </c>
    </row>
    <row r="1122" spans="1:41"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t="str">
        <f>"LAB-"&amp;Lab_Data[[#This Row],[EmployeeNumber]]</f>
        <v>LAB-1583</v>
      </c>
      <c r="AK1122" t="str">
        <f>Lab_Data[[#This Row],[JobRole]]</f>
        <v>Sales Executive</v>
      </c>
      <c r="AL1122" t="str">
        <f>Lab_Data[[#This Row],[Department]]</f>
        <v>Sales</v>
      </c>
      <c r="AM1122" t="str">
        <f>IF(Lab_Data[[#This Row],[Attrition]]="Yes","Failed","Completed")</f>
        <v>Completed</v>
      </c>
      <c r="AN1122">
        <f>Lab_Data[[#This Row],[YearsAtCompany]]</f>
        <v>3</v>
      </c>
      <c r="AO1122" t="str">
        <f>IF(Lab_Data[[#This Row],[PerformanceRating]]&gt;=3,"Approved","Review Required")</f>
        <v>Approved</v>
      </c>
    </row>
    <row r="1123" spans="1:41"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t="str">
        <f>"LAB-"&amp;Lab_Data[[#This Row],[EmployeeNumber]]</f>
        <v>LAB-1585</v>
      </c>
      <c r="AK1123" t="str">
        <f>Lab_Data[[#This Row],[JobRole]]</f>
        <v>Sales Executive</v>
      </c>
      <c r="AL1123" t="str">
        <f>Lab_Data[[#This Row],[Department]]</f>
        <v>Sales</v>
      </c>
      <c r="AM1123" t="str">
        <f>IF(Lab_Data[[#This Row],[Attrition]]="Yes","Failed","Completed")</f>
        <v>Completed</v>
      </c>
      <c r="AN1123">
        <f>Lab_Data[[#This Row],[YearsAtCompany]]</f>
        <v>1</v>
      </c>
      <c r="AO1123" t="str">
        <f>IF(Lab_Data[[#This Row],[PerformanceRating]]&gt;=3,"Approved","Review Required")</f>
        <v>Approved</v>
      </c>
    </row>
    <row r="1124" spans="1:41"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t="str">
        <f>"LAB-"&amp;Lab_Data[[#This Row],[EmployeeNumber]]</f>
        <v>LAB-1586</v>
      </c>
      <c r="AK1124" t="str">
        <f>Lab_Data[[#This Row],[JobRole]]</f>
        <v>Laboratory Technician</v>
      </c>
      <c r="AL1124" t="str">
        <f>Lab_Data[[#This Row],[Department]]</f>
        <v>Research &amp; Development</v>
      </c>
      <c r="AM1124" t="str">
        <f>IF(Lab_Data[[#This Row],[Attrition]]="Yes","Failed","Completed")</f>
        <v>Completed</v>
      </c>
      <c r="AN1124">
        <f>Lab_Data[[#This Row],[YearsAtCompany]]</f>
        <v>10</v>
      </c>
      <c r="AO1124" t="str">
        <f>IF(Lab_Data[[#This Row],[PerformanceRating]]&gt;=3,"Approved","Review Required")</f>
        <v>Approved</v>
      </c>
    </row>
    <row r="1125" spans="1:41"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t="str">
        <f>"LAB-"&amp;Lab_Data[[#This Row],[EmployeeNumber]]</f>
        <v>LAB-1587</v>
      </c>
      <c r="AK1125" t="str">
        <f>Lab_Data[[#This Row],[JobRole]]</f>
        <v>Healthcare Representative</v>
      </c>
      <c r="AL1125" t="str">
        <f>Lab_Data[[#This Row],[Department]]</f>
        <v>Research &amp; Development</v>
      </c>
      <c r="AM1125" t="str">
        <f>IF(Lab_Data[[#This Row],[Attrition]]="Yes","Failed","Completed")</f>
        <v>Completed</v>
      </c>
      <c r="AN1125">
        <f>Lab_Data[[#This Row],[YearsAtCompany]]</f>
        <v>5</v>
      </c>
      <c r="AO1125" t="str">
        <f>IF(Lab_Data[[#This Row],[PerformanceRating]]&gt;=3,"Approved","Review Required")</f>
        <v>Approved</v>
      </c>
    </row>
    <row r="1126" spans="1:41"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t="str">
        <f>"LAB-"&amp;Lab_Data[[#This Row],[EmployeeNumber]]</f>
        <v>LAB-1588</v>
      </c>
      <c r="AK1126" t="str">
        <f>Lab_Data[[#This Row],[JobRole]]</f>
        <v>Sales Executive</v>
      </c>
      <c r="AL1126" t="str">
        <f>Lab_Data[[#This Row],[Department]]</f>
        <v>Sales</v>
      </c>
      <c r="AM1126" t="str">
        <f>IF(Lab_Data[[#This Row],[Attrition]]="Yes","Failed","Completed")</f>
        <v>Completed</v>
      </c>
      <c r="AN1126">
        <f>Lab_Data[[#This Row],[YearsAtCompany]]</f>
        <v>7</v>
      </c>
      <c r="AO1126" t="str">
        <f>IF(Lab_Data[[#This Row],[PerformanceRating]]&gt;=3,"Approved","Review Required")</f>
        <v>Approved</v>
      </c>
    </row>
    <row r="1127" spans="1:41"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t="str">
        <f>"LAB-"&amp;Lab_Data[[#This Row],[EmployeeNumber]]</f>
        <v>LAB-1590</v>
      </c>
      <c r="AK1127" t="str">
        <f>Lab_Data[[#This Row],[JobRole]]</f>
        <v>Healthcare Representative</v>
      </c>
      <c r="AL1127" t="str">
        <f>Lab_Data[[#This Row],[Department]]</f>
        <v>Research &amp; Development</v>
      </c>
      <c r="AM1127" t="str">
        <f>IF(Lab_Data[[#This Row],[Attrition]]="Yes","Failed","Completed")</f>
        <v>Completed</v>
      </c>
      <c r="AN1127">
        <f>Lab_Data[[#This Row],[YearsAtCompany]]</f>
        <v>6</v>
      </c>
      <c r="AO1127" t="str">
        <f>IF(Lab_Data[[#This Row],[PerformanceRating]]&gt;=3,"Approved","Review Required")</f>
        <v>Approved</v>
      </c>
    </row>
    <row r="1128" spans="1:41"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t="str">
        <f>"LAB-"&amp;Lab_Data[[#This Row],[EmployeeNumber]]</f>
        <v>LAB-1591</v>
      </c>
      <c r="AK1128" t="str">
        <f>Lab_Data[[#This Row],[JobRole]]</f>
        <v>Manager</v>
      </c>
      <c r="AL1128" t="str">
        <f>Lab_Data[[#This Row],[Department]]</f>
        <v>Sales</v>
      </c>
      <c r="AM1128" t="str">
        <f>IF(Lab_Data[[#This Row],[Attrition]]="Yes","Failed","Completed")</f>
        <v>Completed</v>
      </c>
      <c r="AN1128">
        <f>Lab_Data[[#This Row],[YearsAtCompany]]</f>
        <v>1</v>
      </c>
      <c r="AO1128" t="str">
        <f>IF(Lab_Data[[#This Row],[PerformanceRating]]&gt;=3,"Approved","Review Required")</f>
        <v>Approved</v>
      </c>
    </row>
    <row r="1129" spans="1:41"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t="str">
        <f>"LAB-"&amp;Lab_Data[[#This Row],[EmployeeNumber]]</f>
        <v>LAB-1592</v>
      </c>
      <c r="AK1129" t="str">
        <f>Lab_Data[[#This Row],[JobRole]]</f>
        <v>Research Scientist</v>
      </c>
      <c r="AL1129" t="str">
        <f>Lab_Data[[#This Row],[Department]]</f>
        <v>Research &amp; Development</v>
      </c>
      <c r="AM1129" t="str">
        <f>IF(Lab_Data[[#This Row],[Attrition]]="Yes","Failed","Completed")</f>
        <v>Completed</v>
      </c>
      <c r="AN1129">
        <f>Lab_Data[[#This Row],[YearsAtCompany]]</f>
        <v>2</v>
      </c>
      <c r="AO1129" t="str">
        <f>IF(Lab_Data[[#This Row],[PerformanceRating]]&gt;=3,"Approved","Review Required")</f>
        <v>Approved</v>
      </c>
    </row>
    <row r="1130" spans="1:41"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t="str">
        <f>"LAB-"&amp;Lab_Data[[#This Row],[EmployeeNumber]]</f>
        <v>LAB-1594</v>
      </c>
      <c r="AK1130" t="str">
        <f>Lab_Data[[#This Row],[JobRole]]</f>
        <v>Laboratory Technician</v>
      </c>
      <c r="AL1130" t="str">
        <f>Lab_Data[[#This Row],[Department]]</f>
        <v>Research &amp; Development</v>
      </c>
      <c r="AM1130" t="str">
        <f>IF(Lab_Data[[#This Row],[Attrition]]="Yes","Failed","Completed")</f>
        <v>Completed</v>
      </c>
      <c r="AN1130">
        <f>Lab_Data[[#This Row],[YearsAtCompany]]</f>
        <v>3</v>
      </c>
      <c r="AO1130" t="str">
        <f>IF(Lab_Data[[#This Row],[PerformanceRating]]&gt;=3,"Approved","Review Required")</f>
        <v>Approved</v>
      </c>
    </row>
    <row r="1131" spans="1:41"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t="str">
        <f>"LAB-"&amp;Lab_Data[[#This Row],[EmployeeNumber]]</f>
        <v>LAB-1595</v>
      </c>
      <c r="AK1131" t="str">
        <f>Lab_Data[[#This Row],[JobRole]]</f>
        <v>Manager</v>
      </c>
      <c r="AL1131" t="str">
        <f>Lab_Data[[#This Row],[Department]]</f>
        <v>Research &amp; Development</v>
      </c>
      <c r="AM1131" t="str">
        <f>IF(Lab_Data[[#This Row],[Attrition]]="Yes","Failed","Completed")</f>
        <v>Completed</v>
      </c>
      <c r="AN1131">
        <f>Lab_Data[[#This Row],[YearsAtCompany]]</f>
        <v>1</v>
      </c>
      <c r="AO1131" t="str">
        <f>IF(Lab_Data[[#This Row],[PerformanceRating]]&gt;=3,"Approved","Review Required")</f>
        <v>Approved</v>
      </c>
    </row>
    <row r="1132" spans="1:41"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t="str">
        <f>"LAB-"&amp;Lab_Data[[#This Row],[EmployeeNumber]]</f>
        <v>LAB-1596</v>
      </c>
      <c r="AK1132" t="str">
        <f>Lab_Data[[#This Row],[JobRole]]</f>
        <v>Laboratory Technician</v>
      </c>
      <c r="AL1132" t="str">
        <f>Lab_Data[[#This Row],[Department]]</f>
        <v>Research &amp; Development</v>
      </c>
      <c r="AM1132" t="str">
        <f>IF(Lab_Data[[#This Row],[Attrition]]="Yes","Failed","Completed")</f>
        <v>Completed</v>
      </c>
      <c r="AN1132">
        <f>Lab_Data[[#This Row],[YearsAtCompany]]</f>
        <v>10</v>
      </c>
      <c r="AO1132" t="str">
        <f>IF(Lab_Data[[#This Row],[PerformanceRating]]&gt;=3,"Approved","Review Required")</f>
        <v>Approved</v>
      </c>
    </row>
    <row r="1133" spans="1:41"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t="str">
        <f>"LAB-"&amp;Lab_Data[[#This Row],[EmployeeNumber]]</f>
        <v>LAB-1597</v>
      </c>
      <c r="AK1133" t="str">
        <f>Lab_Data[[#This Row],[JobRole]]</f>
        <v>Healthcare Representative</v>
      </c>
      <c r="AL1133" t="str">
        <f>Lab_Data[[#This Row],[Department]]</f>
        <v>Research &amp; Development</v>
      </c>
      <c r="AM1133" t="str">
        <f>IF(Lab_Data[[#This Row],[Attrition]]="Yes","Failed","Completed")</f>
        <v>Completed</v>
      </c>
      <c r="AN1133">
        <f>Lab_Data[[#This Row],[YearsAtCompany]]</f>
        <v>8</v>
      </c>
      <c r="AO1133" t="str">
        <f>IF(Lab_Data[[#This Row],[PerformanceRating]]&gt;=3,"Approved","Review Required")</f>
        <v>Approved</v>
      </c>
    </row>
    <row r="1134" spans="1:41"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t="str">
        <f>"LAB-"&amp;Lab_Data[[#This Row],[EmployeeNumber]]</f>
        <v>LAB-1598</v>
      </c>
      <c r="AK1134" t="str">
        <f>Lab_Data[[#This Row],[JobRole]]</f>
        <v>Sales Executive</v>
      </c>
      <c r="AL1134" t="str">
        <f>Lab_Data[[#This Row],[Department]]</f>
        <v>Sales</v>
      </c>
      <c r="AM1134" t="str">
        <f>IF(Lab_Data[[#This Row],[Attrition]]="Yes","Failed","Completed")</f>
        <v>Completed</v>
      </c>
      <c r="AN1134">
        <f>Lab_Data[[#This Row],[YearsAtCompany]]</f>
        <v>5</v>
      </c>
      <c r="AO1134" t="str">
        <f>IF(Lab_Data[[#This Row],[PerformanceRating]]&gt;=3,"Approved","Review Required")</f>
        <v>Approved</v>
      </c>
    </row>
    <row r="1135" spans="1:41"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t="str">
        <f>"LAB-"&amp;Lab_Data[[#This Row],[EmployeeNumber]]</f>
        <v>LAB-1599</v>
      </c>
      <c r="AK1135" t="str">
        <f>Lab_Data[[#This Row],[JobRole]]</f>
        <v>Laboratory Technician</v>
      </c>
      <c r="AL1135" t="str">
        <f>Lab_Data[[#This Row],[Department]]</f>
        <v>Research &amp; Development</v>
      </c>
      <c r="AM1135" t="str">
        <f>IF(Lab_Data[[#This Row],[Attrition]]="Yes","Failed","Completed")</f>
        <v>Completed</v>
      </c>
      <c r="AN1135">
        <f>Lab_Data[[#This Row],[YearsAtCompany]]</f>
        <v>6</v>
      </c>
      <c r="AO1135" t="str">
        <f>IF(Lab_Data[[#This Row],[PerformanceRating]]&gt;=3,"Approved","Review Required")</f>
        <v>Approved</v>
      </c>
    </row>
    <row r="1136" spans="1:41"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t="str">
        <f>"LAB-"&amp;Lab_Data[[#This Row],[EmployeeNumber]]</f>
        <v>LAB-1601</v>
      </c>
      <c r="AK1136" t="str">
        <f>Lab_Data[[#This Row],[JobRole]]</f>
        <v>Laboratory Technician</v>
      </c>
      <c r="AL1136" t="str">
        <f>Lab_Data[[#This Row],[Department]]</f>
        <v>Research &amp; Development</v>
      </c>
      <c r="AM1136" t="str">
        <f>IF(Lab_Data[[#This Row],[Attrition]]="Yes","Failed","Completed")</f>
        <v>Completed</v>
      </c>
      <c r="AN1136">
        <f>Lab_Data[[#This Row],[YearsAtCompany]]</f>
        <v>1</v>
      </c>
      <c r="AO1136" t="str">
        <f>IF(Lab_Data[[#This Row],[PerformanceRating]]&gt;=3,"Approved","Review Required")</f>
        <v>Approved</v>
      </c>
    </row>
    <row r="1137" spans="1:41"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t="str">
        <f>"LAB-"&amp;Lab_Data[[#This Row],[EmployeeNumber]]</f>
        <v>LAB-1602</v>
      </c>
      <c r="AK1137" t="str">
        <f>Lab_Data[[#This Row],[JobRole]]</f>
        <v>Manager</v>
      </c>
      <c r="AL1137" t="str">
        <f>Lab_Data[[#This Row],[Department]]</f>
        <v>Sales</v>
      </c>
      <c r="AM1137" t="str">
        <f>IF(Lab_Data[[#This Row],[Attrition]]="Yes","Failed","Completed")</f>
        <v>Completed</v>
      </c>
      <c r="AN1137">
        <f>Lab_Data[[#This Row],[YearsAtCompany]]</f>
        <v>26</v>
      </c>
      <c r="AO1137" t="str">
        <f>IF(Lab_Data[[#This Row],[PerformanceRating]]&gt;=3,"Approved","Review Required")</f>
        <v>Approved</v>
      </c>
    </row>
    <row r="1138" spans="1:41"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t="str">
        <f>"LAB-"&amp;Lab_Data[[#This Row],[EmployeeNumber]]</f>
        <v>LAB-1604</v>
      </c>
      <c r="AK1138" t="str">
        <f>Lab_Data[[#This Row],[JobRole]]</f>
        <v>Laboratory Technician</v>
      </c>
      <c r="AL1138" t="str">
        <f>Lab_Data[[#This Row],[Department]]</f>
        <v>Research &amp; Development</v>
      </c>
      <c r="AM1138" t="str">
        <f>IF(Lab_Data[[#This Row],[Attrition]]="Yes","Failed","Completed")</f>
        <v>Failed</v>
      </c>
      <c r="AN1138">
        <f>Lab_Data[[#This Row],[YearsAtCompany]]</f>
        <v>1</v>
      </c>
      <c r="AO1138" t="str">
        <f>IF(Lab_Data[[#This Row],[PerformanceRating]]&gt;=3,"Approved","Review Required")</f>
        <v>Approved</v>
      </c>
    </row>
    <row r="1139" spans="1:41"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t="str">
        <f>"LAB-"&amp;Lab_Data[[#This Row],[EmployeeNumber]]</f>
        <v>LAB-1605</v>
      </c>
      <c r="AK1139" t="str">
        <f>Lab_Data[[#This Row],[JobRole]]</f>
        <v>Research Scientist</v>
      </c>
      <c r="AL1139" t="str">
        <f>Lab_Data[[#This Row],[Department]]</f>
        <v>Research &amp; Development</v>
      </c>
      <c r="AM1139" t="str">
        <f>IF(Lab_Data[[#This Row],[Attrition]]="Yes","Failed","Completed")</f>
        <v>Completed</v>
      </c>
      <c r="AN1139">
        <f>Lab_Data[[#This Row],[YearsAtCompany]]</f>
        <v>4</v>
      </c>
      <c r="AO1139" t="str">
        <f>IF(Lab_Data[[#This Row],[PerformanceRating]]&gt;=3,"Approved","Review Required")</f>
        <v>Approved</v>
      </c>
    </row>
    <row r="1140" spans="1:41"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t="str">
        <f>"LAB-"&amp;Lab_Data[[#This Row],[EmployeeNumber]]</f>
        <v>LAB-1606</v>
      </c>
      <c r="AK1140" t="str">
        <f>Lab_Data[[#This Row],[JobRole]]</f>
        <v>Healthcare Representative</v>
      </c>
      <c r="AL1140" t="str">
        <f>Lab_Data[[#This Row],[Department]]</f>
        <v>Research &amp; Development</v>
      </c>
      <c r="AM1140" t="str">
        <f>IF(Lab_Data[[#This Row],[Attrition]]="Yes","Failed","Completed")</f>
        <v>Completed</v>
      </c>
      <c r="AN1140">
        <f>Lab_Data[[#This Row],[YearsAtCompany]]</f>
        <v>30</v>
      </c>
      <c r="AO1140" t="str">
        <f>IF(Lab_Data[[#This Row],[PerformanceRating]]&gt;=3,"Approved","Review Required")</f>
        <v>Approved</v>
      </c>
    </row>
    <row r="1141" spans="1:41"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t="str">
        <f>"LAB-"&amp;Lab_Data[[#This Row],[EmployeeNumber]]</f>
        <v>LAB-1607</v>
      </c>
      <c r="AK1141" t="str">
        <f>Lab_Data[[#This Row],[JobRole]]</f>
        <v>Research Scientist</v>
      </c>
      <c r="AL1141" t="str">
        <f>Lab_Data[[#This Row],[Department]]</f>
        <v>Research &amp; Development</v>
      </c>
      <c r="AM1141" t="str">
        <f>IF(Lab_Data[[#This Row],[Attrition]]="Yes","Failed","Completed")</f>
        <v>Completed</v>
      </c>
      <c r="AN1141">
        <f>Lab_Data[[#This Row],[YearsAtCompany]]</f>
        <v>3</v>
      </c>
      <c r="AO1141" t="str">
        <f>IF(Lab_Data[[#This Row],[PerformanceRating]]&gt;=3,"Approved","Review Required")</f>
        <v>Approved</v>
      </c>
    </row>
    <row r="1142" spans="1:41"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t="str">
        <f>"LAB-"&amp;Lab_Data[[#This Row],[EmployeeNumber]]</f>
        <v>LAB-1608</v>
      </c>
      <c r="AK1142" t="str">
        <f>Lab_Data[[#This Row],[JobRole]]</f>
        <v>Research Director</v>
      </c>
      <c r="AL1142" t="str">
        <f>Lab_Data[[#This Row],[Department]]</f>
        <v>Research &amp; Development</v>
      </c>
      <c r="AM1142" t="str">
        <f>IF(Lab_Data[[#This Row],[Attrition]]="Yes","Failed","Completed")</f>
        <v>Completed</v>
      </c>
      <c r="AN1142">
        <f>Lab_Data[[#This Row],[YearsAtCompany]]</f>
        <v>22</v>
      </c>
      <c r="AO1142" t="str">
        <f>IF(Lab_Data[[#This Row],[PerformanceRating]]&gt;=3,"Approved","Review Required")</f>
        <v>Approved</v>
      </c>
    </row>
    <row r="1143" spans="1:41"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t="str">
        <f>"LAB-"&amp;Lab_Data[[#This Row],[EmployeeNumber]]</f>
        <v>LAB-1609</v>
      </c>
      <c r="AK1143" t="str">
        <f>Lab_Data[[#This Row],[JobRole]]</f>
        <v>Research Scientist</v>
      </c>
      <c r="AL1143" t="str">
        <f>Lab_Data[[#This Row],[Department]]</f>
        <v>Research &amp; Development</v>
      </c>
      <c r="AM1143" t="str">
        <f>IF(Lab_Data[[#This Row],[Attrition]]="Yes","Failed","Completed")</f>
        <v>Completed</v>
      </c>
      <c r="AN1143">
        <f>Lab_Data[[#This Row],[YearsAtCompany]]</f>
        <v>6</v>
      </c>
      <c r="AO1143" t="str">
        <f>IF(Lab_Data[[#This Row],[PerformanceRating]]&gt;=3,"Approved","Review Required")</f>
        <v>Approved</v>
      </c>
    </row>
    <row r="1144" spans="1:41"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t="str">
        <f>"LAB-"&amp;Lab_Data[[#This Row],[EmployeeNumber]]</f>
        <v>LAB-1611</v>
      </c>
      <c r="AK1144" t="str">
        <f>Lab_Data[[#This Row],[JobRole]]</f>
        <v>Laboratory Technician</v>
      </c>
      <c r="AL1144" t="str">
        <f>Lab_Data[[#This Row],[Department]]</f>
        <v>Research &amp; Development</v>
      </c>
      <c r="AM1144" t="str">
        <f>IF(Lab_Data[[#This Row],[Attrition]]="Yes","Failed","Completed")</f>
        <v>Completed</v>
      </c>
      <c r="AN1144">
        <f>Lab_Data[[#This Row],[YearsAtCompany]]</f>
        <v>10</v>
      </c>
      <c r="AO1144" t="str">
        <f>IF(Lab_Data[[#This Row],[PerformanceRating]]&gt;=3,"Approved","Review Required")</f>
        <v>Approved</v>
      </c>
    </row>
    <row r="1145" spans="1:41"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t="str">
        <f>"LAB-"&amp;Lab_Data[[#This Row],[EmployeeNumber]]</f>
        <v>LAB-1612</v>
      </c>
      <c r="AK1145" t="str">
        <f>Lab_Data[[#This Row],[JobRole]]</f>
        <v>Sales Executive</v>
      </c>
      <c r="AL1145" t="str">
        <f>Lab_Data[[#This Row],[Department]]</f>
        <v>Sales</v>
      </c>
      <c r="AM1145" t="str">
        <f>IF(Lab_Data[[#This Row],[Attrition]]="Yes","Failed","Completed")</f>
        <v>Completed</v>
      </c>
      <c r="AN1145">
        <f>Lab_Data[[#This Row],[YearsAtCompany]]</f>
        <v>10</v>
      </c>
      <c r="AO1145" t="str">
        <f>IF(Lab_Data[[#This Row],[PerformanceRating]]&gt;=3,"Approved","Review Required")</f>
        <v>Approved</v>
      </c>
    </row>
    <row r="1146" spans="1:41"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t="str">
        <f>"LAB-"&amp;Lab_Data[[#This Row],[EmployeeNumber]]</f>
        <v>LAB-1613</v>
      </c>
      <c r="AK1146" t="str">
        <f>Lab_Data[[#This Row],[JobRole]]</f>
        <v>Sales Executive</v>
      </c>
      <c r="AL1146" t="str">
        <f>Lab_Data[[#This Row],[Department]]</f>
        <v>Sales</v>
      </c>
      <c r="AM1146" t="str">
        <f>IF(Lab_Data[[#This Row],[Attrition]]="Yes","Failed","Completed")</f>
        <v>Completed</v>
      </c>
      <c r="AN1146">
        <f>Lab_Data[[#This Row],[YearsAtCompany]]</f>
        <v>5</v>
      </c>
      <c r="AO1146" t="str">
        <f>IF(Lab_Data[[#This Row],[PerformanceRating]]&gt;=3,"Approved","Review Required")</f>
        <v>Approved</v>
      </c>
    </row>
    <row r="1147" spans="1:41"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t="str">
        <f>"LAB-"&amp;Lab_Data[[#This Row],[EmployeeNumber]]</f>
        <v>LAB-1614</v>
      </c>
      <c r="AK1147" t="str">
        <f>Lab_Data[[#This Row],[JobRole]]</f>
        <v>Manufacturing Director</v>
      </c>
      <c r="AL1147" t="str">
        <f>Lab_Data[[#This Row],[Department]]</f>
        <v>Research &amp; Development</v>
      </c>
      <c r="AM1147" t="str">
        <f>IF(Lab_Data[[#This Row],[Attrition]]="Yes","Failed","Completed")</f>
        <v>Completed</v>
      </c>
      <c r="AN1147">
        <f>Lab_Data[[#This Row],[YearsAtCompany]]</f>
        <v>3</v>
      </c>
      <c r="AO1147" t="str">
        <f>IF(Lab_Data[[#This Row],[PerformanceRating]]&gt;=3,"Approved","Review Required")</f>
        <v>Approved</v>
      </c>
    </row>
    <row r="1148" spans="1:41"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t="str">
        <f>"LAB-"&amp;Lab_Data[[#This Row],[EmployeeNumber]]</f>
        <v>LAB-1615</v>
      </c>
      <c r="AK1148" t="str">
        <f>Lab_Data[[#This Row],[JobRole]]</f>
        <v>Manufacturing Director</v>
      </c>
      <c r="AL1148" t="str">
        <f>Lab_Data[[#This Row],[Department]]</f>
        <v>Research &amp; Development</v>
      </c>
      <c r="AM1148" t="str">
        <f>IF(Lab_Data[[#This Row],[Attrition]]="Yes","Failed","Completed")</f>
        <v>Completed</v>
      </c>
      <c r="AN1148">
        <f>Lab_Data[[#This Row],[YearsAtCompany]]</f>
        <v>9</v>
      </c>
      <c r="AO1148" t="str">
        <f>IF(Lab_Data[[#This Row],[PerformanceRating]]&gt;=3,"Approved","Review Required")</f>
        <v>Approved</v>
      </c>
    </row>
    <row r="1149" spans="1:41"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t="str">
        <f>"LAB-"&amp;Lab_Data[[#This Row],[EmployeeNumber]]</f>
        <v>LAB-1617</v>
      </c>
      <c r="AK1149" t="str">
        <f>Lab_Data[[#This Row],[JobRole]]</f>
        <v>Laboratory Technician</v>
      </c>
      <c r="AL1149" t="str">
        <f>Lab_Data[[#This Row],[Department]]</f>
        <v>Research &amp; Development</v>
      </c>
      <c r="AM1149" t="str">
        <f>IF(Lab_Data[[#This Row],[Attrition]]="Yes","Failed","Completed")</f>
        <v>Completed</v>
      </c>
      <c r="AN1149">
        <f>Lab_Data[[#This Row],[YearsAtCompany]]</f>
        <v>9</v>
      </c>
      <c r="AO1149" t="str">
        <f>IF(Lab_Data[[#This Row],[PerformanceRating]]&gt;=3,"Approved","Review Required")</f>
        <v>Approved</v>
      </c>
    </row>
    <row r="1150" spans="1:41"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t="str">
        <f>"LAB-"&amp;Lab_Data[[#This Row],[EmployeeNumber]]</f>
        <v>LAB-1618</v>
      </c>
      <c r="AK1150" t="str">
        <f>Lab_Data[[#This Row],[JobRole]]</f>
        <v>Manufacturing Director</v>
      </c>
      <c r="AL1150" t="str">
        <f>Lab_Data[[#This Row],[Department]]</f>
        <v>Research &amp; Development</v>
      </c>
      <c r="AM1150" t="str">
        <f>IF(Lab_Data[[#This Row],[Attrition]]="Yes","Failed","Completed")</f>
        <v>Completed</v>
      </c>
      <c r="AN1150">
        <f>Lab_Data[[#This Row],[YearsAtCompany]]</f>
        <v>7</v>
      </c>
      <c r="AO1150" t="str">
        <f>IF(Lab_Data[[#This Row],[PerformanceRating]]&gt;=3,"Approved","Review Required")</f>
        <v>Approved</v>
      </c>
    </row>
    <row r="1151" spans="1:41"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t="str">
        <f>"LAB-"&amp;Lab_Data[[#This Row],[EmployeeNumber]]</f>
        <v>LAB-1619</v>
      </c>
      <c r="AK1151" t="str">
        <f>Lab_Data[[#This Row],[JobRole]]</f>
        <v>Laboratory Technician</v>
      </c>
      <c r="AL1151" t="str">
        <f>Lab_Data[[#This Row],[Department]]</f>
        <v>Research &amp; Development</v>
      </c>
      <c r="AM1151" t="str">
        <f>IF(Lab_Data[[#This Row],[Attrition]]="Yes","Failed","Completed")</f>
        <v>Completed</v>
      </c>
      <c r="AN1151">
        <f>Lab_Data[[#This Row],[YearsAtCompany]]</f>
        <v>7</v>
      </c>
      <c r="AO1151" t="str">
        <f>IF(Lab_Data[[#This Row],[PerformanceRating]]&gt;=3,"Approved","Review Required")</f>
        <v>Approved</v>
      </c>
    </row>
    <row r="1152" spans="1:41"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t="str">
        <f>"LAB-"&amp;Lab_Data[[#This Row],[EmployeeNumber]]</f>
        <v>LAB-1621</v>
      </c>
      <c r="AK1152" t="str">
        <f>Lab_Data[[#This Row],[JobRole]]</f>
        <v>Research Scientist</v>
      </c>
      <c r="AL1152" t="str">
        <f>Lab_Data[[#This Row],[Department]]</f>
        <v>Research &amp; Development</v>
      </c>
      <c r="AM1152" t="str">
        <f>IF(Lab_Data[[#This Row],[Attrition]]="Yes","Failed","Completed")</f>
        <v>Completed</v>
      </c>
      <c r="AN1152">
        <f>Lab_Data[[#This Row],[YearsAtCompany]]</f>
        <v>16</v>
      </c>
      <c r="AO1152" t="str">
        <f>IF(Lab_Data[[#This Row],[PerformanceRating]]&gt;=3,"Approved","Review Required")</f>
        <v>Approved</v>
      </c>
    </row>
    <row r="1153" spans="1:41"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t="str">
        <f>"LAB-"&amp;Lab_Data[[#This Row],[EmployeeNumber]]</f>
        <v>LAB-1622</v>
      </c>
      <c r="AK1153" t="str">
        <f>Lab_Data[[#This Row],[JobRole]]</f>
        <v>Manufacturing Director</v>
      </c>
      <c r="AL1153" t="str">
        <f>Lab_Data[[#This Row],[Department]]</f>
        <v>Research &amp; Development</v>
      </c>
      <c r="AM1153" t="str">
        <f>IF(Lab_Data[[#This Row],[Attrition]]="Yes","Failed","Completed")</f>
        <v>Completed</v>
      </c>
      <c r="AN1153">
        <f>Lab_Data[[#This Row],[YearsAtCompany]]</f>
        <v>5</v>
      </c>
      <c r="AO1153" t="str">
        <f>IF(Lab_Data[[#This Row],[PerformanceRating]]&gt;=3,"Approved","Review Required")</f>
        <v>Approved</v>
      </c>
    </row>
    <row r="1154" spans="1:41"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t="str">
        <f>"LAB-"&amp;Lab_Data[[#This Row],[EmployeeNumber]]</f>
        <v>LAB-1623</v>
      </c>
      <c r="AK1154" t="str">
        <f>Lab_Data[[#This Row],[JobRole]]</f>
        <v>Research Scientist</v>
      </c>
      <c r="AL1154" t="str">
        <f>Lab_Data[[#This Row],[Department]]</f>
        <v>Research &amp; Development</v>
      </c>
      <c r="AM1154" t="str">
        <f>IF(Lab_Data[[#This Row],[Attrition]]="Yes","Failed","Completed")</f>
        <v>Completed</v>
      </c>
      <c r="AN1154">
        <f>Lab_Data[[#This Row],[YearsAtCompany]]</f>
        <v>2</v>
      </c>
      <c r="AO1154" t="str">
        <f>IF(Lab_Data[[#This Row],[PerformanceRating]]&gt;=3,"Approved","Review Required")</f>
        <v>Approved</v>
      </c>
    </row>
    <row r="1155" spans="1:41"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t="str">
        <f>"LAB-"&amp;Lab_Data[[#This Row],[EmployeeNumber]]</f>
        <v>LAB-1624</v>
      </c>
      <c r="AK1155" t="str">
        <f>Lab_Data[[#This Row],[JobRole]]</f>
        <v>Sales Representative</v>
      </c>
      <c r="AL1155" t="str">
        <f>Lab_Data[[#This Row],[Department]]</f>
        <v>Sales</v>
      </c>
      <c r="AM1155" t="str">
        <f>IF(Lab_Data[[#This Row],[Attrition]]="Yes","Failed","Completed")</f>
        <v>Failed</v>
      </c>
      <c r="AN1155">
        <f>Lab_Data[[#This Row],[YearsAtCompany]]</f>
        <v>0</v>
      </c>
      <c r="AO1155" t="str">
        <f>IF(Lab_Data[[#This Row],[PerformanceRating]]&gt;=3,"Approved","Review Required")</f>
        <v>Approved</v>
      </c>
    </row>
    <row r="1156" spans="1:41"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t="str">
        <f>"LAB-"&amp;Lab_Data[[#This Row],[EmployeeNumber]]</f>
        <v>LAB-1625</v>
      </c>
      <c r="AK1156" t="str">
        <f>Lab_Data[[#This Row],[JobRole]]</f>
        <v>Manager</v>
      </c>
      <c r="AL1156" t="str">
        <f>Lab_Data[[#This Row],[Department]]</f>
        <v>Human Resources</v>
      </c>
      <c r="AM1156" t="str">
        <f>IF(Lab_Data[[#This Row],[Attrition]]="Yes","Failed","Completed")</f>
        <v>Completed</v>
      </c>
      <c r="AN1156">
        <f>Lab_Data[[#This Row],[YearsAtCompany]]</f>
        <v>5</v>
      </c>
      <c r="AO1156" t="str">
        <f>IF(Lab_Data[[#This Row],[PerformanceRating]]&gt;=3,"Approved","Review Required")</f>
        <v>Approved</v>
      </c>
    </row>
    <row r="1157" spans="1:41"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t="str">
        <f>"LAB-"&amp;Lab_Data[[#This Row],[EmployeeNumber]]</f>
        <v>LAB-1627</v>
      </c>
      <c r="AK1157" t="str">
        <f>Lab_Data[[#This Row],[JobRole]]</f>
        <v>Laboratory Technician</v>
      </c>
      <c r="AL1157" t="str">
        <f>Lab_Data[[#This Row],[Department]]</f>
        <v>Research &amp; Development</v>
      </c>
      <c r="AM1157" t="str">
        <f>IF(Lab_Data[[#This Row],[Attrition]]="Yes","Failed","Completed")</f>
        <v>Completed</v>
      </c>
      <c r="AN1157">
        <f>Lab_Data[[#This Row],[YearsAtCompany]]</f>
        <v>10</v>
      </c>
      <c r="AO1157" t="str">
        <f>IF(Lab_Data[[#This Row],[PerformanceRating]]&gt;=3,"Approved","Review Required")</f>
        <v>Approved</v>
      </c>
    </row>
    <row r="1158" spans="1:41"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t="str">
        <f>"LAB-"&amp;Lab_Data[[#This Row],[EmployeeNumber]]</f>
        <v>LAB-1628</v>
      </c>
      <c r="AK1158" t="str">
        <f>Lab_Data[[#This Row],[JobRole]]</f>
        <v>Manufacturing Director</v>
      </c>
      <c r="AL1158" t="str">
        <f>Lab_Data[[#This Row],[Department]]</f>
        <v>Research &amp; Development</v>
      </c>
      <c r="AM1158" t="str">
        <f>IF(Lab_Data[[#This Row],[Attrition]]="Yes","Failed","Completed")</f>
        <v>Completed</v>
      </c>
      <c r="AN1158">
        <f>Lab_Data[[#This Row],[YearsAtCompany]]</f>
        <v>18</v>
      </c>
      <c r="AO1158" t="str">
        <f>IF(Lab_Data[[#This Row],[PerformanceRating]]&gt;=3,"Approved","Review Required")</f>
        <v>Approved</v>
      </c>
    </row>
    <row r="1159" spans="1:41"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t="str">
        <f>"LAB-"&amp;Lab_Data[[#This Row],[EmployeeNumber]]</f>
        <v>LAB-1630</v>
      </c>
      <c r="AK1159" t="str">
        <f>Lab_Data[[#This Row],[JobRole]]</f>
        <v>Healthcare Representative</v>
      </c>
      <c r="AL1159" t="str">
        <f>Lab_Data[[#This Row],[Department]]</f>
        <v>Research &amp; Development</v>
      </c>
      <c r="AM1159" t="str">
        <f>IF(Lab_Data[[#This Row],[Attrition]]="Yes","Failed","Completed")</f>
        <v>Completed</v>
      </c>
      <c r="AN1159">
        <f>Lab_Data[[#This Row],[YearsAtCompany]]</f>
        <v>14</v>
      </c>
      <c r="AO1159" t="str">
        <f>IF(Lab_Data[[#This Row],[PerformanceRating]]&gt;=3,"Approved","Review Required")</f>
        <v>Approved</v>
      </c>
    </row>
    <row r="1160" spans="1:41"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t="str">
        <f>"LAB-"&amp;Lab_Data[[#This Row],[EmployeeNumber]]</f>
        <v>LAB-1631</v>
      </c>
      <c r="AK1160" t="str">
        <f>Lab_Data[[#This Row],[JobRole]]</f>
        <v>Manufacturing Director</v>
      </c>
      <c r="AL1160" t="str">
        <f>Lab_Data[[#This Row],[Department]]</f>
        <v>Research &amp; Development</v>
      </c>
      <c r="AM1160" t="str">
        <f>IF(Lab_Data[[#This Row],[Attrition]]="Yes","Failed","Completed")</f>
        <v>Completed</v>
      </c>
      <c r="AN1160">
        <f>Lab_Data[[#This Row],[YearsAtCompany]]</f>
        <v>4</v>
      </c>
      <c r="AO1160" t="str">
        <f>IF(Lab_Data[[#This Row],[PerformanceRating]]&gt;=3,"Approved","Review Required")</f>
        <v>Approved</v>
      </c>
    </row>
    <row r="1161" spans="1:41"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t="str">
        <f>"LAB-"&amp;Lab_Data[[#This Row],[EmployeeNumber]]</f>
        <v>LAB-1633</v>
      </c>
      <c r="AK1161" t="str">
        <f>Lab_Data[[#This Row],[JobRole]]</f>
        <v>Manufacturing Director</v>
      </c>
      <c r="AL1161" t="str">
        <f>Lab_Data[[#This Row],[Department]]</f>
        <v>Research &amp; Development</v>
      </c>
      <c r="AM1161" t="str">
        <f>IF(Lab_Data[[#This Row],[Attrition]]="Yes","Failed","Completed")</f>
        <v>Completed</v>
      </c>
      <c r="AN1161">
        <f>Lab_Data[[#This Row],[YearsAtCompany]]</f>
        <v>9</v>
      </c>
      <c r="AO1161" t="str">
        <f>IF(Lab_Data[[#This Row],[PerformanceRating]]&gt;=3,"Approved","Review Required")</f>
        <v>Approved</v>
      </c>
    </row>
    <row r="1162" spans="1:41"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t="str">
        <f>"LAB-"&amp;Lab_Data[[#This Row],[EmployeeNumber]]</f>
        <v>LAB-1635</v>
      </c>
      <c r="AK1162" t="str">
        <f>Lab_Data[[#This Row],[JobRole]]</f>
        <v>Manufacturing Director</v>
      </c>
      <c r="AL1162" t="str">
        <f>Lab_Data[[#This Row],[Department]]</f>
        <v>Research &amp; Development</v>
      </c>
      <c r="AM1162" t="str">
        <f>IF(Lab_Data[[#This Row],[Attrition]]="Yes","Failed","Completed")</f>
        <v>Completed</v>
      </c>
      <c r="AN1162">
        <f>Lab_Data[[#This Row],[YearsAtCompany]]</f>
        <v>10</v>
      </c>
      <c r="AO1162" t="str">
        <f>IF(Lab_Data[[#This Row],[PerformanceRating]]&gt;=3,"Approved","Review Required")</f>
        <v>Approved</v>
      </c>
    </row>
    <row r="1163" spans="1:41"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t="str">
        <f>"LAB-"&amp;Lab_Data[[#This Row],[EmployeeNumber]]</f>
        <v>LAB-1638</v>
      </c>
      <c r="AK1163" t="str">
        <f>Lab_Data[[#This Row],[JobRole]]</f>
        <v>Manufacturing Director</v>
      </c>
      <c r="AL1163" t="str">
        <f>Lab_Data[[#This Row],[Department]]</f>
        <v>Research &amp; Development</v>
      </c>
      <c r="AM1163" t="str">
        <f>IF(Lab_Data[[#This Row],[Attrition]]="Yes","Failed","Completed")</f>
        <v>Completed</v>
      </c>
      <c r="AN1163">
        <f>Lab_Data[[#This Row],[YearsAtCompany]]</f>
        <v>5</v>
      </c>
      <c r="AO1163" t="str">
        <f>IF(Lab_Data[[#This Row],[PerformanceRating]]&gt;=3,"Approved","Review Required")</f>
        <v>Approved</v>
      </c>
    </row>
    <row r="1164" spans="1:41"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t="str">
        <f>"LAB-"&amp;Lab_Data[[#This Row],[EmployeeNumber]]</f>
        <v>LAB-1639</v>
      </c>
      <c r="AK1164" t="str">
        <f>Lab_Data[[#This Row],[JobRole]]</f>
        <v>Sales Executive</v>
      </c>
      <c r="AL1164" t="str">
        <f>Lab_Data[[#This Row],[Department]]</f>
        <v>Sales</v>
      </c>
      <c r="AM1164" t="str">
        <f>IF(Lab_Data[[#This Row],[Attrition]]="Yes","Failed","Completed")</f>
        <v>Failed</v>
      </c>
      <c r="AN1164">
        <f>Lab_Data[[#This Row],[YearsAtCompany]]</f>
        <v>13</v>
      </c>
      <c r="AO1164" t="str">
        <f>IF(Lab_Data[[#This Row],[PerformanceRating]]&gt;=3,"Approved","Review Required")</f>
        <v>Approved</v>
      </c>
    </row>
    <row r="1165" spans="1:41"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t="str">
        <f>"LAB-"&amp;Lab_Data[[#This Row],[EmployeeNumber]]</f>
        <v>LAB-1640</v>
      </c>
      <c r="AK1165" t="str">
        <f>Lab_Data[[#This Row],[JobRole]]</f>
        <v>Research Scientist</v>
      </c>
      <c r="AL1165" t="str">
        <f>Lab_Data[[#This Row],[Department]]</f>
        <v>Research &amp; Development</v>
      </c>
      <c r="AM1165" t="str">
        <f>IF(Lab_Data[[#This Row],[Attrition]]="Yes","Failed","Completed")</f>
        <v>Completed</v>
      </c>
      <c r="AN1165">
        <f>Lab_Data[[#This Row],[YearsAtCompany]]</f>
        <v>8</v>
      </c>
      <c r="AO1165" t="str">
        <f>IF(Lab_Data[[#This Row],[PerformanceRating]]&gt;=3,"Approved","Review Required")</f>
        <v>Approved</v>
      </c>
    </row>
    <row r="1166" spans="1:41"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t="str">
        <f>"LAB-"&amp;Lab_Data[[#This Row],[EmployeeNumber]]</f>
        <v>LAB-1641</v>
      </c>
      <c r="AK1166" t="str">
        <f>Lab_Data[[#This Row],[JobRole]]</f>
        <v>Manufacturing Director</v>
      </c>
      <c r="AL1166" t="str">
        <f>Lab_Data[[#This Row],[Department]]</f>
        <v>Research &amp; Development</v>
      </c>
      <c r="AM1166" t="str">
        <f>IF(Lab_Data[[#This Row],[Attrition]]="Yes","Failed","Completed")</f>
        <v>Completed</v>
      </c>
      <c r="AN1166">
        <f>Lab_Data[[#This Row],[YearsAtCompany]]</f>
        <v>4</v>
      </c>
      <c r="AO1166" t="str">
        <f>IF(Lab_Data[[#This Row],[PerformanceRating]]&gt;=3,"Approved","Review Required")</f>
        <v>Approved</v>
      </c>
    </row>
    <row r="1167" spans="1:41"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t="str">
        <f>"LAB-"&amp;Lab_Data[[#This Row],[EmployeeNumber]]</f>
        <v>LAB-1642</v>
      </c>
      <c r="AK1167" t="str">
        <f>Lab_Data[[#This Row],[JobRole]]</f>
        <v>Human Resources</v>
      </c>
      <c r="AL1167" t="str">
        <f>Lab_Data[[#This Row],[Department]]</f>
        <v>Human Resources</v>
      </c>
      <c r="AM1167" t="str">
        <f>IF(Lab_Data[[#This Row],[Attrition]]="Yes","Failed","Completed")</f>
        <v>Completed</v>
      </c>
      <c r="AN1167">
        <f>Lab_Data[[#This Row],[YearsAtCompany]]</f>
        <v>10</v>
      </c>
      <c r="AO1167" t="str">
        <f>IF(Lab_Data[[#This Row],[PerformanceRating]]&gt;=3,"Approved","Review Required")</f>
        <v>Approved</v>
      </c>
    </row>
    <row r="1168" spans="1:41"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t="str">
        <f>"LAB-"&amp;Lab_Data[[#This Row],[EmployeeNumber]]</f>
        <v>LAB-1644</v>
      </c>
      <c r="AK1168" t="str">
        <f>Lab_Data[[#This Row],[JobRole]]</f>
        <v>Manager</v>
      </c>
      <c r="AL1168" t="str">
        <f>Lab_Data[[#This Row],[Department]]</f>
        <v>Research &amp; Development</v>
      </c>
      <c r="AM1168" t="str">
        <f>IF(Lab_Data[[#This Row],[Attrition]]="Yes","Failed","Completed")</f>
        <v>Completed</v>
      </c>
      <c r="AN1168">
        <f>Lab_Data[[#This Row],[YearsAtCompany]]</f>
        <v>2</v>
      </c>
      <c r="AO1168" t="str">
        <f>IF(Lab_Data[[#This Row],[PerformanceRating]]&gt;=3,"Approved","Review Required")</f>
        <v>Approved</v>
      </c>
    </row>
    <row r="1169" spans="1:41"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t="str">
        <f>"LAB-"&amp;Lab_Data[[#This Row],[EmployeeNumber]]</f>
        <v>LAB-1645</v>
      </c>
      <c r="AK1169" t="str">
        <f>Lab_Data[[#This Row],[JobRole]]</f>
        <v>Sales Executive</v>
      </c>
      <c r="AL1169" t="str">
        <f>Lab_Data[[#This Row],[Department]]</f>
        <v>Sales</v>
      </c>
      <c r="AM1169" t="str">
        <f>IF(Lab_Data[[#This Row],[Attrition]]="Yes","Failed","Completed")</f>
        <v>Failed</v>
      </c>
      <c r="AN1169">
        <f>Lab_Data[[#This Row],[YearsAtCompany]]</f>
        <v>2</v>
      </c>
      <c r="AO1169" t="str">
        <f>IF(Lab_Data[[#This Row],[PerformanceRating]]&gt;=3,"Approved","Review Required")</f>
        <v>Approved</v>
      </c>
    </row>
    <row r="1170" spans="1:41"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t="str">
        <f>"LAB-"&amp;Lab_Data[[#This Row],[EmployeeNumber]]</f>
        <v>LAB-1646</v>
      </c>
      <c r="AK1170" t="str">
        <f>Lab_Data[[#This Row],[JobRole]]</f>
        <v>Research Scientist</v>
      </c>
      <c r="AL1170" t="str">
        <f>Lab_Data[[#This Row],[Department]]</f>
        <v>Research &amp; Development</v>
      </c>
      <c r="AM1170" t="str">
        <f>IF(Lab_Data[[#This Row],[Attrition]]="Yes","Failed","Completed")</f>
        <v>Completed</v>
      </c>
      <c r="AN1170">
        <f>Lab_Data[[#This Row],[YearsAtCompany]]</f>
        <v>6</v>
      </c>
      <c r="AO1170" t="str">
        <f>IF(Lab_Data[[#This Row],[PerformanceRating]]&gt;=3,"Approved","Review Required")</f>
        <v>Approved</v>
      </c>
    </row>
    <row r="1171" spans="1:41"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t="str">
        <f>"LAB-"&amp;Lab_Data[[#This Row],[EmployeeNumber]]</f>
        <v>LAB-1647</v>
      </c>
      <c r="AK1171" t="str">
        <f>Lab_Data[[#This Row],[JobRole]]</f>
        <v>Research Scientist</v>
      </c>
      <c r="AL1171" t="str">
        <f>Lab_Data[[#This Row],[Department]]</f>
        <v>Research &amp; Development</v>
      </c>
      <c r="AM1171" t="str">
        <f>IF(Lab_Data[[#This Row],[Attrition]]="Yes","Failed","Completed")</f>
        <v>Completed</v>
      </c>
      <c r="AN1171">
        <f>Lab_Data[[#This Row],[YearsAtCompany]]</f>
        <v>3</v>
      </c>
      <c r="AO1171" t="str">
        <f>IF(Lab_Data[[#This Row],[PerformanceRating]]&gt;=3,"Approved","Review Required")</f>
        <v>Approved</v>
      </c>
    </row>
    <row r="1172" spans="1:41"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t="str">
        <f>"LAB-"&amp;Lab_Data[[#This Row],[EmployeeNumber]]</f>
        <v>LAB-1648</v>
      </c>
      <c r="AK1172" t="str">
        <f>Lab_Data[[#This Row],[JobRole]]</f>
        <v>Research Scientist</v>
      </c>
      <c r="AL1172" t="str">
        <f>Lab_Data[[#This Row],[Department]]</f>
        <v>Research &amp; Development</v>
      </c>
      <c r="AM1172" t="str">
        <f>IF(Lab_Data[[#This Row],[Attrition]]="Yes","Failed","Completed")</f>
        <v>Completed</v>
      </c>
      <c r="AN1172">
        <f>Lab_Data[[#This Row],[YearsAtCompany]]</f>
        <v>4</v>
      </c>
      <c r="AO1172" t="str">
        <f>IF(Lab_Data[[#This Row],[PerformanceRating]]&gt;=3,"Approved","Review Required")</f>
        <v>Approved</v>
      </c>
    </row>
    <row r="1173" spans="1:41"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t="str">
        <f>"LAB-"&amp;Lab_Data[[#This Row],[EmployeeNumber]]</f>
        <v>LAB-1649</v>
      </c>
      <c r="AK1173" t="str">
        <f>Lab_Data[[#This Row],[JobRole]]</f>
        <v>Laboratory Technician</v>
      </c>
      <c r="AL1173" t="str">
        <f>Lab_Data[[#This Row],[Department]]</f>
        <v>Research &amp; Development</v>
      </c>
      <c r="AM1173" t="str">
        <f>IF(Lab_Data[[#This Row],[Attrition]]="Yes","Failed","Completed")</f>
        <v>Failed</v>
      </c>
      <c r="AN1173">
        <f>Lab_Data[[#This Row],[YearsAtCompany]]</f>
        <v>4</v>
      </c>
      <c r="AO1173" t="str">
        <f>IF(Lab_Data[[#This Row],[PerformanceRating]]&gt;=3,"Approved","Review Required")</f>
        <v>Approved</v>
      </c>
    </row>
    <row r="1174" spans="1:41"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t="str">
        <f>"LAB-"&amp;Lab_Data[[#This Row],[EmployeeNumber]]</f>
        <v>LAB-1650</v>
      </c>
      <c r="AK1174" t="str">
        <f>Lab_Data[[#This Row],[JobRole]]</f>
        <v>Sales Executive</v>
      </c>
      <c r="AL1174" t="str">
        <f>Lab_Data[[#This Row],[Department]]</f>
        <v>Sales</v>
      </c>
      <c r="AM1174" t="str">
        <f>IF(Lab_Data[[#This Row],[Attrition]]="Yes","Failed","Completed")</f>
        <v>Completed</v>
      </c>
      <c r="AN1174">
        <f>Lab_Data[[#This Row],[YearsAtCompany]]</f>
        <v>5</v>
      </c>
      <c r="AO1174" t="str">
        <f>IF(Lab_Data[[#This Row],[PerformanceRating]]&gt;=3,"Approved","Review Required")</f>
        <v>Approved</v>
      </c>
    </row>
    <row r="1175" spans="1:41"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t="str">
        <f>"LAB-"&amp;Lab_Data[[#This Row],[EmployeeNumber]]</f>
        <v>LAB-1651</v>
      </c>
      <c r="AK1175" t="str">
        <f>Lab_Data[[#This Row],[JobRole]]</f>
        <v>Healthcare Representative</v>
      </c>
      <c r="AL1175" t="str">
        <f>Lab_Data[[#This Row],[Department]]</f>
        <v>Research &amp; Development</v>
      </c>
      <c r="AM1175" t="str">
        <f>IF(Lab_Data[[#This Row],[Attrition]]="Yes","Failed","Completed")</f>
        <v>Completed</v>
      </c>
      <c r="AN1175">
        <f>Lab_Data[[#This Row],[YearsAtCompany]]</f>
        <v>3</v>
      </c>
      <c r="AO1175" t="str">
        <f>IF(Lab_Data[[#This Row],[PerformanceRating]]&gt;=3,"Approved","Review Required")</f>
        <v>Approved</v>
      </c>
    </row>
    <row r="1176" spans="1:41"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t="str">
        <f>"LAB-"&amp;Lab_Data[[#This Row],[EmployeeNumber]]</f>
        <v>LAB-1653</v>
      </c>
      <c r="AK1176" t="str">
        <f>Lab_Data[[#This Row],[JobRole]]</f>
        <v>Manufacturing Director</v>
      </c>
      <c r="AL1176" t="str">
        <f>Lab_Data[[#This Row],[Department]]</f>
        <v>Research &amp; Development</v>
      </c>
      <c r="AM1176" t="str">
        <f>IF(Lab_Data[[#This Row],[Attrition]]="Yes","Failed","Completed")</f>
        <v>Completed</v>
      </c>
      <c r="AN1176">
        <f>Lab_Data[[#This Row],[YearsAtCompany]]</f>
        <v>7</v>
      </c>
      <c r="AO1176" t="str">
        <f>IF(Lab_Data[[#This Row],[PerformanceRating]]&gt;=3,"Approved","Review Required")</f>
        <v>Approved</v>
      </c>
    </row>
    <row r="1177" spans="1:41"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t="str">
        <f>"LAB-"&amp;Lab_Data[[#This Row],[EmployeeNumber]]</f>
        <v>LAB-1654</v>
      </c>
      <c r="AK1177" t="str">
        <f>Lab_Data[[#This Row],[JobRole]]</f>
        <v>Manufacturing Director</v>
      </c>
      <c r="AL1177" t="str">
        <f>Lab_Data[[#This Row],[Department]]</f>
        <v>Research &amp; Development</v>
      </c>
      <c r="AM1177" t="str">
        <f>IF(Lab_Data[[#This Row],[Attrition]]="Yes","Failed","Completed")</f>
        <v>Completed</v>
      </c>
      <c r="AN1177">
        <f>Lab_Data[[#This Row],[YearsAtCompany]]</f>
        <v>5</v>
      </c>
      <c r="AO1177" t="str">
        <f>IF(Lab_Data[[#This Row],[PerformanceRating]]&gt;=3,"Approved","Review Required")</f>
        <v>Approved</v>
      </c>
    </row>
    <row r="1178" spans="1:41"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t="str">
        <f>"LAB-"&amp;Lab_Data[[#This Row],[EmployeeNumber]]</f>
        <v>LAB-1655</v>
      </c>
      <c r="AK1178" t="str">
        <f>Lab_Data[[#This Row],[JobRole]]</f>
        <v>Research Director</v>
      </c>
      <c r="AL1178" t="str">
        <f>Lab_Data[[#This Row],[Department]]</f>
        <v>Research &amp; Development</v>
      </c>
      <c r="AM1178" t="str">
        <f>IF(Lab_Data[[#This Row],[Attrition]]="Yes","Failed","Completed")</f>
        <v>Completed</v>
      </c>
      <c r="AN1178">
        <f>Lab_Data[[#This Row],[YearsAtCompany]]</f>
        <v>4</v>
      </c>
      <c r="AO1178" t="str">
        <f>IF(Lab_Data[[#This Row],[PerformanceRating]]&gt;=3,"Approved","Review Required")</f>
        <v>Approved</v>
      </c>
    </row>
    <row r="1179" spans="1:41"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t="str">
        <f>"LAB-"&amp;Lab_Data[[#This Row],[EmployeeNumber]]</f>
        <v>LAB-1656</v>
      </c>
      <c r="AK1179" t="str">
        <f>Lab_Data[[#This Row],[JobRole]]</f>
        <v>Research Director</v>
      </c>
      <c r="AL1179" t="str">
        <f>Lab_Data[[#This Row],[Department]]</f>
        <v>Research &amp; Development</v>
      </c>
      <c r="AM1179" t="str">
        <f>IF(Lab_Data[[#This Row],[Attrition]]="Yes","Failed","Completed")</f>
        <v>Completed</v>
      </c>
      <c r="AN1179">
        <f>Lab_Data[[#This Row],[YearsAtCompany]]</f>
        <v>14</v>
      </c>
      <c r="AO1179" t="str">
        <f>IF(Lab_Data[[#This Row],[PerformanceRating]]&gt;=3,"Approved","Review Required")</f>
        <v>Approved</v>
      </c>
    </row>
    <row r="1180" spans="1:41"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t="str">
        <f>"LAB-"&amp;Lab_Data[[#This Row],[EmployeeNumber]]</f>
        <v>LAB-1657</v>
      </c>
      <c r="AK1180" t="str">
        <f>Lab_Data[[#This Row],[JobRole]]</f>
        <v>Sales Representative</v>
      </c>
      <c r="AL1180" t="str">
        <f>Lab_Data[[#This Row],[Department]]</f>
        <v>Sales</v>
      </c>
      <c r="AM1180" t="str">
        <f>IF(Lab_Data[[#This Row],[Attrition]]="Yes","Failed","Completed")</f>
        <v>Completed</v>
      </c>
      <c r="AN1180">
        <f>Lab_Data[[#This Row],[YearsAtCompany]]</f>
        <v>2</v>
      </c>
      <c r="AO1180" t="str">
        <f>IF(Lab_Data[[#This Row],[PerformanceRating]]&gt;=3,"Approved","Review Required")</f>
        <v>Approved</v>
      </c>
    </row>
    <row r="1181" spans="1:41"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t="str">
        <f>"LAB-"&amp;Lab_Data[[#This Row],[EmployeeNumber]]</f>
        <v>LAB-1658</v>
      </c>
      <c r="AK1181" t="str">
        <f>Lab_Data[[#This Row],[JobRole]]</f>
        <v>Research Scientist</v>
      </c>
      <c r="AL1181" t="str">
        <f>Lab_Data[[#This Row],[Department]]</f>
        <v>Research &amp; Development</v>
      </c>
      <c r="AM1181" t="str">
        <f>IF(Lab_Data[[#This Row],[Attrition]]="Yes","Failed","Completed")</f>
        <v>Completed</v>
      </c>
      <c r="AN1181">
        <f>Lab_Data[[#This Row],[YearsAtCompany]]</f>
        <v>11</v>
      </c>
      <c r="AO1181" t="str">
        <f>IF(Lab_Data[[#This Row],[PerformanceRating]]&gt;=3,"Approved","Review Required")</f>
        <v>Approved</v>
      </c>
    </row>
    <row r="1182" spans="1:41"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t="str">
        <f>"LAB-"&amp;Lab_Data[[#This Row],[EmployeeNumber]]</f>
        <v>LAB-1659</v>
      </c>
      <c r="AK1182" t="str">
        <f>Lab_Data[[#This Row],[JobRole]]</f>
        <v>Laboratory Technician</v>
      </c>
      <c r="AL1182" t="str">
        <f>Lab_Data[[#This Row],[Department]]</f>
        <v>Research &amp; Development</v>
      </c>
      <c r="AM1182" t="str">
        <f>IF(Lab_Data[[#This Row],[Attrition]]="Yes","Failed","Completed")</f>
        <v>Completed</v>
      </c>
      <c r="AN1182">
        <f>Lab_Data[[#This Row],[YearsAtCompany]]</f>
        <v>4</v>
      </c>
      <c r="AO1182" t="str">
        <f>IF(Lab_Data[[#This Row],[PerformanceRating]]&gt;=3,"Approved","Review Required")</f>
        <v>Approved</v>
      </c>
    </row>
    <row r="1183" spans="1:41"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t="str">
        <f>"LAB-"&amp;Lab_Data[[#This Row],[EmployeeNumber]]</f>
        <v>LAB-1661</v>
      </c>
      <c r="AK1183" t="str">
        <f>Lab_Data[[#This Row],[JobRole]]</f>
        <v>Healthcare Representative</v>
      </c>
      <c r="AL1183" t="str">
        <f>Lab_Data[[#This Row],[Department]]</f>
        <v>Research &amp; Development</v>
      </c>
      <c r="AM1183" t="str">
        <f>IF(Lab_Data[[#This Row],[Attrition]]="Yes","Failed","Completed")</f>
        <v>Completed</v>
      </c>
      <c r="AN1183">
        <f>Lab_Data[[#This Row],[YearsAtCompany]]</f>
        <v>15</v>
      </c>
      <c r="AO1183" t="str">
        <f>IF(Lab_Data[[#This Row],[PerformanceRating]]&gt;=3,"Approved","Review Required")</f>
        <v>Approved</v>
      </c>
    </row>
    <row r="1184" spans="1:41"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t="str">
        <f>"LAB-"&amp;Lab_Data[[#This Row],[EmployeeNumber]]</f>
        <v>LAB-1662</v>
      </c>
      <c r="AK1184" t="str">
        <f>Lab_Data[[#This Row],[JobRole]]</f>
        <v>Manufacturing Director</v>
      </c>
      <c r="AL1184" t="str">
        <f>Lab_Data[[#This Row],[Department]]</f>
        <v>Research &amp; Development</v>
      </c>
      <c r="AM1184" t="str">
        <f>IF(Lab_Data[[#This Row],[Attrition]]="Yes","Failed","Completed")</f>
        <v>Completed</v>
      </c>
      <c r="AN1184">
        <f>Lab_Data[[#This Row],[YearsAtCompany]]</f>
        <v>3</v>
      </c>
      <c r="AO1184" t="str">
        <f>IF(Lab_Data[[#This Row],[PerformanceRating]]&gt;=3,"Approved","Review Required")</f>
        <v>Approved</v>
      </c>
    </row>
    <row r="1185" spans="1:41"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t="str">
        <f>"LAB-"&amp;Lab_Data[[#This Row],[EmployeeNumber]]</f>
        <v>LAB-1664</v>
      </c>
      <c r="AK1185" t="str">
        <f>Lab_Data[[#This Row],[JobRole]]</f>
        <v>Healthcare Representative</v>
      </c>
      <c r="AL1185" t="str">
        <f>Lab_Data[[#This Row],[Department]]</f>
        <v>Research &amp; Development</v>
      </c>
      <c r="AM1185" t="str">
        <f>IF(Lab_Data[[#This Row],[Attrition]]="Yes","Failed","Completed")</f>
        <v>Completed</v>
      </c>
      <c r="AN1185">
        <f>Lab_Data[[#This Row],[YearsAtCompany]]</f>
        <v>5</v>
      </c>
      <c r="AO1185" t="str">
        <f>IF(Lab_Data[[#This Row],[PerformanceRating]]&gt;=3,"Approved","Review Required")</f>
        <v>Approved</v>
      </c>
    </row>
    <row r="1186" spans="1:41"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t="str">
        <f>"LAB-"&amp;Lab_Data[[#This Row],[EmployeeNumber]]</f>
        <v>LAB-1665</v>
      </c>
      <c r="AK1186" t="str">
        <f>Lab_Data[[#This Row],[JobRole]]</f>
        <v>Manager</v>
      </c>
      <c r="AL1186" t="str">
        <f>Lab_Data[[#This Row],[Department]]</f>
        <v>Research &amp; Development</v>
      </c>
      <c r="AM1186" t="str">
        <f>IF(Lab_Data[[#This Row],[Attrition]]="Yes","Failed","Completed")</f>
        <v>Completed</v>
      </c>
      <c r="AN1186">
        <f>Lab_Data[[#This Row],[YearsAtCompany]]</f>
        <v>10</v>
      </c>
      <c r="AO1186" t="str">
        <f>IF(Lab_Data[[#This Row],[PerformanceRating]]&gt;=3,"Approved","Review Required")</f>
        <v>Approved</v>
      </c>
    </row>
    <row r="1187" spans="1:41"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t="str">
        <f>"LAB-"&amp;Lab_Data[[#This Row],[EmployeeNumber]]</f>
        <v>LAB-1666</v>
      </c>
      <c r="AK1187" t="str">
        <f>Lab_Data[[#This Row],[JobRole]]</f>
        <v>Research Director</v>
      </c>
      <c r="AL1187" t="str">
        <f>Lab_Data[[#This Row],[Department]]</f>
        <v>Research &amp; Development</v>
      </c>
      <c r="AM1187" t="str">
        <f>IF(Lab_Data[[#This Row],[Attrition]]="Yes","Failed","Completed")</f>
        <v>Completed</v>
      </c>
      <c r="AN1187">
        <f>Lab_Data[[#This Row],[YearsAtCompany]]</f>
        <v>14</v>
      </c>
      <c r="AO1187" t="str">
        <f>IF(Lab_Data[[#This Row],[PerformanceRating]]&gt;=3,"Approved","Review Required")</f>
        <v>Approved</v>
      </c>
    </row>
    <row r="1188" spans="1:41"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t="str">
        <f>"LAB-"&amp;Lab_Data[[#This Row],[EmployeeNumber]]</f>
        <v>LAB-1667</v>
      </c>
      <c r="AK1188" t="str">
        <f>Lab_Data[[#This Row],[JobRole]]</f>
        <v>Sales Executive</v>
      </c>
      <c r="AL1188" t="str">
        <f>Lab_Data[[#This Row],[Department]]</f>
        <v>Sales</v>
      </c>
      <c r="AM1188" t="str">
        <f>IF(Lab_Data[[#This Row],[Attrition]]="Yes","Failed","Completed")</f>
        <v>Failed</v>
      </c>
      <c r="AN1188">
        <f>Lab_Data[[#This Row],[YearsAtCompany]]</f>
        <v>11</v>
      </c>
      <c r="AO1188" t="str">
        <f>IF(Lab_Data[[#This Row],[PerformanceRating]]&gt;=3,"Approved","Review Required")</f>
        <v>Approved</v>
      </c>
    </row>
    <row r="1189" spans="1:41"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t="str">
        <f>"LAB-"&amp;Lab_Data[[#This Row],[EmployeeNumber]]</f>
        <v>LAB-1668</v>
      </c>
      <c r="AK1189" t="str">
        <f>Lab_Data[[#This Row],[JobRole]]</f>
        <v>Research Scientist</v>
      </c>
      <c r="AL1189" t="str">
        <f>Lab_Data[[#This Row],[Department]]</f>
        <v>Research &amp; Development</v>
      </c>
      <c r="AM1189" t="str">
        <f>IF(Lab_Data[[#This Row],[Attrition]]="Yes","Failed","Completed")</f>
        <v>Completed</v>
      </c>
      <c r="AN1189">
        <f>Lab_Data[[#This Row],[YearsAtCompany]]</f>
        <v>13</v>
      </c>
      <c r="AO1189" t="str">
        <f>IF(Lab_Data[[#This Row],[PerformanceRating]]&gt;=3,"Approved","Review Required")</f>
        <v>Approved</v>
      </c>
    </row>
    <row r="1190" spans="1:41"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t="str">
        <f>"LAB-"&amp;Lab_Data[[#This Row],[EmployeeNumber]]</f>
        <v>LAB-1669</v>
      </c>
      <c r="AK1190" t="str">
        <f>Lab_Data[[#This Row],[JobRole]]</f>
        <v>Sales Executive</v>
      </c>
      <c r="AL1190" t="str">
        <f>Lab_Data[[#This Row],[Department]]</f>
        <v>Sales</v>
      </c>
      <c r="AM1190" t="str">
        <f>IF(Lab_Data[[#This Row],[Attrition]]="Yes","Failed","Completed")</f>
        <v>Completed</v>
      </c>
      <c r="AN1190">
        <f>Lab_Data[[#This Row],[YearsAtCompany]]</f>
        <v>10</v>
      </c>
      <c r="AO1190" t="str">
        <f>IF(Lab_Data[[#This Row],[PerformanceRating]]&gt;=3,"Approved","Review Required")</f>
        <v>Approved</v>
      </c>
    </row>
    <row r="1191" spans="1:41"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t="str">
        <f>"LAB-"&amp;Lab_Data[[#This Row],[EmployeeNumber]]</f>
        <v>LAB-1670</v>
      </c>
      <c r="AK1191" t="str">
        <f>Lab_Data[[#This Row],[JobRole]]</f>
        <v>Sales Executive</v>
      </c>
      <c r="AL1191" t="str">
        <f>Lab_Data[[#This Row],[Department]]</f>
        <v>Sales</v>
      </c>
      <c r="AM1191" t="str">
        <f>IF(Lab_Data[[#This Row],[Attrition]]="Yes","Failed","Completed")</f>
        <v>Completed</v>
      </c>
      <c r="AN1191">
        <f>Lab_Data[[#This Row],[YearsAtCompany]]</f>
        <v>6</v>
      </c>
      <c r="AO1191" t="str">
        <f>IF(Lab_Data[[#This Row],[PerformanceRating]]&gt;=3,"Approved","Review Required")</f>
        <v>Approved</v>
      </c>
    </row>
    <row r="1192" spans="1:41"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t="str">
        <f>"LAB-"&amp;Lab_Data[[#This Row],[EmployeeNumber]]</f>
        <v>LAB-1671</v>
      </c>
      <c r="AK1192" t="str">
        <f>Lab_Data[[#This Row],[JobRole]]</f>
        <v>Research Scientist</v>
      </c>
      <c r="AL1192" t="str">
        <f>Lab_Data[[#This Row],[Department]]</f>
        <v>Research &amp; Development</v>
      </c>
      <c r="AM1192" t="str">
        <f>IF(Lab_Data[[#This Row],[Attrition]]="Yes","Failed","Completed")</f>
        <v>Completed</v>
      </c>
      <c r="AN1192">
        <f>Lab_Data[[#This Row],[YearsAtCompany]]</f>
        <v>9</v>
      </c>
      <c r="AO1192" t="str">
        <f>IF(Lab_Data[[#This Row],[PerformanceRating]]&gt;=3,"Approved","Review Required")</f>
        <v>Approved</v>
      </c>
    </row>
    <row r="1193" spans="1:41"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t="str">
        <f>"LAB-"&amp;Lab_Data[[#This Row],[EmployeeNumber]]</f>
        <v>LAB-1673</v>
      </c>
      <c r="AK1193" t="str">
        <f>Lab_Data[[#This Row],[JobRole]]</f>
        <v>Sales Executive</v>
      </c>
      <c r="AL1193" t="str">
        <f>Lab_Data[[#This Row],[Department]]</f>
        <v>Sales</v>
      </c>
      <c r="AM1193" t="str">
        <f>IF(Lab_Data[[#This Row],[Attrition]]="Yes","Failed","Completed")</f>
        <v>Completed</v>
      </c>
      <c r="AN1193">
        <f>Lab_Data[[#This Row],[YearsAtCompany]]</f>
        <v>10</v>
      </c>
      <c r="AO1193" t="str">
        <f>IF(Lab_Data[[#This Row],[PerformanceRating]]&gt;=3,"Approved","Review Required")</f>
        <v>Approved</v>
      </c>
    </row>
    <row r="1194" spans="1:41"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t="str">
        <f>"LAB-"&amp;Lab_Data[[#This Row],[EmployeeNumber]]</f>
        <v>LAB-1674</v>
      </c>
      <c r="AK1194" t="str">
        <f>Lab_Data[[#This Row],[JobRole]]</f>
        <v>Laboratory Technician</v>
      </c>
      <c r="AL1194" t="str">
        <f>Lab_Data[[#This Row],[Department]]</f>
        <v>Research &amp; Development</v>
      </c>
      <c r="AM1194" t="str">
        <f>IF(Lab_Data[[#This Row],[Attrition]]="Yes","Failed","Completed")</f>
        <v>Completed</v>
      </c>
      <c r="AN1194">
        <f>Lab_Data[[#This Row],[YearsAtCompany]]</f>
        <v>2</v>
      </c>
      <c r="AO1194" t="str">
        <f>IF(Lab_Data[[#This Row],[PerformanceRating]]&gt;=3,"Approved","Review Required")</f>
        <v>Approved</v>
      </c>
    </row>
    <row r="1195" spans="1:41"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t="str">
        <f>"LAB-"&amp;Lab_Data[[#This Row],[EmployeeNumber]]</f>
        <v>LAB-1675</v>
      </c>
      <c r="AK1195" t="str">
        <f>Lab_Data[[#This Row],[JobRole]]</f>
        <v>Laboratory Technician</v>
      </c>
      <c r="AL1195" t="str">
        <f>Lab_Data[[#This Row],[Department]]</f>
        <v>Research &amp; Development</v>
      </c>
      <c r="AM1195" t="str">
        <f>IF(Lab_Data[[#This Row],[Attrition]]="Yes","Failed","Completed")</f>
        <v>Completed</v>
      </c>
      <c r="AN1195">
        <f>Lab_Data[[#This Row],[YearsAtCompany]]</f>
        <v>4</v>
      </c>
      <c r="AO1195" t="str">
        <f>IF(Lab_Data[[#This Row],[PerformanceRating]]&gt;=3,"Approved","Review Required")</f>
        <v>Approved</v>
      </c>
    </row>
    <row r="1196" spans="1:41"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t="str">
        <f>"LAB-"&amp;Lab_Data[[#This Row],[EmployeeNumber]]</f>
        <v>LAB-1676</v>
      </c>
      <c r="AK1196" t="str">
        <f>Lab_Data[[#This Row],[JobRole]]</f>
        <v>Manager</v>
      </c>
      <c r="AL1196" t="str">
        <f>Lab_Data[[#This Row],[Department]]</f>
        <v>Sales</v>
      </c>
      <c r="AM1196" t="str">
        <f>IF(Lab_Data[[#This Row],[Attrition]]="Yes","Failed","Completed")</f>
        <v>Completed</v>
      </c>
      <c r="AN1196">
        <f>Lab_Data[[#This Row],[YearsAtCompany]]</f>
        <v>3</v>
      </c>
      <c r="AO1196" t="str">
        <f>IF(Lab_Data[[#This Row],[PerformanceRating]]&gt;=3,"Approved","Review Required")</f>
        <v>Approved</v>
      </c>
    </row>
    <row r="1197" spans="1:41"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t="str">
        <f>"LAB-"&amp;Lab_Data[[#This Row],[EmployeeNumber]]</f>
        <v>LAB-1677</v>
      </c>
      <c r="AK1197" t="str">
        <f>Lab_Data[[#This Row],[JobRole]]</f>
        <v>Manager</v>
      </c>
      <c r="AL1197" t="str">
        <f>Lab_Data[[#This Row],[Department]]</f>
        <v>Research &amp; Development</v>
      </c>
      <c r="AM1197" t="str">
        <f>IF(Lab_Data[[#This Row],[Attrition]]="Yes","Failed","Completed")</f>
        <v>Completed</v>
      </c>
      <c r="AN1197">
        <f>Lab_Data[[#This Row],[YearsAtCompany]]</f>
        <v>8</v>
      </c>
      <c r="AO1197" t="str">
        <f>IF(Lab_Data[[#This Row],[PerformanceRating]]&gt;=3,"Approved","Review Required")</f>
        <v>Approved</v>
      </c>
    </row>
    <row r="1198" spans="1:41"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t="str">
        <f>"LAB-"&amp;Lab_Data[[#This Row],[EmployeeNumber]]</f>
        <v>LAB-1678</v>
      </c>
      <c r="AK1198" t="str">
        <f>Lab_Data[[#This Row],[JobRole]]</f>
        <v>Sales Executive</v>
      </c>
      <c r="AL1198" t="str">
        <f>Lab_Data[[#This Row],[Department]]</f>
        <v>Sales</v>
      </c>
      <c r="AM1198" t="str">
        <f>IF(Lab_Data[[#This Row],[Attrition]]="Yes","Failed","Completed")</f>
        <v>Completed</v>
      </c>
      <c r="AN1198">
        <f>Lab_Data[[#This Row],[YearsAtCompany]]</f>
        <v>2</v>
      </c>
      <c r="AO1198" t="str">
        <f>IF(Lab_Data[[#This Row],[PerformanceRating]]&gt;=3,"Approved","Review Required")</f>
        <v>Approved</v>
      </c>
    </row>
    <row r="1199" spans="1:41"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t="str">
        <f>"LAB-"&amp;Lab_Data[[#This Row],[EmployeeNumber]]</f>
        <v>LAB-1680</v>
      </c>
      <c r="AK1199" t="str">
        <f>Lab_Data[[#This Row],[JobRole]]</f>
        <v>Sales Representative</v>
      </c>
      <c r="AL1199" t="str">
        <f>Lab_Data[[#This Row],[Department]]</f>
        <v>Sales</v>
      </c>
      <c r="AM1199" t="str">
        <f>IF(Lab_Data[[#This Row],[Attrition]]="Yes","Failed","Completed")</f>
        <v>Completed</v>
      </c>
      <c r="AN1199">
        <f>Lab_Data[[#This Row],[YearsAtCompany]]</f>
        <v>2</v>
      </c>
      <c r="AO1199" t="str">
        <f>IF(Lab_Data[[#This Row],[PerformanceRating]]&gt;=3,"Approved","Review Required")</f>
        <v>Approved</v>
      </c>
    </row>
    <row r="1200" spans="1:41"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t="str">
        <f>"LAB-"&amp;Lab_Data[[#This Row],[EmployeeNumber]]</f>
        <v>LAB-1681</v>
      </c>
      <c r="AK1200" t="str">
        <f>Lab_Data[[#This Row],[JobRole]]</f>
        <v>Sales Executive</v>
      </c>
      <c r="AL1200" t="str">
        <f>Lab_Data[[#This Row],[Department]]</f>
        <v>Sales</v>
      </c>
      <c r="AM1200" t="str">
        <f>IF(Lab_Data[[#This Row],[Attrition]]="Yes","Failed","Completed")</f>
        <v>Completed</v>
      </c>
      <c r="AN1200">
        <f>Lab_Data[[#This Row],[YearsAtCompany]]</f>
        <v>6</v>
      </c>
      <c r="AO1200" t="str">
        <f>IF(Lab_Data[[#This Row],[PerformanceRating]]&gt;=3,"Approved","Review Required")</f>
        <v>Approved</v>
      </c>
    </row>
    <row r="1201" spans="1:41"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t="str">
        <f>"LAB-"&amp;Lab_Data[[#This Row],[EmployeeNumber]]</f>
        <v>LAB-1682</v>
      </c>
      <c r="AK1201" t="str">
        <f>Lab_Data[[#This Row],[JobRole]]</f>
        <v>Healthcare Representative</v>
      </c>
      <c r="AL1201" t="str">
        <f>Lab_Data[[#This Row],[Department]]</f>
        <v>Research &amp; Development</v>
      </c>
      <c r="AM1201" t="str">
        <f>IF(Lab_Data[[#This Row],[Attrition]]="Yes","Failed","Completed")</f>
        <v>Completed</v>
      </c>
      <c r="AN1201">
        <f>Lab_Data[[#This Row],[YearsAtCompany]]</f>
        <v>3</v>
      </c>
      <c r="AO1201" t="str">
        <f>IF(Lab_Data[[#This Row],[PerformanceRating]]&gt;=3,"Approved","Review Required")</f>
        <v>Approved</v>
      </c>
    </row>
    <row r="1202" spans="1:41"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t="str">
        <f>"LAB-"&amp;Lab_Data[[#This Row],[EmployeeNumber]]</f>
        <v>LAB-1683</v>
      </c>
      <c r="AK1202" t="str">
        <f>Lab_Data[[#This Row],[JobRole]]</f>
        <v>Human Resources</v>
      </c>
      <c r="AL1202" t="str">
        <f>Lab_Data[[#This Row],[Department]]</f>
        <v>Human Resources</v>
      </c>
      <c r="AM1202" t="str">
        <f>IF(Lab_Data[[#This Row],[Attrition]]="Yes","Failed","Completed")</f>
        <v>Completed</v>
      </c>
      <c r="AN1202">
        <f>Lab_Data[[#This Row],[YearsAtCompany]]</f>
        <v>2</v>
      </c>
      <c r="AO1202" t="str">
        <f>IF(Lab_Data[[#This Row],[PerformanceRating]]&gt;=3,"Approved","Review Required")</f>
        <v>Approved</v>
      </c>
    </row>
    <row r="1203" spans="1:41"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t="str">
        <f>"LAB-"&amp;Lab_Data[[#This Row],[EmployeeNumber]]</f>
        <v>LAB-1684</v>
      </c>
      <c r="AK1203" t="str">
        <f>Lab_Data[[#This Row],[JobRole]]</f>
        <v>Laboratory Technician</v>
      </c>
      <c r="AL1203" t="str">
        <f>Lab_Data[[#This Row],[Department]]</f>
        <v>Research &amp; Development</v>
      </c>
      <c r="AM1203" t="str">
        <f>IF(Lab_Data[[#This Row],[Attrition]]="Yes","Failed","Completed")</f>
        <v>Failed</v>
      </c>
      <c r="AN1203">
        <f>Lab_Data[[#This Row],[YearsAtCompany]]</f>
        <v>5</v>
      </c>
      <c r="AO1203" t="str">
        <f>IF(Lab_Data[[#This Row],[PerformanceRating]]&gt;=3,"Approved","Review Required")</f>
        <v>Approved</v>
      </c>
    </row>
    <row r="1204" spans="1:41"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t="str">
        <f>"LAB-"&amp;Lab_Data[[#This Row],[EmployeeNumber]]</f>
        <v>LAB-1687</v>
      </c>
      <c r="AK1204" t="str">
        <f>Lab_Data[[#This Row],[JobRole]]</f>
        <v>Laboratory Technician</v>
      </c>
      <c r="AL1204" t="str">
        <f>Lab_Data[[#This Row],[Department]]</f>
        <v>Research &amp; Development</v>
      </c>
      <c r="AM1204" t="str">
        <f>IF(Lab_Data[[#This Row],[Attrition]]="Yes","Failed","Completed")</f>
        <v>Completed</v>
      </c>
      <c r="AN1204">
        <f>Lab_Data[[#This Row],[YearsAtCompany]]</f>
        <v>0</v>
      </c>
      <c r="AO1204" t="str">
        <f>IF(Lab_Data[[#This Row],[PerformanceRating]]&gt;=3,"Approved","Review Required")</f>
        <v>Approved</v>
      </c>
    </row>
    <row r="1205" spans="1:41"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t="str">
        <f>"LAB-"&amp;Lab_Data[[#This Row],[EmployeeNumber]]</f>
        <v>LAB-1689</v>
      </c>
      <c r="AK1205" t="str">
        <f>Lab_Data[[#This Row],[JobRole]]</f>
        <v>Healthcare Representative</v>
      </c>
      <c r="AL1205" t="str">
        <f>Lab_Data[[#This Row],[Department]]</f>
        <v>Research &amp; Development</v>
      </c>
      <c r="AM1205" t="str">
        <f>IF(Lab_Data[[#This Row],[Attrition]]="Yes","Failed","Completed")</f>
        <v>Completed</v>
      </c>
      <c r="AN1205">
        <f>Lab_Data[[#This Row],[YearsAtCompany]]</f>
        <v>4</v>
      </c>
      <c r="AO1205" t="str">
        <f>IF(Lab_Data[[#This Row],[PerformanceRating]]&gt;=3,"Approved","Review Required")</f>
        <v>Approved</v>
      </c>
    </row>
    <row r="1206" spans="1:41"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t="str">
        <f>"LAB-"&amp;Lab_Data[[#This Row],[EmployeeNumber]]</f>
        <v>LAB-1691</v>
      </c>
      <c r="AK1206" t="str">
        <f>Lab_Data[[#This Row],[JobRole]]</f>
        <v>Sales Representative</v>
      </c>
      <c r="AL1206" t="str">
        <f>Lab_Data[[#This Row],[Department]]</f>
        <v>Sales</v>
      </c>
      <c r="AM1206" t="str">
        <f>IF(Lab_Data[[#This Row],[Attrition]]="Yes","Failed","Completed")</f>
        <v>Failed</v>
      </c>
      <c r="AN1206">
        <f>Lab_Data[[#This Row],[YearsAtCompany]]</f>
        <v>9</v>
      </c>
      <c r="AO1206" t="str">
        <f>IF(Lab_Data[[#This Row],[PerformanceRating]]&gt;=3,"Approved","Review Required")</f>
        <v>Approved</v>
      </c>
    </row>
    <row r="1207" spans="1:41"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t="str">
        <f>"LAB-"&amp;Lab_Data[[#This Row],[EmployeeNumber]]</f>
        <v>LAB-1692</v>
      </c>
      <c r="AK1207" t="str">
        <f>Lab_Data[[#This Row],[JobRole]]</f>
        <v>Laboratory Technician</v>
      </c>
      <c r="AL1207" t="str">
        <f>Lab_Data[[#This Row],[Department]]</f>
        <v>Research &amp; Development</v>
      </c>
      <c r="AM1207" t="str">
        <f>IF(Lab_Data[[#This Row],[Attrition]]="Yes","Failed","Completed")</f>
        <v>Failed</v>
      </c>
      <c r="AN1207">
        <f>Lab_Data[[#This Row],[YearsAtCompany]]</f>
        <v>1</v>
      </c>
      <c r="AO1207" t="str">
        <f>IF(Lab_Data[[#This Row],[PerformanceRating]]&gt;=3,"Approved","Review Required")</f>
        <v>Approved</v>
      </c>
    </row>
    <row r="1208" spans="1:41"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t="str">
        <f>"LAB-"&amp;Lab_Data[[#This Row],[EmployeeNumber]]</f>
        <v>LAB-1693</v>
      </c>
      <c r="AK1208" t="str">
        <f>Lab_Data[[#This Row],[JobRole]]</f>
        <v>Laboratory Technician</v>
      </c>
      <c r="AL1208" t="str">
        <f>Lab_Data[[#This Row],[Department]]</f>
        <v>Research &amp; Development</v>
      </c>
      <c r="AM1208" t="str">
        <f>IF(Lab_Data[[#This Row],[Attrition]]="Yes","Failed","Completed")</f>
        <v>Completed</v>
      </c>
      <c r="AN1208">
        <f>Lab_Data[[#This Row],[YearsAtCompany]]</f>
        <v>7</v>
      </c>
      <c r="AO1208" t="str">
        <f>IF(Lab_Data[[#This Row],[PerformanceRating]]&gt;=3,"Approved","Review Required")</f>
        <v>Approved</v>
      </c>
    </row>
    <row r="1209" spans="1:41"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t="str">
        <f>"LAB-"&amp;Lab_Data[[#This Row],[EmployeeNumber]]</f>
        <v>LAB-1694</v>
      </c>
      <c r="AK1209" t="str">
        <f>Lab_Data[[#This Row],[JobRole]]</f>
        <v>Research Scientist</v>
      </c>
      <c r="AL1209" t="str">
        <f>Lab_Data[[#This Row],[Department]]</f>
        <v>Research &amp; Development</v>
      </c>
      <c r="AM1209" t="str">
        <f>IF(Lab_Data[[#This Row],[Attrition]]="Yes","Failed","Completed")</f>
        <v>Completed</v>
      </c>
      <c r="AN1209">
        <f>Lab_Data[[#This Row],[YearsAtCompany]]</f>
        <v>4</v>
      </c>
      <c r="AO1209" t="str">
        <f>IF(Lab_Data[[#This Row],[PerformanceRating]]&gt;=3,"Approved","Review Required")</f>
        <v>Approved</v>
      </c>
    </row>
    <row r="1210" spans="1:41"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t="str">
        <f>"LAB-"&amp;Lab_Data[[#This Row],[EmployeeNumber]]</f>
        <v>LAB-1696</v>
      </c>
      <c r="AK1210" t="str">
        <f>Lab_Data[[#This Row],[JobRole]]</f>
        <v>Laboratory Technician</v>
      </c>
      <c r="AL1210" t="str">
        <f>Lab_Data[[#This Row],[Department]]</f>
        <v>Research &amp; Development</v>
      </c>
      <c r="AM1210" t="str">
        <f>IF(Lab_Data[[#This Row],[Attrition]]="Yes","Failed","Completed")</f>
        <v>Completed</v>
      </c>
      <c r="AN1210">
        <f>Lab_Data[[#This Row],[YearsAtCompany]]</f>
        <v>15</v>
      </c>
      <c r="AO1210" t="str">
        <f>IF(Lab_Data[[#This Row],[PerformanceRating]]&gt;=3,"Approved","Review Required")</f>
        <v>Approved</v>
      </c>
    </row>
    <row r="1211" spans="1:41"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t="str">
        <f>"LAB-"&amp;Lab_Data[[#This Row],[EmployeeNumber]]</f>
        <v>LAB-1697</v>
      </c>
      <c r="AK1211" t="str">
        <f>Lab_Data[[#This Row],[JobRole]]</f>
        <v>Healthcare Representative</v>
      </c>
      <c r="AL1211" t="str">
        <f>Lab_Data[[#This Row],[Department]]</f>
        <v>Research &amp; Development</v>
      </c>
      <c r="AM1211" t="str">
        <f>IF(Lab_Data[[#This Row],[Attrition]]="Yes","Failed","Completed")</f>
        <v>Completed</v>
      </c>
      <c r="AN1211">
        <f>Lab_Data[[#This Row],[YearsAtCompany]]</f>
        <v>1</v>
      </c>
      <c r="AO1211" t="str">
        <f>IF(Lab_Data[[#This Row],[PerformanceRating]]&gt;=3,"Approved","Review Required")</f>
        <v>Approved</v>
      </c>
    </row>
    <row r="1212" spans="1:41"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t="str">
        <f>"LAB-"&amp;Lab_Data[[#This Row],[EmployeeNumber]]</f>
        <v>LAB-1698</v>
      </c>
      <c r="AK1212" t="str">
        <f>Lab_Data[[#This Row],[JobRole]]</f>
        <v>Laboratory Technician</v>
      </c>
      <c r="AL1212" t="str">
        <f>Lab_Data[[#This Row],[Department]]</f>
        <v>Research &amp; Development</v>
      </c>
      <c r="AM1212" t="str">
        <f>IF(Lab_Data[[#This Row],[Attrition]]="Yes","Failed","Completed")</f>
        <v>Completed</v>
      </c>
      <c r="AN1212">
        <f>Lab_Data[[#This Row],[YearsAtCompany]]</f>
        <v>14</v>
      </c>
      <c r="AO1212" t="str">
        <f>IF(Lab_Data[[#This Row],[PerformanceRating]]&gt;=3,"Approved","Review Required")</f>
        <v>Approved</v>
      </c>
    </row>
    <row r="1213" spans="1:41"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t="str">
        <f>"LAB-"&amp;Lab_Data[[#This Row],[EmployeeNumber]]</f>
        <v>LAB-1700</v>
      </c>
      <c r="AK1213" t="str">
        <f>Lab_Data[[#This Row],[JobRole]]</f>
        <v>Sales Executive</v>
      </c>
      <c r="AL1213" t="str">
        <f>Lab_Data[[#This Row],[Department]]</f>
        <v>Sales</v>
      </c>
      <c r="AM1213" t="str">
        <f>IF(Lab_Data[[#This Row],[Attrition]]="Yes","Failed","Completed")</f>
        <v>Completed</v>
      </c>
      <c r="AN1213">
        <f>Lab_Data[[#This Row],[YearsAtCompany]]</f>
        <v>6</v>
      </c>
      <c r="AO1213" t="str">
        <f>IF(Lab_Data[[#This Row],[PerformanceRating]]&gt;=3,"Approved","Review Required")</f>
        <v>Approved</v>
      </c>
    </row>
    <row r="1214" spans="1:41"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t="str">
        <f>"LAB-"&amp;Lab_Data[[#This Row],[EmployeeNumber]]</f>
        <v>LAB-1701</v>
      </c>
      <c r="AK1214" t="str">
        <f>Lab_Data[[#This Row],[JobRole]]</f>
        <v>Research Scientist</v>
      </c>
      <c r="AL1214" t="str">
        <f>Lab_Data[[#This Row],[Department]]</f>
        <v>Research &amp; Development</v>
      </c>
      <c r="AM1214" t="str">
        <f>IF(Lab_Data[[#This Row],[Attrition]]="Yes","Failed","Completed")</f>
        <v>Completed</v>
      </c>
      <c r="AN1214">
        <f>Lab_Data[[#This Row],[YearsAtCompany]]</f>
        <v>10</v>
      </c>
      <c r="AO1214" t="str">
        <f>IF(Lab_Data[[#This Row],[PerformanceRating]]&gt;=3,"Approved","Review Required")</f>
        <v>Approved</v>
      </c>
    </row>
    <row r="1215" spans="1:41"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t="str">
        <f>"LAB-"&amp;Lab_Data[[#This Row],[EmployeeNumber]]</f>
        <v>LAB-1702</v>
      </c>
      <c r="AK1215" t="str">
        <f>Lab_Data[[#This Row],[JobRole]]</f>
        <v>Sales Representative</v>
      </c>
      <c r="AL1215" t="str">
        <f>Lab_Data[[#This Row],[Department]]</f>
        <v>Sales</v>
      </c>
      <c r="AM1215" t="str">
        <f>IF(Lab_Data[[#This Row],[Attrition]]="Yes","Failed","Completed")</f>
        <v>Failed</v>
      </c>
      <c r="AN1215">
        <f>Lab_Data[[#This Row],[YearsAtCompany]]</f>
        <v>3</v>
      </c>
      <c r="AO1215" t="str">
        <f>IF(Lab_Data[[#This Row],[PerformanceRating]]&gt;=3,"Approved","Review Required")</f>
        <v>Approved</v>
      </c>
    </row>
    <row r="1216" spans="1:41"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t="str">
        <f>"LAB-"&amp;Lab_Data[[#This Row],[EmployeeNumber]]</f>
        <v>LAB-1703</v>
      </c>
      <c r="AK1216" t="str">
        <f>Lab_Data[[#This Row],[JobRole]]</f>
        <v>Healthcare Representative</v>
      </c>
      <c r="AL1216" t="str">
        <f>Lab_Data[[#This Row],[Department]]</f>
        <v>Research &amp; Development</v>
      </c>
      <c r="AM1216" t="str">
        <f>IF(Lab_Data[[#This Row],[Attrition]]="Yes","Failed","Completed")</f>
        <v>Completed</v>
      </c>
      <c r="AN1216">
        <f>Lab_Data[[#This Row],[YearsAtCompany]]</f>
        <v>8</v>
      </c>
      <c r="AO1216" t="str">
        <f>IF(Lab_Data[[#This Row],[PerformanceRating]]&gt;=3,"Approved","Review Required")</f>
        <v>Approved</v>
      </c>
    </row>
    <row r="1217" spans="1:41"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t="str">
        <f>"LAB-"&amp;Lab_Data[[#This Row],[EmployeeNumber]]</f>
        <v>LAB-1704</v>
      </c>
      <c r="AK1217" t="str">
        <f>Lab_Data[[#This Row],[JobRole]]</f>
        <v>Research Scientist</v>
      </c>
      <c r="AL1217" t="str">
        <f>Lab_Data[[#This Row],[Department]]</f>
        <v>Research &amp; Development</v>
      </c>
      <c r="AM1217" t="str">
        <f>IF(Lab_Data[[#This Row],[Attrition]]="Yes","Failed","Completed")</f>
        <v>Completed</v>
      </c>
      <c r="AN1217">
        <f>Lab_Data[[#This Row],[YearsAtCompany]]</f>
        <v>5</v>
      </c>
      <c r="AO1217" t="str">
        <f>IF(Lab_Data[[#This Row],[PerformanceRating]]&gt;=3,"Approved","Review Required")</f>
        <v>Approved</v>
      </c>
    </row>
    <row r="1218" spans="1:41"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t="str">
        <f>"LAB-"&amp;Lab_Data[[#This Row],[EmployeeNumber]]</f>
        <v>LAB-1706</v>
      </c>
      <c r="AK1218" t="str">
        <f>Lab_Data[[#This Row],[JobRole]]</f>
        <v>Sales Executive</v>
      </c>
      <c r="AL1218" t="str">
        <f>Lab_Data[[#This Row],[Department]]</f>
        <v>Sales</v>
      </c>
      <c r="AM1218" t="str">
        <f>IF(Lab_Data[[#This Row],[Attrition]]="Yes","Failed","Completed")</f>
        <v>Completed</v>
      </c>
      <c r="AN1218">
        <f>Lab_Data[[#This Row],[YearsAtCompany]]</f>
        <v>10</v>
      </c>
      <c r="AO1218" t="str">
        <f>IF(Lab_Data[[#This Row],[PerformanceRating]]&gt;=3,"Approved","Review Required")</f>
        <v>Approved</v>
      </c>
    </row>
    <row r="1219" spans="1:41"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t="str">
        <f>"LAB-"&amp;Lab_Data[[#This Row],[EmployeeNumber]]</f>
        <v>LAB-1707</v>
      </c>
      <c r="AK1219" t="str">
        <f>Lab_Data[[#This Row],[JobRole]]</f>
        <v>Research Scientist</v>
      </c>
      <c r="AL1219" t="str">
        <f>Lab_Data[[#This Row],[Department]]</f>
        <v>Research &amp; Development</v>
      </c>
      <c r="AM1219" t="str">
        <f>IF(Lab_Data[[#This Row],[Attrition]]="Yes","Failed","Completed")</f>
        <v>Completed</v>
      </c>
      <c r="AN1219">
        <f>Lab_Data[[#This Row],[YearsAtCompany]]</f>
        <v>5</v>
      </c>
      <c r="AO1219" t="str">
        <f>IF(Lab_Data[[#This Row],[PerformanceRating]]&gt;=3,"Approved","Review Required")</f>
        <v>Approved</v>
      </c>
    </row>
    <row r="1220" spans="1:41"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t="str">
        <f>"LAB-"&amp;Lab_Data[[#This Row],[EmployeeNumber]]</f>
        <v>LAB-1708</v>
      </c>
      <c r="AK1220" t="str">
        <f>Lab_Data[[#This Row],[JobRole]]</f>
        <v>Sales Executive</v>
      </c>
      <c r="AL1220" t="str">
        <f>Lab_Data[[#This Row],[Department]]</f>
        <v>Sales</v>
      </c>
      <c r="AM1220" t="str">
        <f>IF(Lab_Data[[#This Row],[Attrition]]="Yes","Failed","Completed")</f>
        <v>Completed</v>
      </c>
      <c r="AN1220">
        <f>Lab_Data[[#This Row],[YearsAtCompany]]</f>
        <v>10</v>
      </c>
      <c r="AO1220" t="str">
        <f>IF(Lab_Data[[#This Row],[PerformanceRating]]&gt;=3,"Approved","Review Required")</f>
        <v>Approved</v>
      </c>
    </row>
    <row r="1221" spans="1:41"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t="str">
        <f>"LAB-"&amp;Lab_Data[[#This Row],[EmployeeNumber]]</f>
        <v>LAB-1709</v>
      </c>
      <c r="AK1221" t="str">
        <f>Lab_Data[[#This Row],[JobRole]]</f>
        <v>Laboratory Technician</v>
      </c>
      <c r="AL1221" t="str">
        <f>Lab_Data[[#This Row],[Department]]</f>
        <v>Research &amp; Development</v>
      </c>
      <c r="AM1221" t="str">
        <f>IF(Lab_Data[[#This Row],[Attrition]]="Yes","Failed","Completed")</f>
        <v>Completed</v>
      </c>
      <c r="AN1221">
        <f>Lab_Data[[#This Row],[YearsAtCompany]]</f>
        <v>5</v>
      </c>
      <c r="AO1221" t="str">
        <f>IF(Lab_Data[[#This Row],[PerformanceRating]]&gt;=3,"Approved","Review Required")</f>
        <v>Approved</v>
      </c>
    </row>
    <row r="1222" spans="1:41"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t="str">
        <f>"LAB-"&amp;Lab_Data[[#This Row],[EmployeeNumber]]</f>
        <v>LAB-1710</v>
      </c>
      <c r="AK1222" t="str">
        <f>Lab_Data[[#This Row],[JobRole]]</f>
        <v>Sales Representative</v>
      </c>
      <c r="AL1222" t="str">
        <f>Lab_Data[[#This Row],[Department]]</f>
        <v>Sales</v>
      </c>
      <c r="AM1222" t="str">
        <f>IF(Lab_Data[[#This Row],[Attrition]]="Yes","Failed","Completed")</f>
        <v>Completed</v>
      </c>
      <c r="AN1222">
        <f>Lab_Data[[#This Row],[YearsAtCompany]]</f>
        <v>13</v>
      </c>
      <c r="AO1222" t="str">
        <f>IF(Lab_Data[[#This Row],[PerformanceRating]]&gt;=3,"Approved","Review Required")</f>
        <v>Approved</v>
      </c>
    </row>
    <row r="1223" spans="1:41"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t="str">
        <f>"LAB-"&amp;Lab_Data[[#This Row],[EmployeeNumber]]</f>
        <v>LAB-1712</v>
      </c>
      <c r="AK1223" t="str">
        <f>Lab_Data[[#This Row],[JobRole]]</f>
        <v>Healthcare Representative</v>
      </c>
      <c r="AL1223" t="str">
        <f>Lab_Data[[#This Row],[Department]]</f>
        <v>Research &amp; Development</v>
      </c>
      <c r="AM1223" t="str">
        <f>IF(Lab_Data[[#This Row],[Attrition]]="Yes","Failed","Completed")</f>
        <v>Completed</v>
      </c>
      <c r="AN1223">
        <f>Lab_Data[[#This Row],[YearsAtCompany]]</f>
        <v>23</v>
      </c>
      <c r="AO1223" t="str">
        <f>IF(Lab_Data[[#This Row],[PerformanceRating]]&gt;=3,"Approved","Review Required")</f>
        <v>Approved</v>
      </c>
    </row>
    <row r="1224" spans="1:41"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t="str">
        <f>"LAB-"&amp;Lab_Data[[#This Row],[EmployeeNumber]]</f>
        <v>LAB-1714</v>
      </c>
      <c r="AK1224" t="str">
        <f>Lab_Data[[#This Row],[JobRole]]</f>
        <v>Human Resources</v>
      </c>
      <c r="AL1224" t="str">
        <f>Lab_Data[[#This Row],[Department]]</f>
        <v>Human Resources</v>
      </c>
      <c r="AM1224" t="str">
        <f>IF(Lab_Data[[#This Row],[Attrition]]="Yes","Failed","Completed")</f>
        <v>Failed</v>
      </c>
      <c r="AN1224">
        <f>Lab_Data[[#This Row],[YearsAtCompany]]</f>
        <v>1</v>
      </c>
      <c r="AO1224" t="str">
        <f>IF(Lab_Data[[#This Row],[PerformanceRating]]&gt;=3,"Approved","Review Required")</f>
        <v>Approved</v>
      </c>
    </row>
    <row r="1225" spans="1:41"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t="str">
        <f>"LAB-"&amp;Lab_Data[[#This Row],[EmployeeNumber]]</f>
        <v>LAB-1716</v>
      </c>
      <c r="AK1225" t="str">
        <f>Lab_Data[[#This Row],[JobRole]]</f>
        <v>Sales Executive</v>
      </c>
      <c r="AL1225" t="str">
        <f>Lab_Data[[#This Row],[Department]]</f>
        <v>Sales</v>
      </c>
      <c r="AM1225" t="str">
        <f>IF(Lab_Data[[#This Row],[Attrition]]="Yes","Failed","Completed")</f>
        <v>Failed</v>
      </c>
      <c r="AN1225">
        <f>Lab_Data[[#This Row],[YearsAtCompany]]</f>
        <v>23</v>
      </c>
      <c r="AO1225" t="str">
        <f>IF(Lab_Data[[#This Row],[PerformanceRating]]&gt;=3,"Approved","Review Required")</f>
        <v>Approved</v>
      </c>
    </row>
    <row r="1226" spans="1:41"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t="str">
        <f>"LAB-"&amp;Lab_Data[[#This Row],[EmployeeNumber]]</f>
        <v>LAB-1718</v>
      </c>
      <c r="AK1226" t="str">
        <f>Lab_Data[[#This Row],[JobRole]]</f>
        <v>Laboratory Technician</v>
      </c>
      <c r="AL1226" t="str">
        <f>Lab_Data[[#This Row],[Department]]</f>
        <v>Research &amp; Development</v>
      </c>
      <c r="AM1226" t="str">
        <f>IF(Lab_Data[[#This Row],[Attrition]]="Yes","Failed","Completed")</f>
        <v>Completed</v>
      </c>
      <c r="AN1226">
        <f>Lab_Data[[#This Row],[YearsAtCompany]]</f>
        <v>3</v>
      </c>
      <c r="AO1226" t="str">
        <f>IF(Lab_Data[[#This Row],[PerformanceRating]]&gt;=3,"Approved","Review Required")</f>
        <v>Approved</v>
      </c>
    </row>
    <row r="1227" spans="1:41"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t="str">
        <f>"LAB-"&amp;Lab_Data[[#This Row],[EmployeeNumber]]</f>
        <v>LAB-1719</v>
      </c>
      <c r="AK1227" t="str">
        <f>Lab_Data[[#This Row],[JobRole]]</f>
        <v>Research Director</v>
      </c>
      <c r="AL1227" t="str">
        <f>Lab_Data[[#This Row],[Department]]</f>
        <v>Research &amp; Development</v>
      </c>
      <c r="AM1227" t="str">
        <f>IF(Lab_Data[[#This Row],[Attrition]]="Yes","Failed","Completed")</f>
        <v>Completed</v>
      </c>
      <c r="AN1227">
        <f>Lab_Data[[#This Row],[YearsAtCompany]]</f>
        <v>21</v>
      </c>
      <c r="AO1227" t="str">
        <f>IF(Lab_Data[[#This Row],[PerformanceRating]]&gt;=3,"Approved","Review Required")</f>
        <v>Approved</v>
      </c>
    </row>
    <row r="1228" spans="1:41"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t="str">
        <f>"LAB-"&amp;Lab_Data[[#This Row],[EmployeeNumber]]</f>
        <v>LAB-1720</v>
      </c>
      <c r="AK1228" t="str">
        <f>Lab_Data[[#This Row],[JobRole]]</f>
        <v>Research Scientist</v>
      </c>
      <c r="AL1228" t="str">
        <f>Lab_Data[[#This Row],[Department]]</f>
        <v>Research &amp; Development</v>
      </c>
      <c r="AM1228" t="str">
        <f>IF(Lab_Data[[#This Row],[Attrition]]="Yes","Failed","Completed")</f>
        <v>Completed</v>
      </c>
      <c r="AN1228">
        <f>Lab_Data[[#This Row],[YearsAtCompany]]</f>
        <v>5</v>
      </c>
      <c r="AO1228" t="str">
        <f>IF(Lab_Data[[#This Row],[PerformanceRating]]&gt;=3,"Approved","Review Required")</f>
        <v>Approved</v>
      </c>
    </row>
    <row r="1229" spans="1:41"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t="str">
        <f>"LAB-"&amp;Lab_Data[[#This Row],[EmployeeNumber]]</f>
        <v>LAB-1721</v>
      </c>
      <c r="AK1229" t="str">
        <f>Lab_Data[[#This Row],[JobRole]]</f>
        <v>Laboratory Technician</v>
      </c>
      <c r="AL1229" t="str">
        <f>Lab_Data[[#This Row],[Department]]</f>
        <v>Research &amp; Development</v>
      </c>
      <c r="AM1229" t="str">
        <f>IF(Lab_Data[[#This Row],[Attrition]]="Yes","Failed","Completed")</f>
        <v>Completed</v>
      </c>
      <c r="AN1229">
        <f>Lab_Data[[#This Row],[YearsAtCompany]]</f>
        <v>5</v>
      </c>
      <c r="AO1229" t="str">
        <f>IF(Lab_Data[[#This Row],[PerformanceRating]]&gt;=3,"Approved","Review Required")</f>
        <v>Approved</v>
      </c>
    </row>
    <row r="1230" spans="1:41"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t="str">
        <f>"LAB-"&amp;Lab_Data[[#This Row],[EmployeeNumber]]</f>
        <v>LAB-1722</v>
      </c>
      <c r="AK1230" t="str">
        <f>Lab_Data[[#This Row],[JobRole]]</f>
        <v>Human Resources</v>
      </c>
      <c r="AL1230" t="str">
        <f>Lab_Data[[#This Row],[Department]]</f>
        <v>Human Resources</v>
      </c>
      <c r="AM1230" t="str">
        <f>IF(Lab_Data[[#This Row],[Attrition]]="Yes","Failed","Completed")</f>
        <v>Completed</v>
      </c>
      <c r="AN1230">
        <f>Lab_Data[[#This Row],[YearsAtCompany]]</f>
        <v>3</v>
      </c>
      <c r="AO1230" t="str">
        <f>IF(Lab_Data[[#This Row],[PerformanceRating]]&gt;=3,"Approved","Review Required")</f>
        <v>Approved</v>
      </c>
    </row>
    <row r="1231" spans="1:41"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t="str">
        <f>"LAB-"&amp;Lab_Data[[#This Row],[EmployeeNumber]]</f>
        <v>LAB-1724</v>
      </c>
      <c r="AK1231" t="str">
        <f>Lab_Data[[#This Row],[JobRole]]</f>
        <v>Manufacturing Director</v>
      </c>
      <c r="AL1231" t="str">
        <f>Lab_Data[[#This Row],[Department]]</f>
        <v>Research &amp; Development</v>
      </c>
      <c r="AM1231" t="str">
        <f>IF(Lab_Data[[#This Row],[Attrition]]="Yes","Failed","Completed")</f>
        <v>Completed</v>
      </c>
      <c r="AN1231">
        <f>Lab_Data[[#This Row],[YearsAtCompany]]</f>
        <v>1</v>
      </c>
      <c r="AO1231" t="str">
        <f>IF(Lab_Data[[#This Row],[PerformanceRating]]&gt;=3,"Approved","Review Required")</f>
        <v>Approved</v>
      </c>
    </row>
    <row r="1232" spans="1:41"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t="str">
        <f>"LAB-"&amp;Lab_Data[[#This Row],[EmployeeNumber]]</f>
        <v>LAB-1725</v>
      </c>
      <c r="AK1232" t="str">
        <f>Lab_Data[[#This Row],[JobRole]]</f>
        <v>Laboratory Technician</v>
      </c>
      <c r="AL1232" t="str">
        <f>Lab_Data[[#This Row],[Department]]</f>
        <v>Research &amp; Development</v>
      </c>
      <c r="AM1232" t="str">
        <f>IF(Lab_Data[[#This Row],[Attrition]]="Yes","Failed","Completed")</f>
        <v>Completed</v>
      </c>
      <c r="AN1232">
        <f>Lab_Data[[#This Row],[YearsAtCompany]]</f>
        <v>6</v>
      </c>
      <c r="AO1232" t="str">
        <f>IF(Lab_Data[[#This Row],[PerformanceRating]]&gt;=3,"Approved","Review Required")</f>
        <v>Approved</v>
      </c>
    </row>
    <row r="1233" spans="1:41"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t="str">
        <f>"LAB-"&amp;Lab_Data[[#This Row],[EmployeeNumber]]</f>
        <v>LAB-1727</v>
      </c>
      <c r="AK1233" t="str">
        <f>Lab_Data[[#This Row],[JobRole]]</f>
        <v>Healthcare Representative</v>
      </c>
      <c r="AL1233" t="str">
        <f>Lab_Data[[#This Row],[Department]]</f>
        <v>Research &amp; Development</v>
      </c>
      <c r="AM1233" t="str">
        <f>IF(Lab_Data[[#This Row],[Attrition]]="Yes","Failed","Completed")</f>
        <v>Completed</v>
      </c>
      <c r="AN1233">
        <f>Lab_Data[[#This Row],[YearsAtCompany]]</f>
        <v>10</v>
      </c>
      <c r="AO1233" t="str">
        <f>IF(Lab_Data[[#This Row],[PerformanceRating]]&gt;=3,"Approved","Review Required")</f>
        <v>Approved</v>
      </c>
    </row>
    <row r="1234" spans="1:41"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t="str">
        <f>"LAB-"&amp;Lab_Data[[#This Row],[EmployeeNumber]]</f>
        <v>LAB-1728</v>
      </c>
      <c r="AK1234" t="str">
        <f>Lab_Data[[#This Row],[JobRole]]</f>
        <v>Manufacturing Director</v>
      </c>
      <c r="AL1234" t="str">
        <f>Lab_Data[[#This Row],[Department]]</f>
        <v>Research &amp; Development</v>
      </c>
      <c r="AM1234" t="str">
        <f>IF(Lab_Data[[#This Row],[Attrition]]="Yes","Failed","Completed")</f>
        <v>Completed</v>
      </c>
      <c r="AN1234">
        <f>Lab_Data[[#This Row],[YearsAtCompany]]</f>
        <v>7</v>
      </c>
      <c r="AO1234" t="str">
        <f>IF(Lab_Data[[#This Row],[PerformanceRating]]&gt;=3,"Approved","Review Required")</f>
        <v>Approved</v>
      </c>
    </row>
    <row r="1235" spans="1:41"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t="str">
        <f>"LAB-"&amp;Lab_Data[[#This Row],[EmployeeNumber]]</f>
        <v>LAB-1729</v>
      </c>
      <c r="AK1235" t="str">
        <f>Lab_Data[[#This Row],[JobRole]]</f>
        <v>Research Scientist</v>
      </c>
      <c r="AL1235" t="str">
        <f>Lab_Data[[#This Row],[Department]]</f>
        <v>Research &amp; Development</v>
      </c>
      <c r="AM1235" t="str">
        <f>IF(Lab_Data[[#This Row],[Attrition]]="Yes","Failed","Completed")</f>
        <v>Completed</v>
      </c>
      <c r="AN1235">
        <f>Lab_Data[[#This Row],[YearsAtCompany]]</f>
        <v>10</v>
      </c>
      <c r="AO1235" t="str">
        <f>IF(Lab_Data[[#This Row],[PerformanceRating]]&gt;=3,"Approved","Review Required")</f>
        <v>Approved</v>
      </c>
    </row>
    <row r="1236" spans="1:41"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t="str">
        <f>"LAB-"&amp;Lab_Data[[#This Row],[EmployeeNumber]]</f>
        <v>LAB-1731</v>
      </c>
      <c r="AK1236" t="str">
        <f>Lab_Data[[#This Row],[JobRole]]</f>
        <v>Sales Executive</v>
      </c>
      <c r="AL1236" t="str">
        <f>Lab_Data[[#This Row],[Department]]</f>
        <v>Sales</v>
      </c>
      <c r="AM1236" t="str">
        <f>IF(Lab_Data[[#This Row],[Attrition]]="Yes","Failed","Completed")</f>
        <v>Completed</v>
      </c>
      <c r="AN1236">
        <f>Lab_Data[[#This Row],[YearsAtCompany]]</f>
        <v>1</v>
      </c>
      <c r="AO1236" t="str">
        <f>IF(Lab_Data[[#This Row],[PerformanceRating]]&gt;=3,"Approved","Review Required")</f>
        <v>Approved</v>
      </c>
    </row>
    <row r="1237" spans="1:41"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t="str">
        <f>"LAB-"&amp;Lab_Data[[#This Row],[EmployeeNumber]]</f>
        <v>LAB-1732</v>
      </c>
      <c r="AK1237" t="str">
        <f>Lab_Data[[#This Row],[JobRole]]</f>
        <v>Sales Executive</v>
      </c>
      <c r="AL1237" t="str">
        <f>Lab_Data[[#This Row],[Department]]</f>
        <v>Sales</v>
      </c>
      <c r="AM1237" t="str">
        <f>IF(Lab_Data[[#This Row],[Attrition]]="Yes","Failed","Completed")</f>
        <v>Completed</v>
      </c>
      <c r="AN1237">
        <f>Lab_Data[[#This Row],[YearsAtCompany]]</f>
        <v>10</v>
      </c>
      <c r="AO1237" t="str">
        <f>IF(Lab_Data[[#This Row],[PerformanceRating]]&gt;=3,"Approved","Review Required")</f>
        <v>Approved</v>
      </c>
    </row>
    <row r="1238" spans="1:41"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t="str">
        <f>"LAB-"&amp;Lab_Data[[#This Row],[EmployeeNumber]]</f>
        <v>LAB-1733</v>
      </c>
      <c r="AK1238" t="str">
        <f>Lab_Data[[#This Row],[JobRole]]</f>
        <v>Sales Executive</v>
      </c>
      <c r="AL1238" t="str">
        <f>Lab_Data[[#This Row],[Department]]</f>
        <v>Sales</v>
      </c>
      <c r="AM1238" t="str">
        <f>IF(Lab_Data[[#This Row],[Attrition]]="Yes","Failed","Completed")</f>
        <v>Failed</v>
      </c>
      <c r="AN1238">
        <f>Lab_Data[[#This Row],[YearsAtCompany]]</f>
        <v>2</v>
      </c>
      <c r="AO1238" t="str">
        <f>IF(Lab_Data[[#This Row],[PerformanceRating]]&gt;=3,"Approved","Review Required")</f>
        <v>Approved</v>
      </c>
    </row>
    <row r="1239" spans="1:41"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t="str">
        <f>"LAB-"&amp;Lab_Data[[#This Row],[EmployeeNumber]]</f>
        <v>LAB-1734</v>
      </c>
      <c r="AK1239" t="str">
        <f>Lab_Data[[#This Row],[JobRole]]</f>
        <v>Sales Executive</v>
      </c>
      <c r="AL1239" t="str">
        <f>Lab_Data[[#This Row],[Department]]</f>
        <v>Sales</v>
      </c>
      <c r="AM1239" t="str">
        <f>IF(Lab_Data[[#This Row],[Attrition]]="Yes","Failed","Completed")</f>
        <v>Failed</v>
      </c>
      <c r="AN1239">
        <f>Lab_Data[[#This Row],[YearsAtCompany]]</f>
        <v>0</v>
      </c>
      <c r="AO1239" t="str">
        <f>IF(Lab_Data[[#This Row],[PerformanceRating]]&gt;=3,"Approved","Review Required")</f>
        <v>Approved</v>
      </c>
    </row>
    <row r="1240" spans="1:41"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t="str">
        <f>"LAB-"&amp;Lab_Data[[#This Row],[EmployeeNumber]]</f>
        <v>LAB-1735</v>
      </c>
      <c r="AK1240" t="str">
        <f>Lab_Data[[#This Row],[JobRole]]</f>
        <v>Laboratory Technician</v>
      </c>
      <c r="AL1240" t="str">
        <f>Lab_Data[[#This Row],[Department]]</f>
        <v>Research &amp; Development</v>
      </c>
      <c r="AM1240" t="str">
        <f>IF(Lab_Data[[#This Row],[Attrition]]="Yes","Failed","Completed")</f>
        <v>Completed</v>
      </c>
      <c r="AN1240">
        <f>Lab_Data[[#This Row],[YearsAtCompany]]</f>
        <v>3</v>
      </c>
      <c r="AO1240" t="str">
        <f>IF(Lab_Data[[#This Row],[PerformanceRating]]&gt;=3,"Approved","Review Required")</f>
        <v>Approved</v>
      </c>
    </row>
    <row r="1241" spans="1:41"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t="str">
        <f>"LAB-"&amp;Lab_Data[[#This Row],[EmployeeNumber]]</f>
        <v>LAB-1736</v>
      </c>
      <c r="AK1241" t="str">
        <f>Lab_Data[[#This Row],[JobRole]]</f>
        <v>Manufacturing Director</v>
      </c>
      <c r="AL1241" t="str">
        <f>Lab_Data[[#This Row],[Department]]</f>
        <v>Research &amp; Development</v>
      </c>
      <c r="AM1241" t="str">
        <f>IF(Lab_Data[[#This Row],[Attrition]]="Yes","Failed","Completed")</f>
        <v>Completed</v>
      </c>
      <c r="AN1241">
        <f>Lab_Data[[#This Row],[YearsAtCompany]]</f>
        <v>5</v>
      </c>
      <c r="AO1241" t="str">
        <f>IF(Lab_Data[[#This Row],[PerformanceRating]]&gt;=3,"Approved","Review Required")</f>
        <v>Approved</v>
      </c>
    </row>
    <row r="1242" spans="1:41"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t="str">
        <f>"LAB-"&amp;Lab_Data[[#This Row],[EmployeeNumber]]</f>
        <v>LAB-1737</v>
      </c>
      <c r="AK1242" t="str">
        <f>Lab_Data[[#This Row],[JobRole]]</f>
        <v>Laboratory Technician</v>
      </c>
      <c r="AL1242" t="str">
        <f>Lab_Data[[#This Row],[Department]]</f>
        <v>Research &amp; Development</v>
      </c>
      <c r="AM1242" t="str">
        <f>IF(Lab_Data[[#This Row],[Attrition]]="Yes","Failed","Completed")</f>
        <v>Completed</v>
      </c>
      <c r="AN1242">
        <f>Lab_Data[[#This Row],[YearsAtCompany]]</f>
        <v>9</v>
      </c>
      <c r="AO1242" t="str">
        <f>IF(Lab_Data[[#This Row],[PerformanceRating]]&gt;=3,"Approved","Review Required")</f>
        <v>Approved</v>
      </c>
    </row>
    <row r="1243" spans="1:41"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t="str">
        <f>"LAB-"&amp;Lab_Data[[#This Row],[EmployeeNumber]]</f>
        <v>LAB-1739</v>
      </c>
      <c r="AK1243" t="str">
        <f>Lab_Data[[#This Row],[JobRole]]</f>
        <v>Sales Executive</v>
      </c>
      <c r="AL1243" t="str">
        <f>Lab_Data[[#This Row],[Department]]</f>
        <v>Sales</v>
      </c>
      <c r="AM1243" t="str">
        <f>IF(Lab_Data[[#This Row],[Attrition]]="Yes","Failed","Completed")</f>
        <v>Completed</v>
      </c>
      <c r="AN1243">
        <f>Lab_Data[[#This Row],[YearsAtCompany]]</f>
        <v>4</v>
      </c>
      <c r="AO1243" t="str">
        <f>IF(Lab_Data[[#This Row],[PerformanceRating]]&gt;=3,"Approved","Review Required")</f>
        <v>Approved</v>
      </c>
    </row>
    <row r="1244" spans="1:41"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t="str">
        <f>"LAB-"&amp;Lab_Data[[#This Row],[EmployeeNumber]]</f>
        <v>LAB-1740</v>
      </c>
      <c r="AK1244" t="str">
        <f>Lab_Data[[#This Row],[JobRole]]</f>
        <v>Manager</v>
      </c>
      <c r="AL1244" t="str">
        <f>Lab_Data[[#This Row],[Department]]</f>
        <v>Sales</v>
      </c>
      <c r="AM1244" t="str">
        <f>IF(Lab_Data[[#This Row],[Attrition]]="Yes","Failed","Completed")</f>
        <v>Completed</v>
      </c>
      <c r="AN1244">
        <f>Lab_Data[[#This Row],[YearsAtCompany]]</f>
        <v>21</v>
      </c>
      <c r="AO1244" t="str">
        <f>IF(Lab_Data[[#This Row],[PerformanceRating]]&gt;=3,"Approved","Review Required")</f>
        <v>Approved</v>
      </c>
    </row>
    <row r="1245" spans="1:41"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t="str">
        <f>"LAB-"&amp;Lab_Data[[#This Row],[EmployeeNumber]]</f>
        <v>LAB-1744</v>
      </c>
      <c r="AK1245" t="str">
        <f>Lab_Data[[#This Row],[JobRole]]</f>
        <v>Human Resources</v>
      </c>
      <c r="AL1245" t="str">
        <f>Lab_Data[[#This Row],[Department]]</f>
        <v>Human Resources</v>
      </c>
      <c r="AM1245" t="str">
        <f>IF(Lab_Data[[#This Row],[Attrition]]="Yes","Failed","Completed")</f>
        <v>Completed</v>
      </c>
      <c r="AN1245">
        <f>Lab_Data[[#This Row],[YearsAtCompany]]</f>
        <v>5</v>
      </c>
      <c r="AO1245" t="str">
        <f>IF(Lab_Data[[#This Row],[PerformanceRating]]&gt;=3,"Approved","Review Required")</f>
        <v>Approved</v>
      </c>
    </row>
    <row r="1246" spans="1:41"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t="str">
        <f>"LAB-"&amp;Lab_Data[[#This Row],[EmployeeNumber]]</f>
        <v>LAB-1745</v>
      </c>
      <c r="AK1246" t="str">
        <f>Lab_Data[[#This Row],[JobRole]]</f>
        <v>Research Scientist</v>
      </c>
      <c r="AL1246" t="str">
        <f>Lab_Data[[#This Row],[Department]]</f>
        <v>Research &amp; Development</v>
      </c>
      <c r="AM1246" t="str">
        <f>IF(Lab_Data[[#This Row],[Attrition]]="Yes","Failed","Completed")</f>
        <v>Completed</v>
      </c>
      <c r="AN1246">
        <f>Lab_Data[[#This Row],[YearsAtCompany]]</f>
        <v>9</v>
      </c>
      <c r="AO1246" t="str">
        <f>IF(Lab_Data[[#This Row],[PerformanceRating]]&gt;=3,"Approved","Review Required")</f>
        <v>Approved</v>
      </c>
    </row>
    <row r="1247" spans="1:41"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t="str">
        <f>"LAB-"&amp;Lab_Data[[#This Row],[EmployeeNumber]]</f>
        <v>LAB-1746</v>
      </c>
      <c r="AK1247" t="str">
        <f>Lab_Data[[#This Row],[JobRole]]</f>
        <v>Human Resources</v>
      </c>
      <c r="AL1247" t="str">
        <f>Lab_Data[[#This Row],[Department]]</f>
        <v>Human Resources</v>
      </c>
      <c r="AM1247" t="str">
        <f>IF(Lab_Data[[#This Row],[Attrition]]="Yes","Failed","Completed")</f>
        <v>Completed</v>
      </c>
      <c r="AN1247">
        <f>Lab_Data[[#This Row],[YearsAtCompany]]</f>
        <v>2</v>
      </c>
      <c r="AO1247" t="str">
        <f>IF(Lab_Data[[#This Row],[PerformanceRating]]&gt;=3,"Approved","Review Required")</f>
        <v>Approved</v>
      </c>
    </row>
    <row r="1248" spans="1:41"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t="str">
        <f>"LAB-"&amp;Lab_Data[[#This Row],[EmployeeNumber]]</f>
        <v>LAB-1747</v>
      </c>
      <c r="AK1248" t="str">
        <f>Lab_Data[[#This Row],[JobRole]]</f>
        <v>Human Resources</v>
      </c>
      <c r="AL1248" t="str">
        <f>Lab_Data[[#This Row],[Department]]</f>
        <v>Human Resources</v>
      </c>
      <c r="AM1248" t="str">
        <f>IF(Lab_Data[[#This Row],[Attrition]]="Yes","Failed","Completed")</f>
        <v>Failed</v>
      </c>
      <c r="AN1248">
        <f>Lab_Data[[#This Row],[YearsAtCompany]]</f>
        <v>4</v>
      </c>
      <c r="AO1248" t="str">
        <f>IF(Lab_Data[[#This Row],[PerformanceRating]]&gt;=3,"Approved","Review Required")</f>
        <v>Approved</v>
      </c>
    </row>
    <row r="1249" spans="1:41"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t="str">
        <f>"LAB-"&amp;Lab_Data[[#This Row],[EmployeeNumber]]</f>
        <v>LAB-1749</v>
      </c>
      <c r="AK1249" t="str">
        <f>Lab_Data[[#This Row],[JobRole]]</f>
        <v>Sales Executive</v>
      </c>
      <c r="AL1249" t="str">
        <f>Lab_Data[[#This Row],[Department]]</f>
        <v>Sales</v>
      </c>
      <c r="AM1249" t="str">
        <f>IF(Lab_Data[[#This Row],[Attrition]]="Yes","Failed","Completed")</f>
        <v>Completed</v>
      </c>
      <c r="AN1249">
        <f>Lab_Data[[#This Row],[YearsAtCompany]]</f>
        <v>5</v>
      </c>
      <c r="AO1249" t="str">
        <f>IF(Lab_Data[[#This Row],[PerformanceRating]]&gt;=3,"Approved","Review Required")</f>
        <v>Approved</v>
      </c>
    </row>
    <row r="1250" spans="1:41"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t="str">
        <f>"LAB-"&amp;Lab_Data[[#This Row],[EmployeeNumber]]</f>
        <v>LAB-1751</v>
      </c>
      <c r="AK1250" t="str">
        <f>Lab_Data[[#This Row],[JobRole]]</f>
        <v>Research Scientist</v>
      </c>
      <c r="AL1250" t="str">
        <f>Lab_Data[[#This Row],[Department]]</f>
        <v>Research &amp; Development</v>
      </c>
      <c r="AM1250" t="str">
        <f>IF(Lab_Data[[#This Row],[Attrition]]="Yes","Failed","Completed")</f>
        <v>Completed</v>
      </c>
      <c r="AN1250">
        <f>Lab_Data[[#This Row],[YearsAtCompany]]</f>
        <v>6</v>
      </c>
      <c r="AO1250" t="str">
        <f>IF(Lab_Data[[#This Row],[PerformanceRating]]&gt;=3,"Approved","Review Required")</f>
        <v>Approved</v>
      </c>
    </row>
    <row r="1251" spans="1:41"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t="str">
        <f>"LAB-"&amp;Lab_Data[[#This Row],[EmployeeNumber]]</f>
        <v>LAB-1752</v>
      </c>
      <c r="AK1251" t="str">
        <f>Lab_Data[[#This Row],[JobRole]]</f>
        <v>Sales Representative</v>
      </c>
      <c r="AL1251" t="str">
        <f>Lab_Data[[#This Row],[Department]]</f>
        <v>Sales</v>
      </c>
      <c r="AM1251" t="str">
        <f>IF(Lab_Data[[#This Row],[Attrition]]="Yes","Failed","Completed")</f>
        <v>Failed</v>
      </c>
      <c r="AN1251">
        <f>Lab_Data[[#This Row],[YearsAtCompany]]</f>
        <v>2</v>
      </c>
      <c r="AO1251" t="str">
        <f>IF(Lab_Data[[#This Row],[PerformanceRating]]&gt;=3,"Approved","Review Required")</f>
        <v>Approved</v>
      </c>
    </row>
    <row r="1252" spans="1:41"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t="str">
        <f>"LAB-"&amp;Lab_Data[[#This Row],[EmployeeNumber]]</f>
        <v>LAB-1753</v>
      </c>
      <c r="AK1252" t="str">
        <f>Lab_Data[[#This Row],[JobRole]]</f>
        <v>Healthcare Representative</v>
      </c>
      <c r="AL1252" t="str">
        <f>Lab_Data[[#This Row],[Department]]</f>
        <v>Research &amp; Development</v>
      </c>
      <c r="AM1252" t="str">
        <f>IF(Lab_Data[[#This Row],[Attrition]]="Yes","Failed","Completed")</f>
        <v>Completed</v>
      </c>
      <c r="AN1252">
        <f>Lab_Data[[#This Row],[YearsAtCompany]]</f>
        <v>3</v>
      </c>
      <c r="AO1252" t="str">
        <f>IF(Lab_Data[[#This Row],[PerformanceRating]]&gt;=3,"Approved","Review Required")</f>
        <v>Approved</v>
      </c>
    </row>
    <row r="1253" spans="1:41"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t="str">
        <f>"LAB-"&amp;Lab_Data[[#This Row],[EmployeeNumber]]</f>
        <v>LAB-1754</v>
      </c>
      <c r="AK1253" t="str">
        <f>Lab_Data[[#This Row],[JobRole]]</f>
        <v>Sales Executive</v>
      </c>
      <c r="AL1253" t="str">
        <f>Lab_Data[[#This Row],[Department]]</f>
        <v>Sales</v>
      </c>
      <c r="AM1253" t="str">
        <f>IF(Lab_Data[[#This Row],[Attrition]]="Yes","Failed","Completed")</f>
        <v>Completed</v>
      </c>
      <c r="AN1253">
        <f>Lab_Data[[#This Row],[YearsAtCompany]]</f>
        <v>7</v>
      </c>
      <c r="AO1253" t="str">
        <f>IF(Lab_Data[[#This Row],[PerformanceRating]]&gt;=3,"Approved","Review Required")</f>
        <v>Approved</v>
      </c>
    </row>
    <row r="1254" spans="1:41"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t="str">
        <f>"LAB-"&amp;Lab_Data[[#This Row],[EmployeeNumber]]</f>
        <v>LAB-1755</v>
      </c>
      <c r="AK1254" t="str">
        <f>Lab_Data[[#This Row],[JobRole]]</f>
        <v>Research Scientist</v>
      </c>
      <c r="AL1254" t="str">
        <f>Lab_Data[[#This Row],[Department]]</f>
        <v>Research &amp; Development</v>
      </c>
      <c r="AM1254" t="str">
        <f>IF(Lab_Data[[#This Row],[Attrition]]="Yes","Failed","Completed")</f>
        <v>Completed</v>
      </c>
      <c r="AN1254">
        <f>Lab_Data[[#This Row],[YearsAtCompany]]</f>
        <v>5</v>
      </c>
      <c r="AO1254" t="str">
        <f>IF(Lab_Data[[#This Row],[PerformanceRating]]&gt;=3,"Approved","Review Required")</f>
        <v>Approved</v>
      </c>
    </row>
    <row r="1255" spans="1:41"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t="str">
        <f>"LAB-"&amp;Lab_Data[[#This Row],[EmployeeNumber]]</f>
        <v>LAB-1756</v>
      </c>
      <c r="AK1255" t="str">
        <f>Lab_Data[[#This Row],[JobRole]]</f>
        <v>Sales Executive</v>
      </c>
      <c r="AL1255" t="str">
        <f>Lab_Data[[#This Row],[Department]]</f>
        <v>Sales</v>
      </c>
      <c r="AM1255" t="str">
        <f>IF(Lab_Data[[#This Row],[Attrition]]="Yes","Failed","Completed")</f>
        <v>Completed</v>
      </c>
      <c r="AN1255">
        <f>Lab_Data[[#This Row],[YearsAtCompany]]</f>
        <v>11</v>
      </c>
      <c r="AO1255" t="str">
        <f>IF(Lab_Data[[#This Row],[PerformanceRating]]&gt;=3,"Approved","Review Required")</f>
        <v>Approved</v>
      </c>
    </row>
    <row r="1256" spans="1:41"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t="str">
        <f>"LAB-"&amp;Lab_Data[[#This Row],[EmployeeNumber]]</f>
        <v>LAB-1757</v>
      </c>
      <c r="AK1256" t="str">
        <f>Lab_Data[[#This Row],[JobRole]]</f>
        <v>Sales Executive</v>
      </c>
      <c r="AL1256" t="str">
        <f>Lab_Data[[#This Row],[Department]]</f>
        <v>Sales</v>
      </c>
      <c r="AM1256" t="str">
        <f>IF(Lab_Data[[#This Row],[Attrition]]="Yes","Failed","Completed")</f>
        <v>Completed</v>
      </c>
      <c r="AN1256">
        <f>Lab_Data[[#This Row],[YearsAtCompany]]</f>
        <v>5</v>
      </c>
      <c r="AO1256" t="str">
        <f>IF(Lab_Data[[#This Row],[PerformanceRating]]&gt;=3,"Approved","Review Required")</f>
        <v>Approved</v>
      </c>
    </row>
    <row r="1257" spans="1:41"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t="str">
        <f>"LAB-"&amp;Lab_Data[[#This Row],[EmployeeNumber]]</f>
        <v>LAB-1758</v>
      </c>
      <c r="AK1257" t="str">
        <f>Lab_Data[[#This Row],[JobRole]]</f>
        <v>Sales Executive</v>
      </c>
      <c r="AL1257" t="str">
        <f>Lab_Data[[#This Row],[Department]]</f>
        <v>Sales</v>
      </c>
      <c r="AM1257" t="str">
        <f>IF(Lab_Data[[#This Row],[Attrition]]="Yes","Failed","Completed")</f>
        <v>Failed</v>
      </c>
      <c r="AN1257">
        <f>Lab_Data[[#This Row],[YearsAtCompany]]</f>
        <v>0</v>
      </c>
      <c r="AO1257" t="str">
        <f>IF(Lab_Data[[#This Row],[PerformanceRating]]&gt;=3,"Approved","Review Required")</f>
        <v>Approved</v>
      </c>
    </row>
    <row r="1258" spans="1:41"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t="str">
        <f>"LAB-"&amp;Lab_Data[[#This Row],[EmployeeNumber]]</f>
        <v>LAB-1760</v>
      </c>
      <c r="AK1258" t="str">
        <f>Lab_Data[[#This Row],[JobRole]]</f>
        <v>Laboratory Technician</v>
      </c>
      <c r="AL1258" t="str">
        <f>Lab_Data[[#This Row],[Department]]</f>
        <v>Research &amp; Development</v>
      </c>
      <c r="AM1258" t="str">
        <f>IF(Lab_Data[[#This Row],[Attrition]]="Yes","Failed","Completed")</f>
        <v>Completed</v>
      </c>
      <c r="AN1258">
        <f>Lab_Data[[#This Row],[YearsAtCompany]]</f>
        <v>6</v>
      </c>
      <c r="AO1258" t="str">
        <f>IF(Lab_Data[[#This Row],[PerformanceRating]]&gt;=3,"Approved","Review Required")</f>
        <v>Approved</v>
      </c>
    </row>
    <row r="1259" spans="1:41"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t="str">
        <f>"LAB-"&amp;Lab_Data[[#This Row],[EmployeeNumber]]</f>
        <v>LAB-1761</v>
      </c>
      <c r="AK1259" t="str">
        <f>Lab_Data[[#This Row],[JobRole]]</f>
        <v>Sales Executive</v>
      </c>
      <c r="AL1259" t="str">
        <f>Lab_Data[[#This Row],[Department]]</f>
        <v>Sales</v>
      </c>
      <c r="AM1259" t="str">
        <f>IF(Lab_Data[[#This Row],[Attrition]]="Yes","Failed","Completed")</f>
        <v>Failed</v>
      </c>
      <c r="AN1259">
        <f>Lab_Data[[#This Row],[YearsAtCompany]]</f>
        <v>1</v>
      </c>
      <c r="AO1259" t="str">
        <f>IF(Lab_Data[[#This Row],[PerformanceRating]]&gt;=3,"Approved","Review Required")</f>
        <v>Approved</v>
      </c>
    </row>
    <row r="1260" spans="1:41"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t="str">
        <f>"LAB-"&amp;Lab_Data[[#This Row],[EmployeeNumber]]</f>
        <v>LAB-1762</v>
      </c>
      <c r="AK1260" t="str">
        <f>Lab_Data[[#This Row],[JobRole]]</f>
        <v>Research Scientist</v>
      </c>
      <c r="AL1260" t="str">
        <f>Lab_Data[[#This Row],[Department]]</f>
        <v>Research &amp; Development</v>
      </c>
      <c r="AM1260" t="str">
        <f>IF(Lab_Data[[#This Row],[Attrition]]="Yes","Failed","Completed")</f>
        <v>Completed</v>
      </c>
      <c r="AN1260">
        <f>Lab_Data[[#This Row],[YearsAtCompany]]</f>
        <v>1</v>
      </c>
      <c r="AO1260" t="str">
        <f>IF(Lab_Data[[#This Row],[PerformanceRating]]&gt;=3,"Approved","Review Required")</f>
        <v>Approved</v>
      </c>
    </row>
    <row r="1261" spans="1:41"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t="str">
        <f>"LAB-"&amp;Lab_Data[[#This Row],[EmployeeNumber]]</f>
        <v>LAB-1763</v>
      </c>
      <c r="AK1261" t="str">
        <f>Lab_Data[[#This Row],[JobRole]]</f>
        <v>Healthcare Representative</v>
      </c>
      <c r="AL1261" t="str">
        <f>Lab_Data[[#This Row],[Department]]</f>
        <v>Research &amp; Development</v>
      </c>
      <c r="AM1261" t="str">
        <f>IF(Lab_Data[[#This Row],[Attrition]]="Yes","Failed","Completed")</f>
        <v>Completed</v>
      </c>
      <c r="AN1261">
        <f>Lab_Data[[#This Row],[YearsAtCompany]]</f>
        <v>7</v>
      </c>
      <c r="AO1261" t="str">
        <f>IF(Lab_Data[[#This Row],[PerformanceRating]]&gt;=3,"Approved","Review Required")</f>
        <v>Approved</v>
      </c>
    </row>
    <row r="1262" spans="1:41"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t="str">
        <f>"LAB-"&amp;Lab_Data[[#This Row],[EmployeeNumber]]</f>
        <v>LAB-1764</v>
      </c>
      <c r="AK1262" t="str">
        <f>Lab_Data[[#This Row],[JobRole]]</f>
        <v>Research Scientist</v>
      </c>
      <c r="AL1262" t="str">
        <f>Lab_Data[[#This Row],[Department]]</f>
        <v>Research &amp; Development</v>
      </c>
      <c r="AM1262" t="str">
        <f>IF(Lab_Data[[#This Row],[Attrition]]="Yes","Failed","Completed")</f>
        <v>Completed</v>
      </c>
      <c r="AN1262">
        <f>Lab_Data[[#This Row],[YearsAtCompany]]</f>
        <v>7</v>
      </c>
      <c r="AO1262" t="str">
        <f>IF(Lab_Data[[#This Row],[PerformanceRating]]&gt;=3,"Approved","Review Required")</f>
        <v>Approved</v>
      </c>
    </row>
    <row r="1263" spans="1:41"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t="str">
        <f>"LAB-"&amp;Lab_Data[[#This Row],[EmployeeNumber]]</f>
        <v>LAB-1766</v>
      </c>
      <c r="AK1263" t="str">
        <f>Lab_Data[[#This Row],[JobRole]]</f>
        <v>Healthcare Representative</v>
      </c>
      <c r="AL1263" t="str">
        <f>Lab_Data[[#This Row],[Department]]</f>
        <v>Research &amp; Development</v>
      </c>
      <c r="AM1263" t="str">
        <f>IF(Lab_Data[[#This Row],[Attrition]]="Yes","Failed","Completed")</f>
        <v>Completed</v>
      </c>
      <c r="AN1263">
        <f>Lab_Data[[#This Row],[YearsAtCompany]]</f>
        <v>1</v>
      </c>
      <c r="AO1263" t="str">
        <f>IF(Lab_Data[[#This Row],[PerformanceRating]]&gt;=3,"Approved","Review Required")</f>
        <v>Approved</v>
      </c>
    </row>
    <row r="1264" spans="1:41"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t="str">
        <f>"LAB-"&amp;Lab_Data[[#This Row],[EmployeeNumber]]</f>
        <v>LAB-1767</v>
      </c>
      <c r="AK1264" t="str">
        <f>Lab_Data[[#This Row],[JobRole]]</f>
        <v>Research Scientist</v>
      </c>
      <c r="AL1264" t="str">
        <f>Lab_Data[[#This Row],[Department]]</f>
        <v>Research &amp; Development</v>
      </c>
      <c r="AM1264" t="str">
        <f>IF(Lab_Data[[#This Row],[Attrition]]="Yes","Failed","Completed")</f>
        <v>Failed</v>
      </c>
      <c r="AN1264">
        <f>Lab_Data[[#This Row],[YearsAtCompany]]</f>
        <v>1</v>
      </c>
      <c r="AO1264" t="str">
        <f>IF(Lab_Data[[#This Row],[PerformanceRating]]&gt;=3,"Approved","Review Required")</f>
        <v>Approved</v>
      </c>
    </row>
    <row r="1265" spans="1:41"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t="str">
        <f>"LAB-"&amp;Lab_Data[[#This Row],[EmployeeNumber]]</f>
        <v>LAB-1768</v>
      </c>
      <c r="AK1265" t="str">
        <f>Lab_Data[[#This Row],[JobRole]]</f>
        <v>Laboratory Technician</v>
      </c>
      <c r="AL1265" t="str">
        <f>Lab_Data[[#This Row],[Department]]</f>
        <v>Research &amp; Development</v>
      </c>
      <c r="AM1265" t="str">
        <f>IF(Lab_Data[[#This Row],[Attrition]]="Yes","Failed","Completed")</f>
        <v>Completed</v>
      </c>
      <c r="AN1265">
        <f>Lab_Data[[#This Row],[YearsAtCompany]]</f>
        <v>5</v>
      </c>
      <c r="AO1265" t="str">
        <f>IF(Lab_Data[[#This Row],[PerformanceRating]]&gt;=3,"Approved","Review Required")</f>
        <v>Approved</v>
      </c>
    </row>
    <row r="1266" spans="1:41"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t="str">
        <f>"LAB-"&amp;Lab_Data[[#This Row],[EmployeeNumber]]</f>
        <v>LAB-1770</v>
      </c>
      <c r="AK1266" t="str">
        <f>Lab_Data[[#This Row],[JobRole]]</f>
        <v>Research Director</v>
      </c>
      <c r="AL1266" t="str">
        <f>Lab_Data[[#This Row],[Department]]</f>
        <v>Research &amp; Development</v>
      </c>
      <c r="AM1266" t="str">
        <f>IF(Lab_Data[[#This Row],[Attrition]]="Yes","Failed","Completed")</f>
        <v>Completed</v>
      </c>
      <c r="AN1266">
        <f>Lab_Data[[#This Row],[YearsAtCompany]]</f>
        <v>1</v>
      </c>
      <c r="AO1266" t="str">
        <f>IF(Lab_Data[[#This Row],[PerformanceRating]]&gt;=3,"Approved","Review Required")</f>
        <v>Approved</v>
      </c>
    </row>
    <row r="1267" spans="1:41"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t="str">
        <f>"LAB-"&amp;Lab_Data[[#This Row],[EmployeeNumber]]</f>
        <v>LAB-1771</v>
      </c>
      <c r="AK1267" t="str">
        <f>Lab_Data[[#This Row],[JobRole]]</f>
        <v>Research Scientist</v>
      </c>
      <c r="AL1267" t="str">
        <f>Lab_Data[[#This Row],[Department]]</f>
        <v>Research &amp; Development</v>
      </c>
      <c r="AM1267" t="str">
        <f>IF(Lab_Data[[#This Row],[Attrition]]="Yes","Failed","Completed")</f>
        <v>Completed</v>
      </c>
      <c r="AN1267">
        <f>Lab_Data[[#This Row],[YearsAtCompany]]</f>
        <v>9</v>
      </c>
      <c r="AO1267" t="str">
        <f>IF(Lab_Data[[#This Row],[PerformanceRating]]&gt;=3,"Approved","Review Required")</f>
        <v>Approved</v>
      </c>
    </row>
    <row r="1268" spans="1:41"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t="str">
        <f>"LAB-"&amp;Lab_Data[[#This Row],[EmployeeNumber]]</f>
        <v>LAB-1772</v>
      </c>
      <c r="AK1268" t="str">
        <f>Lab_Data[[#This Row],[JobRole]]</f>
        <v>Laboratory Technician</v>
      </c>
      <c r="AL1268" t="str">
        <f>Lab_Data[[#This Row],[Department]]</f>
        <v>Research &amp; Development</v>
      </c>
      <c r="AM1268" t="str">
        <f>IF(Lab_Data[[#This Row],[Attrition]]="Yes","Failed","Completed")</f>
        <v>Completed</v>
      </c>
      <c r="AN1268">
        <f>Lab_Data[[#This Row],[YearsAtCompany]]</f>
        <v>5</v>
      </c>
      <c r="AO1268" t="str">
        <f>IF(Lab_Data[[#This Row],[PerformanceRating]]&gt;=3,"Approved","Review Required")</f>
        <v>Approved</v>
      </c>
    </row>
    <row r="1269" spans="1:41"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t="str">
        <f>"LAB-"&amp;Lab_Data[[#This Row],[EmployeeNumber]]</f>
        <v>LAB-1774</v>
      </c>
      <c r="AK1269" t="str">
        <f>Lab_Data[[#This Row],[JobRole]]</f>
        <v>Sales Executive</v>
      </c>
      <c r="AL1269" t="str">
        <f>Lab_Data[[#This Row],[Department]]</f>
        <v>Sales</v>
      </c>
      <c r="AM1269" t="str">
        <f>IF(Lab_Data[[#This Row],[Attrition]]="Yes","Failed","Completed")</f>
        <v>Completed</v>
      </c>
      <c r="AN1269">
        <f>Lab_Data[[#This Row],[YearsAtCompany]]</f>
        <v>15</v>
      </c>
      <c r="AO1269" t="str">
        <f>IF(Lab_Data[[#This Row],[PerformanceRating]]&gt;=3,"Approved","Review Required")</f>
        <v>Approved</v>
      </c>
    </row>
    <row r="1270" spans="1:41"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t="str">
        <f>"LAB-"&amp;Lab_Data[[#This Row],[EmployeeNumber]]</f>
        <v>LAB-1775</v>
      </c>
      <c r="AK1270" t="str">
        <f>Lab_Data[[#This Row],[JobRole]]</f>
        <v>Manufacturing Director</v>
      </c>
      <c r="AL1270" t="str">
        <f>Lab_Data[[#This Row],[Department]]</f>
        <v>Research &amp; Development</v>
      </c>
      <c r="AM1270" t="str">
        <f>IF(Lab_Data[[#This Row],[Attrition]]="Yes","Failed","Completed")</f>
        <v>Completed</v>
      </c>
      <c r="AN1270">
        <f>Lab_Data[[#This Row],[YearsAtCompany]]</f>
        <v>3</v>
      </c>
      <c r="AO1270" t="str">
        <f>IF(Lab_Data[[#This Row],[PerformanceRating]]&gt;=3,"Approved","Review Required")</f>
        <v>Approved</v>
      </c>
    </row>
    <row r="1271" spans="1:41"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t="str">
        <f>"LAB-"&amp;Lab_Data[[#This Row],[EmployeeNumber]]</f>
        <v>LAB-1778</v>
      </c>
      <c r="AK1271" t="str">
        <f>Lab_Data[[#This Row],[JobRole]]</f>
        <v>Human Resources</v>
      </c>
      <c r="AL1271" t="str">
        <f>Lab_Data[[#This Row],[Department]]</f>
        <v>Human Resources</v>
      </c>
      <c r="AM1271" t="str">
        <f>IF(Lab_Data[[#This Row],[Attrition]]="Yes","Failed","Completed")</f>
        <v>Completed</v>
      </c>
      <c r="AN1271">
        <f>Lab_Data[[#This Row],[YearsAtCompany]]</f>
        <v>9</v>
      </c>
      <c r="AO1271" t="str">
        <f>IF(Lab_Data[[#This Row],[PerformanceRating]]&gt;=3,"Approved","Review Required")</f>
        <v>Approved</v>
      </c>
    </row>
    <row r="1272" spans="1:41"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t="str">
        <f>"LAB-"&amp;Lab_Data[[#This Row],[EmployeeNumber]]</f>
        <v>LAB-1779</v>
      </c>
      <c r="AK1272" t="str">
        <f>Lab_Data[[#This Row],[JobRole]]</f>
        <v>Sales Executive</v>
      </c>
      <c r="AL1272" t="str">
        <f>Lab_Data[[#This Row],[Department]]</f>
        <v>Sales</v>
      </c>
      <c r="AM1272" t="str">
        <f>IF(Lab_Data[[#This Row],[Attrition]]="Yes","Failed","Completed")</f>
        <v>Completed</v>
      </c>
      <c r="AN1272">
        <f>Lab_Data[[#This Row],[YearsAtCompany]]</f>
        <v>2</v>
      </c>
      <c r="AO1272" t="str">
        <f>IF(Lab_Data[[#This Row],[PerformanceRating]]&gt;=3,"Approved","Review Required")</f>
        <v>Approved</v>
      </c>
    </row>
    <row r="1273" spans="1:41"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t="str">
        <f>"LAB-"&amp;Lab_Data[[#This Row],[EmployeeNumber]]</f>
        <v>LAB-1780</v>
      </c>
      <c r="AK1273" t="str">
        <f>Lab_Data[[#This Row],[JobRole]]</f>
        <v>Sales Representative</v>
      </c>
      <c r="AL1273" t="str">
        <f>Lab_Data[[#This Row],[Department]]</f>
        <v>Sales</v>
      </c>
      <c r="AM1273" t="str">
        <f>IF(Lab_Data[[#This Row],[Attrition]]="Yes","Failed","Completed")</f>
        <v>Failed</v>
      </c>
      <c r="AN1273">
        <f>Lab_Data[[#This Row],[YearsAtCompany]]</f>
        <v>1</v>
      </c>
      <c r="AO1273" t="str">
        <f>IF(Lab_Data[[#This Row],[PerformanceRating]]&gt;=3,"Approved","Review Required")</f>
        <v>Approved</v>
      </c>
    </row>
    <row r="1274" spans="1:41"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t="str">
        <f>"LAB-"&amp;Lab_Data[[#This Row],[EmployeeNumber]]</f>
        <v>LAB-1782</v>
      </c>
      <c r="AK1274" t="str">
        <f>Lab_Data[[#This Row],[JobRole]]</f>
        <v>Laboratory Technician</v>
      </c>
      <c r="AL1274" t="str">
        <f>Lab_Data[[#This Row],[Department]]</f>
        <v>Research &amp; Development</v>
      </c>
      <c r="AM1274" t="str">
        <f>IF(Lab_Data[[#This Row],[Attrition]]="Yes","Failed","Completed")</f>
        <v>Completed</v>
      </c>
      <c r="AN1274">
        <f>Lab_Data[[#This Row],[YearsAtCompany]]</f>
        <v>5</v>
      </c>
      <c r="AO1274" t="str">
        <f>IF(Lab_Data[[#This Row],[PerformanceRating]]&gt;=3,"Approved","Review Required")</f>
        <v>Approved</v>
      </c>
    </row>
    <row r="1275" spans="1:41"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t="str">
        <f>"LAB-"&amp;Lab_Data[[#This Row],[EmployeeNumber]]</f>
        <v>LAB-1783</v>
      </c>
      <c r="AK1275" t="str">
        <f>Lab_Data[[#This Row],[JobRole]]</f>
        <v>Laboratory Technician</v>
      </c>
      <c r="AL1275" t="str">
        <f>Lab_Data[[#This Row],[Department]]</f>
        <v>Research &amp; Development</v>
      </c>
      <c r="AM1275" t="str">
        <f>IF(Lab_Data[[#This Row],[Attrition]]="Yes","Failed","Completed")</f>
        <v>Failed</v>
      </c>
      <c r="AN1275">
        <f>Lab_Data[[#This Row],[YearsAtCompany]]</f>
        <v>1</v>
      </c>
      <c r="AO1275" t="str">
        <f>IF(Lab_Data[[#This Row],[PerformanceRating]]&gt;=3,"Approved","Review Required")</f>
        <v>Approved</v>
      </c>
    </row>
    <row r="1276" spans="1:41"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t="str">
        <f>"LAB-"&amp;Lab_Data[[#This Row],[EmployeeNumber]]</f>
        <v>LAB-1784</v>
      </c>
      <c r="AK1276" t="str">
        <f>Lab_Data[[#This Row],[JobRole]]</f>
        <v>Sales Executive</v>
      </c>
      <c r="AL1276" t="str">
        <f>Lab_Data[[#This Row],[Department]]</f>
        <v>Sales</v>
      </c>
      <c r="AM1276" t="str">
        <f>IF(Lab_Data[[#This Row],[Attrition]]="Yes","Failed","Completed")</f>
        <v>Completed</v>
      </c>
      <c r="AN1276">
        <f>Lab_Data[[#This Row],[YearsAtCompany]]</f>
        <v>12</v>
      </c>
      <c r="AO1276" t="str">
        <f>IF(Lab_Data[[#This Row],[PerformanceRating]]&gt;=3,"Approved","Review Required")</f>
        <v>Approved</v>
      </c>
    </row>
    <row r="1277" spans="1:41"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t="str">
        <f>"LAB-"&amp;Lab_Data[[#This Row],[EmployeeNumber]]</f>
        <v>LAB-1786</v>
      </c>
      <c r="AK1277" t="str">
        <f>Lab_Data[[#This Row],[JobRole]]</f>
        <v>Manager</v>
      </c>
      <c r="AL1277" t="str">
        <f>Lab_Data[[#This Row],[Department]]</f>
        <v>Research &amp; Development</v>
      </c>
      <c r="AM1277" t="str">
        <f>IF(Lab_Data[[#This Row],[Attrition]]="Yes","Failed","Completed")</f>
        <v>Completed</v>
      </c>
      <c r="AN1277">
        <f>Lab_Data[[#This Row],[YearsAtCompany]]</f>
        <v>2</v>
      </c>
      <c r="AO1277" t="str">
        <f>IF(Lab_Data[[#This Row],[PerformanceRating]]&gt;=3,"Approved","Review Required")</f>
        <v>Approved</v>
      </c>
    </row>
    <row r="1278" spans="1:41"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t="str">
        <f>"LAB-"&amp;Lab_Data[[#This Row],[EmployeeNumber]]</f>
        <v>LAB-1787</v>
      </c>
      <c r="AK1278" t="str">
        <f>Lab_Data[[#This Row],[JobRole]]</f>
        <v>Sales Executive</v>
      </c>
      <c r="AL1278" t="str">
        <f>Lab_Data[[#This Row],[Department]]</f>
        <v>Sales</v>
      </c>
      <c r="AM1278" t="str">
        <f>IF(Lab_Data[[#This Row],[Attrition]]="Yes","Failed","Completed")</f>
        <v>Completed</v>
      </c>
      <c r="AN1278">
        <f>Lab_Data[[#This Row],[YearsAtCompany]]</f>
        <v>5</v>
      </c>
      <c r="AO1278" t="str">
        <f>IF(Lab_Data[[#This Row],[PerformanceRating]]&gt;=3,"Approved","Review Required")</f>
        <v>Approved</v>
      </c>
    </row>
    <row r="1279" spans="1:41"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t="str">
        <f>"LAB-"&amp;Lab_Data[[#This Row],[EmployeeNumber]]</f>
        <v>LAB-1789</v>
      </c>
      <c r="AK1279" t="str">
        <f>Lab_Data[[#This Row],[JobRole]]</f>
        <v>Research Director</v>
      </c>
      <c r="AL1279" t="str">
        <f>Lab_Data[[#This Row],[Department]]</f>
        <v>Research &amp; Development</v>
      </c>
      <c r="AM1279" t="str">
        <f>IF(Lab_Data[[#This Row],[Attrition]]="Yes","Failed","Completed")</f>
        <v>Completed</v>
      </c>
      <c r="AN1279">
        <f>Lab_Data[[#This Row],[YearsAtCompany]]</f>
        <v>2</v>
      </c>
      <c r="AO1279" t="str">
        <f>IF(Lab_Data[[#This Row],[PerformanceRating]]&gt;=3,"Approved","Review Required")</f>
        <v>Approved</v>
      </c>
    </row>
    <row r="1280" spans="1:41"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t="str">
        <f>"LAB-"&amp;Lab_Data[[#This Row],[EmployeeNumber]]</f>
        <v>LAB-1790</v>
      </c>
      <c r="AK1280" t="str">
        <f>Lab_Data[[#This Row],[JobRole]]</f>
        <v>Healthcare Representative</v>
      </c>
      <c r="AL1280" t="str">
        <f>Lab_Data[[#This Row],[Department]]</f>
        <v>Research &amp; Development</v>
      </c>
      <c r="AM1280" t="str">
        <f>IF(Lab_Data[[#This Row],[Attrition]]="Yes","Failed","Completed")</f>
        <v>Completed</v>
      </c>
      <c r="AN1280">
        <f>Lab_Data[[#This Row],[YearsAtCompany]]</f>
        <v>12</v>
      </c>
      <c r="AO1280" t="str">
        <f>IF(Lab_Data[[#This Row],[PerformanceRating]]&gt;=3,"Approved","Review Required")</f>
        <v>Approved</v>
      </c>
    </row>
    <row r="1281" spans="1:41"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t="str">
        <f>"LAB-"&amp;Lab_Data[[#This Row],[EmployeeNumber]]</f>
        <v>LAB-1792</v>
      </c>
      <c r="AK1281" t="str">
        <f>Lab_Data[[#This Row],[JobRole]]</f>
        <v>Research Scientist</v>
      </c>
      <c r="AL1281" t="str">
        <f>Lab_Data[[#This Row],[Department]]</f>
        <v>Research &amp; Development</v>
      </c>
      <c r="AM1281" t="str">
        <f>IF(Lab_Data[[#This Row],[Attrition]]="Yes","Failed","Completed")</f>
        <v>Failed</v>
      </c>
      <c r="AN1281">
        <f>Lab_Data[[#This Row],[YearsAtCompany]]</f>
        <v>5</v>
      </c>
      <c r="AO1281" t="str">
        <f>IF(Lab_Data[[#This Row],[PerformanceRating]]&gt;=3,"Approved","Review Required")</f>
        <v>Approved</v>
      </c>
    </row>
    <row r="1282" spans="1:41"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t="str">
        <f>"LAB-"&amp;Lab_Data[[#This Row],[EmployeeNumber]]</f>
        <v>LAB-1794</v>
      </c>
      <c r="AK1282" t="str">
        <f>Lab_Data[[#This Row],[JobRole]]</f>
        <v>Human Resources</v>
      </c>
      <c r="AL1282" t="str">
        <f>Lab_Data[[#This Row],[Department]]</f>
        <v>Human Resources</v>
      </c>
      <c r="AM1282" t="str">
        <f>IF(Lab_Data[[#This Row],[Attrition]]="Yes","Failed","Completed")</f>
        <v>Completed</v>
      </c>
      <c r="AN1282">
        <f>Lab_Data[[#This Row],[YearsAtCompany]]</f>
        <v>10</v>
      </c>
      <c r="AO1282" t="str">
        <f>IF(Lab_Data[[#This Row],[PerformanceRating]]&gt;=3,"Approved","Review Required")</f>
        <v>Approved</v>
      </c>
    </row>
    <row r="1283" spans="1:41"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t="str">
        <f>"LAB-"&amp;Lab_Data[[#This Row],[EmployeeNumber]]</f>
        <v>LAB-1797</v>
      </c>
      <c r="AK1283" t="str">
        <f>Lab_Data[[#This Row],[JobRole]]</f>
        <v>Sales Executive</v>
      </c>
      <c r="AL1283" t="str">
        <f>Lab_Data[[#This Row],[Department]]</f>
        <v>Sales</v>
      </c>
      <c r="AM1283" t="str">
        <f>IF(Lab_Data[[#This Row],[Attrition]]="Yes","Failed","Completed")</f>
        <v>Failed</v>
      </c>
      <c r="AN1283">
        <f>Lab_Data[[#This Row],[YearsAtCompany]]</f>
        <v>10</v>
      </c>
      <c r="AO1283" t="str">
        <f>IF(Lab_Data[[#This Row],[PerformanceRating]]&gt;=3,"Approved","Review Required")</f>
        <v>Approved</v>
      </c>
    </row>
    <row r="1284" spans="1:41"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t="str">
        <f>"LAB-"&amp;Lab_Data[[#This Row],[EmployeeNumber]]</f>
        <v>LAB-1798</v>
      </c>
      <c r="AK1284" t="str">
        <f>Lab_Data[[#This Row],[JobRole]]</f>
        <v>Research Scientist</v>
      </c>
      <c r="AL1284" t="str">
        <f>Lab_Data[[#This Row],[Department]]</f>
        <v>Research &amp; Development</v>
      </c>
      <c r="AM1284" t="str">
        <f>IF(Lab_Data[[#This Row],[Attrition]]="Yes","Failed","Completed")</f>
        <v>Completed</v>
      </c>
      <c r="AN1284">
        <f>Lab_Data[[#This Row],[YearsAtCompany]]</f>
        <v>10</v>
      </c>
      <c r="AO1284" t="str">
        <f>IF(Lab_Data[[#This Row],[PerformanceRating]]&gt;=3,"Approved","Review Required")</f>
        <v>Approved</v>
      </c>
    </row>
    <row r="1285" spans="1:41"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t="str">
        <f>"LAB-"&amp;Lab_Data[[#This Row],[EmployeeNumber]]</f>
        <v>LAB-1799</v>
      </c>
      <c r="AK1285" t="str">
        <f>Lab_Data[[#This Row],[JobRole]]</f>
        <v>Research Scientist</v>
      </c>
      <c r="AL1285" t="str">
        <f>Lab_Data[[#This Row],[Department]]</f>
        <v>Research &amp; Development</v>
      </c>
      <c r="AM1285" t="str">
        <f>IF(Lab_Data[[#This Row],[Attrition]]="Yes","Failed","Completed")</f>
        <v>Completed</v>
      </c>
      <c r="AN1285">
        <f>Lab_Data[[#This Row],[YearsAtCompany]]</f>
        <v>5</v>
      </c>
      <c r="AO1285" t="str">
        <f>IF(Lab_Data[[#This Row],[PerformanceRating]]&gt;=3,"Approved","Review Required")</f>
        <v>Approved</v>
      </c>
    </row>
    <row r="1286" spans="1:41"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t="str">
        <f>"LAB-"&amp;Lab_Data[[#This Row],[EmployeeNumber]]</f>
        <v>LAB-1800</v>
      </c>
      <c r="AK1286" t="str">
        <f>Lab_Data[[#This Row],[JobRole]]</f>
        <v>Research Director</v>
      </c>
      <c r="AL1286" t="str">
        <f>Lab_Data[[#This Row],[Department]]</f>
        <v>Research &amp; Development</v>
      </c>
      <c r="AM1286" t="str">
        <f>IF(Lab_Data[[#This Row],[Attrition]]="Yes","Failed","Completed")</f>
        <v>Completed</v>
      </c>
      <c r="AN1286">
        <f>Lab_Data[[#This Row],[YearsAtCompany]]</f>
        <v>4</v>
      </c>
      <c r="AO1286" t="str">
        <f>IF(Lab_Data[[#This Row],[PerformanceRating]]&gt;=3,"Approved","Review Required")</f>
        <v>Approved</v>
      </c>
    </row>
    <row r="1287" spans="1:41"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t="str">
        <f>"LAB-"&amp;Lab_Data[[#This Row],[EmployeeNumber]]</f>
        <v>LAB-1801</v>
      </c>
      <c r="AK1287" t="str">
        <f>Lab_Data[[#This Row],[JobRole]]</f>
        <v>Sales Executive</v>
      </c>
      <c r="AL1287" t="str">
        <f>Lab_Data[[#This Row],[Department]]</f>
        <v>Sales</v>
      </c>
      <c r="AM1287" t="str">
        <f>IF(Lab_Data[[#This Row],[Attrition]]="Yes","Failed","Completed")</f>
        <v>Completed</v>
      </c>
      <c r="AN1287">
        <f>Lab_Data[[#This Row],[YearsAtCompany]]</f>
        <v>2</v>
      </c>
      <c r="AO1287" t="str">
        <f>IF(Lab_Data[[#This Row],[PerformanceRating]]&gt;=3,"Approved","Review Required")</f>
        <v>Approved</v>
      </c>
    </row>
    <row r="1288" spans="1:41"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t="str">
        <f>"LAB-"&amp;Lab_Data[[#This Row],[EmployeeNumber]]</f>
        <v>LAB-1802</v>
      </c>
      <c r="AK1288" t="str">
        <f>Lab_Data[[#This Row],[JobRole]]</f>
        <v>Laboratory Technician</v>
      </c>
      <c r="AL1288" t="str">
        <f>Lab_Data[[#This Row],[Department]]</f>
        <v>Research &amp; Development</v>
      </c>
      <c r="AM1288" t="str">
        <f>IF(Lab_Data[[#This Row],[Attrition]]="Yes","Failed","Completed")</f>
        <v>Completed</v>
      </c>
      <c r="AN1288">
        <f>Lab_Data[[#This Row],[YearsAtCompany]]</f>
        <v>4</v>
      </c>
      <c r="AO1288" t="str">
        <f>IF(Lab_Data[[#This Row],[PerformanceRating]]&gt;=3,"Approved","Review Required")</f>
        <v>Approved</v>
      </c>
    </row>
    <row r="1289" spans="1:41"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t="str">
        <f>"LAB-"&amp;Lab_Data[[#This Row],[EmployeeNumber]]</f>
        <v>LAB-1803</v>
      </c>
      <c r="AK1289" t="str">
        <f>Lab_Data[[#This Row],[JobRole]]</f>
        <v>Healthcare Representative</v>
      </c>
      <c r="AL1289" t="str">
        <f>Lab_Data[[#This Row],[Department]]</f>
        <v>Research &amp; Development</v>
      </c>
      <c r="AM1289" t="str">
        <f>IF(Lab_Data[[#This Row],[Attrition]]="Yes","Failed","Completed")</f>
        <v>Completed</v>
      </c>
      <c r="AN1289">
        <f>Lab_Data[[#This Row],[YearsAtCompany]]</f>
        <v>0</v>
      </c>
      <c r="AO1289" t="str">
        <f>IF(Lab_Data[[#This Row],[PerformanceRating]]&gt;=3,"Approved","Review Required")</f>
        <v>Approved</v>
      </c>
    </row>
    <row r="1290" spans="1:41"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t="str">
        <f>"LAB-"&amp;Lab_Data[[#This Row],[EmployeeNumber]]</f>
        <v>LAB-1804</v>
      </c>
      <c r="AK1290" t="str">
        <f>Lab_Data[[#This Row],[JobRole]]</f>
        <v>Manufacturing Director</v>
      </c>
      <c r="AL1290" t="str">
        <f>Lab_Data[[#This Row],[Department]]</f>
        <v>Research &amp; Development</v>
      </c>
      <c r="AM1290" t="str">
        <f>IF(Lab_Data[[#This Row],[Attrition]]="Yes","Failed","Completed")</f>
        <v>Completed</v>
      </c>
      <c r="AN1290">
        <f>Lab_Data[[#This Row],[YearsAtCompany]]</f>
        <v>7</v>
      </c>
      <c r="AO1290" t="str">
        <f>IF(Lab_Data[[#This Row],[PerformanceRating]]&gt;=3,"Approved","Review Required")</f>
        <v>Approved</v>
      </c>
    </row>
    <row r="1291" spans="1:41"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t="str">
        <f>"LAB-"&amp;Lab_Data[[#This Row],[EmployeeNumber]]</f>
        <v>LAB-1805</v>
      </c>
      <c r="AK1291" t="str">
        <f>Lab_Data[[#This Row],[JobRole]]</f>
        <v>Human Resources</v>
      </c>
      <c r="AL1291" t="str">
        <f>Lab_Data[[#This Row],[Department]]</f>
        <v>Human Resources</v>
      </c>
      <c r="AM1291" t="str">
        <f>IF(Lab_Data[[#This Row],[Attrition]]="Yes","Failed","Completed")</f>
        <v>Completed</v>
      </c>
      <c r="AN1291">
        <f>Lab_Data[[#This Row],[YearsAtCompany]]</f>
        <v>11</v>
      </c>
      <c r="AO1291" t="str">
        <f>IF(Lab_Data[[#This Row],[PerformanceRating]]&gt;=3,"Approved","Review Required")</f>
        <v>Approved</v>
      </c>
    </row>
    <row r="1292" spans="1:41"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t="str">
        <f>"LAB-"&amp;Lab_Data[[#This Row],[EmployeeNumber]]</f>
        <v>LAB-1807</v>
      </c>
      <c r="AK1292" t="str">
        <f>Lab_Data[[#This Row],[JobRole]]</f>
        <v>Laboratory Technician</v>
      </c>
      <c r="AL1292" t="str">
        <f>Lab_Data[[#This Row],[Department]]</f>
        <v>Research &amp; Development</v>
      </c>
      <c r="AM1292" t="str">
        <f>IF(Lab_Data[[#This Row],[Attrition]]="Yes","Failed","Completed")</f>
        <v>Failed</v>
      </c>
      <c r="AN1292">
        <f>Lab_Data[[#This Row],[YearsAtCompany]]</f>
        <v>7</v>
      </c>
      <c r="AO1292" t="str">
        <f>IF(Lab_Data[[#This Row],[PerformanceRating]]&gt;=3,"Approved","Review Required")</f>
        <v>Approved</v>
      </c>
    </row>
    <row r="1293" spans="1:41"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t="str">
        <f>"LAB-"&amp;Lab_Data[[#This Row],[EmployeeNumber]]</f>
        <v>LAB-1809</v>
      </c>
      <c r="AK1293" t="str">
        <f>Lab_Data[[#This Row],[JobRole]]</f>
        <v>Manufacturing Director</v>
      </c>
      <c r="AL1293" t="str">
        <f>Lab_Data[[#This Row],[Department]]</f>
        <v>Research &amp; Development</v>
      </c>
      <c r="AM1293" t="str">
        <f>IF(Lab_Data[[#This Row],[Attrition]]="Yes","Failed","Completed")</f>
        <v>Failed</v>
      </c>
      <c r="AN1293">
        <f>Lab_Data[[#This Row],[YearsAtCompany]]</f>
        <v>10</v>
      </c>
      <c r="AO1293" t="str">
        <f>IF(Lab_Data[[#This Row],[PerformanceRating]]&gt;=3,"Approved","Review Required")</f>
        <v>Approved</v>
      </c>
    </row>
    <row r="1294" spans="1:41"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t="str">
        <f>"LAB-"&amp;Lab_Data[[#This Row],[EmployeeNumber]]</f>
        <v>LAB-1812</v>
      </c>
      <c r="AK1294" t="str">
        <f>Lab_Data[[#This Row],[JobRole]]</f>
        <v>Sales Executive</v>
      </c>
      <c r="AL1294" t="str">
        <f>Lab_Data[[#This Row],[Department]]</f>
        <v>Sales</v>
      </c>
      <c r="AM1294" t="str">
        <f>IF(Lab_Data[[#This Row],[Attrition]]="Yes","Failed","Completed")</f>
        <v>Completed</v>
      </c>
      <c r="AN1294">
        <f>Lab_Data[[#This Row],[YearsAtCompany]]</f>
        <v>2</v>
      </c>
      <c r="AO1294" t="str">
        <f>IF(Lab_Data[[#This Row],[PerformanceRating]]&gt;=3,"Approved","Review Required")</f>
        <v>Approved</v>
      </c>
    </row>
    <row r="1295" spans="1:41"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t="str">
        <f>"LAB-"&amp;Lab_Data[[#This Row],[EmployeeNumber]]</f>
        <v>LAB-1813</v>
      </c>
      <c r="AK1295" t="str">
        <f>Lab_Data[[#This Row],[JobRole]]</f>
        <v>Research Scientist</v>
      </c>
      <c r="AL1295" t="str">
        <f>Lab_Data[[#This Row],[Department]]</f>
        <v>Research &amp; Development</v>
      </c>
      <c r="AM1295" t="str">
        <f>IF(Lab_Data[[#This Row],[Attrition]]="Yes","Failed","Completed")</f>
        <v>Completed</v>
      </c>
      <c r="AN1295">
        <f>Lab_Data[[#This Row],[YearsAtCompany]]</f>
        <v>3</v>
      </c>
      <c r="AO1295" t="str">
        <f>IF(Lab_Data[[#This Row],[PerformanceRating]]&gt;=3,"Approved","Review Required")</f>
        <v>Approved</v>
      </c>
    </row>
    <row r="1296" spans="1:41"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t="str">
        <f>"LAB-"&amp;Lab_Data[[#This Row],[EmployeeNumber]]</f>
        <v>LAB-1814</v>
      </c>
      <c r="AK1296" t="str">
        <f>Lab_Data[[#This Row],[JobRole]]</f>
        <v>Healthcare Representative</v>
      </c>
      <c r="AL1296" t="str">
        <f>Lab_Data[[#This Row],[Department]]</f>
        <v>Research &amp; Development</v>
      </c>
      <c r="AM1296" t="str">
        <f>IF(Lab_Data[[#This Row],[Attrition]]="Yes","Failed","Completed")</f>
        <v>Completed</v>
      </c>
      <c r="AN1296">
        <f>Lab_Data[[#This Row],[YearsAtCompany]]</f>
        <v>3</v>
      </c>
      <c r="AO1296" t="str">
        <f>IF(Lab_Data[[#This Row],[PerformanceRating]]&gt;=3,"Approved","Review Required")</f>
        <v>Approved</v>
      </c>
    </row>
    <row r="1297" spans="1:41"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t="str">
        <f>"LAB-"&amp;Lab_Data[[#This Row],[EmployeeNumber]]</f>
        <v>LAB-1815</v>
      </c>
      <c r="AK1297" t="str">
        <f>Lab_Data[[#This Row],[JobRole]]</f>
        <v>Sales Executive</v>
      </c>
      <c r="AL1297" t="str">
        <f>Lab_Data[[#This Row],[Department]]</f>
        <v>Sales</v>
      </c>
      <c r="AM1297" t="str">
        <f>IF(Lab_Data[[#This Row],[Attrition]]="Yes","Failed","Completed")</f>
        <v>Completed</v>
      </c>
      <c r="AN1297">
        <f>Lab_Data[[#This Row],[YearsAtCompany]]</f>
        <v>22</v>
      </c>
      <c r="AO1297" t="str">
        <f>IF(Lab_Data[[#This Row],[PerformanceRating]]&gt;=3,"Approved","Review Required")</f>
        <v>Approved</v>
      </c>
    </row>
    <row r="1298" spans="1:41"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t="str">
        <f>"LAB-"&amp;Lab_Data[[#This Row],[EmployeeNumber]]</f>
        <v>LAB-1816</v>
      </c>
      <c r="AK1298" t="str">
        <f>Lab_Data[[#This Row],[JobRole]]</f>
        <v>Manufacturing Director</v>
      </c>
      <c r="AL1298" t="str">
        <f>Lab_Data[[#This Row],[Department]]</f>
        <v>Research &amp; Development</v>
      </c>
      <c r="AM1298" t="str">
        <f>IF(Lab_Data[[#This Row],[Attrition]]="Yes","Failed","Completed")</f>
        <v>Completed</v>
      </c>
      <c r="AN1298">
        <f>Lab_Data[[#This Row],[YearsAtCompany]]</f>
        <v>7</v>
      </c>
      <c r="AO1298" t="str">
        <f>IF(Lab_Data[[#This Row],[PerformanceRating]]&gt;=3,"Approved","Review Required")</f>
        <v>Approved</v>
      </c>
    </row>
    <row r="1299" spans="1:41"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t="str">
        <f>"LAB-"&amp;Lab_Data[[#This Row],[EmployeeNumber]]</f>
        <v>LAB-1818</v>
      </c>
      <c r="AK1299" t="str">
        <f>Lab_Data[[#This Row],[JobRole]]</f>
        <v>Human Resources</v>
      </c>
      <c r="AL1299" t="str">
        <f>Lab_Data[[#This Row],[Department]]</f>
        <v>Human Resources</v>
      </c>
      <c r="AM1299" t="str">
        <f>IF(Lab_Data[[#This Row],[Attrition]]="Yes","Failed","Completed")</f>
        <v>Failed</v>
      </c>
      <c r="AN1299">
        <f>Lab_Data[[#This Row],[YearsAtCompany]]</f>
        <v>5</v>
      </c>
      <c r="AO1299" t="str">
        <f>IF(Lab_Data[[#This Row],[PerformanceRating]]&gt;=3,"Approved","Review Required")</f>
        <v>Approved</v>
      </c>
    </row>
    <row r="1300" spans="1:41"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t="str">
        <f>"LAB-"&amp;Lab_Data[[#This Row],[EmployeeNumber]]</f>
        <v>LAB-1821</v>
      </c>
      <c r="AK1300" t="str">
        <f>Lab_Data[[#This Row],[JobRole]]</f>
        <v>Healthcare Representative</v>
      </c>
      <c r="AL1300" t="str">
        <f>Lab_Data[[#This Row],[Department]]</f>
        <v>Research &amp; Development</v>
      </c>
      <c r="AM1300" t="str">
        <f>IF(Lab_Data[[#This Row],[Attrition]]="Yes","Failed","Completed")</f>
        <v>Failed</v>
      </c>
      <c r="AN1300">
        <f>Lab_Data[[#This Row],[YearsAtCompany]]</f>
        <v>9</v>
      </c>
      <c r="AO1300" t="str">
        <f>IF(Lab_Data[[#This Row],[PerformanceRating]]&gt;=3,"Approved","Review Required")</f>
        <v>Approved</v>
      </c>
    </row>
    <row r="1301" spans="1:41"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t="str">
        <f>"LAB-"&amp;Lab_Data[[#This Row],[EmployeeNumber]]</f>
        <v>LAB-1822</v>
      </c>
      <c r="AK1301" t="str">
        <f>Lab_Data[[#This Row],[JobRole]]</f>
        <v>Healthcare Representative</v>
      </c>
      <c r="AL1301" t="str">
        <f>Lab_Data[[#This Row],[Department]]</f>
        <v>Research &amp; Development</v>
      </c>
      <c r="AM1301" t="str">
        <f>IF(Lab_Data[[#This Row],[Attrition]]="Yes","Failed","Completed")</f>
        <v>Completed</v>
      </c>
      <c r="AN1301">
        <f>Lab_Data[[#This Row],[YearsAtCompany]]</f>
        <v>5</v>
      </c>
      <c r="AO1301" t="str">
        <f>IF(Lab_Data[[#This Row],[PerformanceRating]]&gt;=3,"Approved","Review Required")</f>
        <v>Approved</v>
      </c>
    </row>
    <row r="1302" spans="1:41"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t="str">
        <f>"LAB-"&amp;Lab_Data[[#This Row],[EmployeeNumber]]</f>
        <v>LAB-1823</v>
      </c>
      <c r="AK1302" t="str">
        <f>Lab_Data[[#This Row],[JobRole]]</f>
        <v>Sales Executive</v>
      </c>
      <c r="AL1302" t="str">
        <f>Lab_Data[[#This Row],[Department]]</f>
        <v>Sales</v>
      </c>
      <c r="AM1302" t="str">
        <f>IF(Lab_Data[[#This Row],[Attrition]]="Yes","Failed","Completed")</f>
        <v>Completed</v>
      </c>
      <c r="AN1302">
        <f>Lab_Data[[#This Row],[YearsAtCompany]]</f>
        <v>10</v>
      </c>
      <c r="AO1302" t="str">
        <f>IF(Lab_Data[[#This Row],[PerformanceRating]]&gt;=3,"Approved","Review Required")</f>
        <v>Approved</v>
      </c>
    </row>
    <row r="1303" spans="1:41"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t="str">
        <f>"LAB-"&amp;Lab_Data[[#This Row],[EmployeeNumber]]</f>
        <v>LAB-1824</v>
      </c>
      <c r="AK1303" t="str">
        <f>Lab_Data[[#This Row],[JobRole]]</f>
        <v>Manager</v>
      </c>
      <c r="AL1303" t="str">
        <f>Lab_Data[[#This Row],[Department]]</f>
        <v>Sales</v>
      </c>
      <c r="AM1303" t="str">
        <f>IF(Lab_Data[[#This Row],[Attrition]]="Yes","Failed","Completed")</f>
        <v>Completed</v>
      </c>
      <c r="AN1303">
        <f>Lab_Data[[#This Row],[YearsAtCompany]]</f>
        <v>16</v>
      </c>
      <c r="AO1303" t="str">
        <f>IF(Lab_Data[[#This Row],[PerformanceRating]]&gt;=3,"Approved","Review Required")</f>
        <v>Approved</v>
      </c>
    </row>
    <row r="1304" spans="1:41"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t="str">
        <f>"LAB-"&amp;Lab_Data[[#This Row],[EmployeeNumber]]</f>
        <v>LAB-1826</v>
      </c>
      <c r="AK1304" t="str">
        <f>Lab_Data[[#This Row],[JobRole]]</f>
        <v>Laboratory Technician</v>
      </c>
      <c r="AL1304" t="str">
        <f>Lab_Data[[#This Row],[Department]]</f>
        <v>Research &amp; Development</v>
      </c>
      <c r="AM1304" t="str">
        <f>IF(Lab_Data[[#This Row],[Attrition]]="Yes","Failed","Completed")</f>
        <v>Completed</v>
      </c>
      <c r="AN1304">
        <f>Lab_Data[[#This Row],[YearsAtCompany]]</f>
        <v>5</v>
      </c>
      <c r="AO1304" t="str">
        <f>IF(Lab_Data[[#This Row],[PerformanceRating]]&gt;=3,"Approved","Review Required")</f>
        <v>Approved</v>
      </c>
    </row>
    <row r="1305" spans="1:41"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t="str">
        <f>"LAB-"&amp;Lab_Data[[#This Row],[EmployeeNumber]]</f>
        <v>LAB-1827</v>
      </c>
      <c r="AK1305" t="str">
        <f>Lab_Data[[#This Row],[JobRole]]</f>
        <v>Manufacturing Director</v>
      </c>
      <c r="AL1305" t="str">
        <f>Lab_Data[[#This Row],[Department]]</f>
        <v>Research &amp; Development</v>
      </c>
      <c r="AM1305" t="str">
        <f>IF(Lab_Data[[#This Row],[Attrition]]="Yes","Failed","Completed")</f>
        <v>Completed</v>
      </c>
      <c r="AN1305">
        <f>Lab_Data[[#This Row],[YearsAtCompany]]</f>
        <v>22</v>
      </c>
      <c r="AO1305" t="str">
        <f>IF(Lab_Data[[#This Row],[PerformanceRating]]&gt;=3,"Approved","Review Required")</f>
        <v>Approved</v>
      </c>
    </row>
    <row r="1306" spans="1:41"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t="str">
        <f>"LAB-"&amp;Lab_Data[[#This Row],[EmployeeNumber]]</f>
        <v>LAB-1829</v>
      </c>
      <c r="AK1306" t="str">
        <f>Lab_Data[[#This Row],[JobRole]]</f>
        <v>Healthcare Representative</v>
      </c>
      <c r="AL1306" t="str">
        <f>Lab_Data[[#This Row],[Department]]</f>
        <v>Research &amp; Development</v>
      </c>
      <c r="AM1306" t="str">
        <f>IF(Lab_Data[[#This Row],[Attrition]]="Yes","Failed","Completed")</f>
        <v>Completed</v>
      </c>
      <c r="AN1306">
        <f>Lab_Data[[#This Row],[YearsAtCompany]]</f>
        <v>7</v>
      </c>
      <c r="AO1306" t="str">
        <f>IF(Lab_Data[[#This Row],[PerformanceRating]]&gt;=3,"Approved","Review Required")</f>
        <v>Approved</v>
      </c>
    </row>
    <row r="1307" spans="1:41"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t="str">
        <f>"LAB-"&amp;Lab_Data[[#This Row],[EmployeeNumber]]</f>
        <v>LAB-1830</v>
      </c>
      <c r="AK1307" t="str">
        <f>Lab_Data[[#This Row],[JobRole]]</f>
        <v>Research Scientist</v>
      </c>
      <c r="AL1307" t="str">
        <f>Lab_Data[[#This Row],[Department]]</f>
        <v>Research &amp; Development</v>
      </c>
      <c r="AM1307" t="str">
        <f>IF(Lab_Data[[#This Row],[Attrition]]="Yes","Failed","Completed")</f>
        <v>Completed</v>
      </c>
      <c r="AN1307">
        <f>Lab_Data[[#This Row],[YearsAtCompany]]</f>
        <v>7</v>
      </c>
      <c r="AO1307" t="str">
        <f>IF(Lab_Data[[#This Row],[PerformanceRating]]&gt;=3,"Approved","Review Required")</f>
        <v>Approved</v>
      </c>
    </row>
    <row r="1308" spans="1:41"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t="str">
        <f>"LAB-"&amp;Lab_Data[[#This Row],[EmployeeNumber]]</f>
        <v>LAB-1833</v>
      </c>
      <c r="AK1308" t="str">
        <f>Lab_Data[[#This Row],[JobRole]]</f>
        <v>Sales Executive</v>
      </c>
      <c r="AL1308" t="str">
        <f>Lab_Data[[#This Row],[Department]]</f>
        <v>Sales</v>
      </c>
      <c r="AM1308" t="str">
        <f>IF(Lab_Data[[#This Row],[Attrition]]="Yes","Failed","Completed")</f>
        <v>Completed</v>
      </c>
      <c r="AN1308">
        <f>Lab_Data[[#This Row],[YearsAtCompany]]</f>
        <v>3</v>
      </c>
      <c r="AO1308" t="str">
        <f>IF(Lab_Data[[#This Row],[PerformanceRating]]&gt;=3,"Approved","Review Required")</f>
        <v>Approved</v>
      </c>
    </row>
    <row r="1309" spans="1:41"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t="str">
        <f>"LAB-"&amp;Lab_Data[[#This Row],[EmployeeNumber]]</f>
        <v>LAB-1834</v>
      </c>
      <c r="AK1309" t="str">
        <f>Lab_Data[[#This Row],[JobRole]]</f>
        <v>Research Scientist</v>
      </c>
      <c r="AL1309" t="str">
        <f>Lab_Data[[#This Row],[Department]]</f>
        <v>Research &amp; Development</v>
      </c>
      <c r="AM1309" t="str">
        <f>IF(Lab_Data[[#This Row],[Attrition]]="Yes","Failed","Completed")</f>
        <v>Completed</v>
      </c>
      <c r="AN1309">
        <f>Lab_Data[[#This Row],[YearsAtCompany]]</f>
        <v>3</v>
      </c>
      <c r="AO1309" t="str">
        <f>IF(Lab_Data[[#This Row],[PerformanceRating]]&gt;=3,"Approved","Review Required")</f>
        <v>Approved</v>
      </c>
    </row>
    <row r="1310" spans="1:41"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t="str">
        <f>"LAB-"&amp;Lab_Data[[#This Row],[EmployeeNumber]]</f>
        <v>LAB-1835</v>
      </c>
      <c r="AK1310" t="str">
        <f>Lab_Data[[#This Row],[JobRole]]</f>
        <v>Sales Representative</v>
      </c>
      <c r="AL1310" t="str">
        <f>Lab_Data[[#This Row],[Department]]</f>
        <v>Sales</v>
      </c>
      <c r="AM1310" t="str">
        <f>IF(Lab_Data[[#This Row],[Attrition]]="Yes","Failed","Completed")</f>
        <v>Completed</v>
      </c>
      <c r="AN1310">
        <f>Lab_Data[[#This Row],[YearsAtCompany]]</f>
        <v>4</v>
      </c>
      <c r="AO1310" t="str">
        <f>IF(Lab_Data[[#This Row],[PerformanceRating]]&gt;=3,"Approved","Review Required")</f>
        <v>Approved</v>
      </c>
    </row>
    <row r="1311" spans="1:41"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t="str">
        <f>"LAB-"&amp;Lab_Data[[#This Row],[EmployeeNumber]]</f>
        <v>LAB-1836</v>
      </c>
      <c r="AK1311" t="str">
        <f>Lab_Data[[#This Row],[JobRole]]</f>
        <v>Sales Executive</v>
      </c>
      <c r="AL1311" t="str">
        <f>Lab_Data[[#This Row],[Department]]</f>
        <v>Sales</v>
      </c>
      <c r="AM1311" t="str">
        <f>IF(Lab_Data[[#This Row],[Attrition]]="Yes","Failed","Completed")</f>
        <v>Completed</v>
      </c>
      <c r="AN1311">
        <f>Lab_Data[[#This Row],[YearsAtCompany]]</f>
        <v>5</v>
      </c>
      <c r="AO1311" t="str">
        <f>IF(Lab_Data[[#This Row],[PerformanceRating]]&gt;=3,"Approved","Review Required")</f>
        <v>Approved</v>
      </c>
    </row>
    <row r="1312" spans="1:41"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t="str">
        <f>"LAB-"&amp;Lab_Data[[#This Row],[EmployeeNumber]]</f>
        <v>LAB-1837</v>
      </c>
      <c r="AK1312" t="str">
        <f>Lab_Data[[#This Row],[JobRole]]</f>
        <v>Research Director</v>
      </c>
      <c r="AL1312" t="str">
        <f>Lab_Data[[#This Row],[Department]]</f>
        <v>Research &amp; Development</v>
      </c>
      <c r="AM1312" t="str">
        <f>IF(Lab_Data[[#This Row],[Attrition]]="Yes","Failed","Completed")</f>
        <v>Completed</v>
      </c>
      <c r="AN1312">
        <f>Lab_Data[[#This Row],[YearsAtCompany]]</f>
        <v>2</v>
      </c>
      <c r="AO1312" t="str">
        <f>IF(Lab_Data[[#This Row],[PerformanceRating]]&gt;=3,"Approved","Review Required")</f>
        <v>Approved</v>
      </c>
    </row>
    <row r="1313" spans="1:41"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t="str">
        <f>"LAB-"&amp;Lab_Data[[#This Row],[EmployeeNumber]]</f>
        <v>LAB-1839</v>
      </c>
      <c r="AK1313" t="str">
        <f>Lab_Data[[#This Row],[JobRole]]</f>
        <v>Research Scientist</v>
      </c>
      <c r="AL1313" t="str">
        <f>Lab_Data[[#This Row],[Department]]</f>
        <v>Research &amp; Development</v>
      </c>
      <c r="AM1313" t="str">
        <f>IF(Lab_Data[[#This Row],[Attrition]]="Yes","Failed","Completed")</f>
        <v>Completed</v>
      </c>
      <c r="AN1313">
        <f>Lab_Data[[#This Row],[YearsAtCompany]]</f>
        <v>0</v>
      </c>
      <c r="AO1313" t="str">
        <f>IF(Lab_Data[[#This Row],[PerformanceRating]]&gt;=3,"Approved","Review Required")</f>
        <v>Approved</v>
      </c>
    </row>
    <row r="1314" spans="1:41"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t="str">
        <f>"LAB-"&amp;Lab_Data[[#This Row],[EmployeeNumber]]</f>
        <v>LAB-1842</v>
      </c>
      <c r="AK1314" t="str">
        <f>Lab_Data[[#This Row],[JobRole]]</f>
        <v>Human Resources</v>
      </c>
      <c r="AL1314" t="str">
        <f>Lab_Data[[#This Row],[Department]]</f>
        <v>Human Resources</v>
      </c>
      <c r="AM1314" t="str">
        <f>IF(Lab_Data[[#This Row],[Attrition]]="Yes","Failed","Completed")</f>
        <v>Failed</v>
      </c>
      <c r="AN1314">
        <f>Lab_Data[[#This Row],[YearsAtCompany]]</f>
        <v>1</v>
      </c>
      <c r="AO1314" t="str">
        <f>IF(Lab_Data[[#This Row],[PerformanceRating]]&gt;=3,"Approved","Review Required")</f>
        <v>Approved</v>
      </c>
    </row>
    <row r="1315" spans="1:41"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t="str">
        <f>"LAB-"&amp;Lab_Data[[#This Row],[EmployeeNumber]]</f>
        <v>LAB-1844</v>
      </c>
      <c r="AK1315" t="str">
        <f>Lab_Data[[#This Row],[JobRole]]</f>
        <v>Human Resources</v>
      </c>
      <c r="AL1315" t="str">
        <f>Lab_Data[[#This Row],[Department]]</f>
        <v>Human Resources</v>
      </c>
      <c r="AM1315" t="str">
        <f>IF(Lab_Data[[#This Row],[Attrition]]="Yes","Failed","Completed")</f>
        <v>Failed</v>
      </c>
      <c r="AN1315">
        <f>Lab_Data[[#This Row],[YearsAtCompany]]</f>
        <v>2</v>
      </c>
      <c r="AO1315" t="str">
        <f>IF(Lab_Data[[#This Row],[PerformanceRating]]&gt;=3,"Approved","Review Required")</f>
        <v>Approved</v>
      </c>
    </row>
    <row r="1316" spans="1:41"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t="str">
        <f>"LAB-"&amp;Lab_Data[[#This Row],[EmployeeNumber]]</f>
        <v>LAB-1845</v>
      </c>
      <c r="AK1316" t="str">
        <f>Lab_Data[[#This Row],[JobRole]]</f>
        <v>Sales Executive</v>
      </c>
      <c r="AL1316" t="str">
        <f>Lab_Data[[#This Row],[Department]]</f>
        <v>Sales</v>
      </c>
      <c r="AM1316" t="str">
        <f>IF(Lab_Data[[#This Row],[Attrition]]="Yes","Failed","Completed")</f>
        <v>Completed</v>
      </c>
      <c r="AN1316">
        <f>Lab_Data[[#This Row],[YearsAtCompany]]</f>
        <v>8</v>
      </c>
      <c r="AO1316" t="str">
        <f>IF(Lab_Data[[#This Row],[PerformanceRating]]&gt;=3,"Approved","Review Required")</f>
        <v>Approved</v>
      </c>
    </row>
    <row r="1317" spans="1:41"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t="str">
        <f>"LAB-"&amp;Lab_Data[[#This Row],[EmployeeNumber]]</f>
        <v>LAB-1847</v>
      </c>
      <c r="AK1317" t="str">
        <f>Lab_Data[[#This Row],[JobRole]]</f>
        <v>Research Scientist</v>
      </c>
      <c r="AL1317" t="str">
        <f>Lab_Data[[#This Row],[Department]]</f>
        <v>Research &amp; Development</v>
      </c>
      <c r="AM1317" t="str">
        <f>IF(Lab_Data[[#This Row],[Attrition]]="Yes","Failed","Completed")</f>
        <v>Completed</v>
      </c>
      <c r="AN1317">
        <f>Lab_Data[[#This Row],[YearsAtCompany]]</f>
        <v>1</v>
      </c>
      <c r="AO1317" t="str">
        <f>IF(Lab_Data[[#This Row],[PerformanceRating]]&gt;=3,"Approved","Review Required")</f>
        <v>Approved</v>
      </c>
    </row>
    <row r="1318" spans="1:41"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t="str">
        <f>"LAB-"&amp;Lab_Data[[#This Row],[EmployeeNumber]]</f>
        <v>LAB-1849</v>
      </c>
      <c r="AK1318" t="str">
        <f>Lab_Data[[#This Row],[JobRole]]</f>
        <v>Sales Executive</v>
      </c>
      <c r="AL1318" t="str">
        <f>Lab_Data[[#This Row],[Department]]</f>
        <v>Sales</v>
      </c>
      <c r="AM1318" t="str">
        <f>IF(Lab_Data[[#This Row],[Attrition]]="Yes","Failed","Completed")</f>
        <v>Completed</v>
      </c>
      <c r="AN1318">
        <f>Lab_Data[[#This Row],[YearsAtCompany]]</f>
        <v>7</v>
      </c>
      <c r="AO1318" t="str">
        <f>IF(Lab_Data[[#This Row],[PerformanceRating]]&gt;=3,"Approved","Review Required")</f>
        <v>Approved</v>
      </c>
    </row>
    <row r="1319" spans="1:41"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t="str">
        <f>"LAB-"&amp;Lab_Data[[#This Row],[EmployeeNumber]]</f>
        <v>LAB-1850</v>
      </c>
      <c r="AK1319" t="str">
        <f>Lab_Data[[#This Row],[JobRole]]</f>
        <v>Laboratory Technician</v>
      </c>
      <c r="AL1319" t="str">
        <f>Lab_Data[[#This Row],[Department]]</f>
        <v>Research &amp; Development</v>
      </c>
      <c r="AM1319" t="str">
        <f>IF(Lab_Data[[#This Row],[Attrition]]="Yes","Failed","Completed")</f>
        <v>Completed</v>
      </c>
      <c r="AN1319">
        <f>Lab_Data[[#This Row],[YearsAtCompany]]</f>
        <v>5</v>
      </c>
      <c r="AO1319" t="str">
        <f>IF(Lab_Data[[#This Row],[PerformanceRating]]&gt;=3,"Approved","Review Required")</f>
        <v>Approved</v>
      </c>
    </row>
    <row r="1320" spans="1:41"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t="str">
        <f>"LAB-"&amp;Lab_Data[[#This Row],[EmployeeNumber]]</f>
        <v>LAB-1852</v>
      </c>
      <c r="AK1320" t="str">
        <f>Lab_Data[[#This Row],[JobRole]]</f>
        <v>Laboratory Technician</v>
      </c>
      <c r="AL1320" t="str">
        <f>Lab_Data[[#This Row],[Department]]</f>
        <v>Research &amp; Development</v>
      </c>
      <c r="AM1320" t="str">
        <f>IF(Lab_Data[[#This Row],[Attrition]]="Yes","Failed","Completed")</f>
        <v>Completed</v>
      </c>
      <c r="AN1320">
        <f>Lab_Data[[#This Row],[YearsAtCompany]]</f>
        <v>11</v>
      </c>
      <c r="AO1320" t="str">
        <f>IF(Lab_Data[[#This Row],[PerformanceRating]]&gt;=3,"Approved","Review Required")</f>
        <v>Approved</v>
      </c>
    </row>
    <row r="1321" spans="1:41"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t="str">
        <f>"LAB-"&amp;Lab_Data[[#This Row],[EmployeeNumber]]</f>
        <v>LAB-1853</v>
      </c>
      <c r="AK1321" t="str">
        <f>Lab_Data[[#This Row],[JobRole]]</f>
        <v>Sales Executive</v>
      </c>
      <c r="AL1321" t="str">
        <f>Lab_Data[[#This Row],[Department]]</f>
        <v>Sales</v>
      </c>
      <c r="AM1321" t="str">
        <f>IF(Lab_Data[[#This Row],[Attrition]]="Yes","Failed","Completed")</f>
        <v>Completed</v>
      </c>
      <c r="AN1321">
        <f>Lab_Data[[#This Row],[YearsAtCompany]]</f>
        <v>0</v>
      </c>
      <c r="AO1321" t="str">
        <f>IF(Lab_Data[[#This Row],[PerformanceRating]]&gt;=3,"Approved","Review Required")</f>
        <v>Approved</v>
      </c>
    </row>
    <row r="1322" spans="1:41"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t="str">
        <f>"LAB-"&amp;Lab_Data[[#This Row],[EmployeeNumber]]</f>
        <v>LAB-1854</v>
      </c>
      <c r="AK1322" t="str">
        <f>Lab_Data[[#This Row],[JobRole]]</f>
        <v>Research Scientist</v>
      </c>
      <c r="AL1322" t="str">
        <f>Lab_Data[[#This Row],[Department]]</f>
        <v>Research &amp; Development</v>
      </c>
      <c r="AM1322" t="str">
        <f>IF(Lab_Data[[#This Row],[Attrition]]="Yes","Failed","Completed")</f>
        <v>Completed</v>
      </c>
      <c r="AN1322">
        <f>Lab_Data[[#This Row],[YearsAtCompany]]</f>
        <v>6</v>
      </c>
      <c r="AO1322" t="str">
        <f>IF(Lab_Data[[#This Row],[PerformanceRating]]&gt;=3,"Approved","Review Required")</f>
        <v>Approved</v>
      </c>
    </row>
    <row r="1323" spans="1:41"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t="str">
        <f>"LAB-"&amp;Lab_Data[[#This Row],[EmployeeNumber]]</f>
        <v>LAB-1856</v>
      </c>
      <c r="AK1323" t="str">
        <f>Lab_Data[[#This Row],[JobRole]]</f>
        <v>Laboratory Technician</v>
      </c>
      <c r="AL1323" t="str">
        <f>Lab_Data[[#This Row],[Department]]</f>
        <v>Research &amp; Development</v>
      </c>
      <c r="AM1323" t="str">
        <f>IF(Lab_Data[[#This Row],[Attrition]]="Yes","Failed","Completed")</f>
        <v>Completed</v>
      </c>
      <c r="AN1323">
        <f>Lab_Data[[#This Row],[YearsAtCompany]]</f>
        <v>2</v>
      </c>
      <c r="AO1323" t="str">
        <f>IF(Lab_Data[[#This Row],[PerformanceRating]]&gt;=3,"Approved","Review Required")</f>
        <v>Approved</v>
      </c>
    </row>
    <row r="1324" spans="1:41"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t="str">
        <f>"LAB-"&amp;Lab_Data[[#This Row],[EmployeeNumber]]</f>
        <v>LAB-1857</v>
      </c>
      <c r="AK1324" t="str">
        <f>Lab_Data[[#This Row],[JobRole]]</f>
        <v>Manufacturing Director</v>
      </c>
      <c r="AL1324" t="str">
        <f>Lab_Data[[#This Row],[Department]]</f>
        <v>Research &amp; Development</v>
      </c>
      <c r="AM1324" t="str">
        <f>IF(Lab_Data[[#This Row],[Attrition]]="Yes","Failed","Completed")</f>
        <v>Completed</v>
      </c>
      <c r="AN1324">
        <f>Lab_Data[[#This Row],[YearsAtCompany]]</f>
        <v>9</v>
      </c>
      <c r="AO1324" t="str">
        <f>IF(Lab_Data[[#This Row],[PerformanceRating]]&gt;=3,"Approved","Review Required")</f>
        <v>Approved</v>
      </c>
    </row>
    <row r="1325" spans="1:41"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t="str">
        <f>"LAB-"&amp;Lab_Data[[#This Row],[EmployeeNumber]]</f>
        <v>LAB-1858</v>
      </c>
      <c r="AK1325" t="str">
        <f>Lab_Data[[#This Row],[JobRole]]</f>
        <v>Human Resources</v>
      </c>
      <c r="AL1325" t="str">
        <f>Lab_Data[[#This Row],[Department]]</f>
        <v>Human Resources</v>
      </c>
      <c r="AM1325" t="str">
        <f>IF(Lab_Data[[#This Row],[Attrition]]="Yes","Failed","Completed")</f>
        <v>Completed</v>
      </c>
      <c r="AN1325">
        <f>Lab_Data[[#This Row],[YearsAtCompany]]</f>
        <v>3</v>
      </c>
      <c r="AO1325" t="str">
        <f>IF(Lab_Data[[#This Row],[PerformanceRating]]&gt;=3,"Approved","Review Required")</f>
        <v>Approved</v>
      </c>
    </row>
    <row r="1326" spans="1:41"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t="str">
        <f>"LAB-"&amp;Lab_Data[[#This Row],[EmployeeNumber]]</f>
        <v>LAB-1859</v>
      </c>
      <c r="AK1326" t="str">
        <f>Lab_Data[[#This Row],[JobRole]]</f>
        <v>Healthcare Representative</v>
      </c>
      <c r="AL1326" t="str">
        <f>Lab_Data[[#This Row],[Department]]</f>
        <v>Research &amp; Development</v>
      </c>
      <c r="AM1326" t="str">
        <f>IF(Lab_Data[[#This Row],[Attrition]]="Yes","Failed","Completed")</f>
        <v>Completed</v>
      </c>
      <c r="AN1326">
        <f>Lab_Data[[#This Row],[YearsAtCompany]]</f>
        <v>7</v>
      </c>
      <c r="AO1326" t="str">
        <f>IF(Lab_Data[[#This Row],[PerformanceRating]]&gt;=3,"Approved","Review Required")</f>
        <v>Approved</v>
      </c>
    </row>
    <row r="1327" spans="1:41"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t="str">
        <f>"LAB-"&amp;Lab_Data[[#This Row],[EmployeeNumber]]</f>
        <v>LAB-1860</v>
      </c>
      <c r="AK1327" t="str">
        <f>Lab_Data[[#This Row],[JobRole]]</f>
        <v>Laboratory Technician</v>
      </c>
      <c r="AL1327" t="str">
        <f>Lab_Data[[#This Row],[Department]]</f>
        <v>Research &amp; Development</v>
      </c>
      <c r="AM1327" t="str">
        <f>IF(Lab_Data[[#This Row],[Attrition]]="Yes","Failed","Completed")</f>
        <v>Completed</v>
      </c>
      <c r="AN1327">
        <f>Lab_Data[[#This Row],[YearsAtCompany]]</f>
        <v>0</v>
      </c>
      <c r="AO1327" t="str">
        <f>IF(Lab_Data[[#This Row],[PerformanceRating]]&gt;=3,"Approved","Review Required")</f>
        <v>Approved</v>
      </c>
    </row>
    <row r="1328" spans="1:41"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t="str">
        <f>"LAB-"&amp;Lab_Data[[#This Row],[EmployeeNumber]]</f>
        <v>LAB-1862</v>
      </c>
      <c r="AK1328" t="str">
        <f>Lab_Data[[#This Row],[JobRole]]</f>
        <v>Sales Executive</v>
      </c>
      <c r="AL1328" t="str">
        <f>Lab_Data[[#This Row],[Department]]</f>
        <v>Sales</v>
      </c>
      <c r="AM1328" t="str">
        <f>IF(Lab_Data[[#This Row],[Attrition]]="Yes","Failed","Completed")</f>
        <v>Failed</v>
      </c>
      <c r="AN1328">
        <f>Lab_Data[[#This Row],[YearsAtCompany]]</f>
        <v>2</v>
      </c>
      <c r="AO1328" t="str">
        <f>IF(Lab_Data[[#This Row],[PerformanceRating]]&gt;=3,"Approved","Review Required")</f>
        <v>Approved</v>
      </c>
    </row>
    <row r="1329" spans="1:41"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t="str">
        <f>"LAB-"&amp;Lab_Data[[#This Row],[EmployeeNumber]]</f>
        <v>LAB-1863</v>
      </c>
      <c r="AK1329" t="str">
        <f>Lab_Data[[#This Row],[JobRole]]</f>
        <v>Sales Executive</v>
      </c>
      <c r="AL1329" t="str">
        <f>Lab_Data[[#This Row],[Department]]</f>
        <v>Sales</v>
      </c>
      <c r="AM1329" t="str">
        <f>IF(Lab_Data[[#This Row],[Attrition]]="Yes","Failed","Completed")</f>
        <v>Completed</v>
      </c>
      <c r="AN1329">
        <f>Lab_Data[[#This Row],[YearsAtCompany]]</f>
        <v>19</v>
      </c>
      <c r="AO1329" t="str">
        <f>IF(Lab_Data[[#This Row],[PerformanceRating]]&gt;=3,"Approved","Review Required")</f>
        <v>Approved</v>
      </c>
    </row>
    <row r="1330" spans="1:41"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t="str">
        <f>"LAB-"&amp;Lab_Data[[#This Row],[EmployeeNumber]]</f>
        <v>LAB-1864</v>
      </c>
      <c r="AK1330" t="str">
        <f>Lab_Data[[#This Row],[JobRole]]</f>
        <v>Sales Representative</v>
      </c>
      <c r="AL1330" t="str">
        <f>Lab_Data[[#This Row],[Department]]</f>
        <v>Sales</v>
      </c>
      <c r="AM1330" t="str">
        <f>IF(Lab_Data[[#This Row],[Attrition]]="Yes","Failed","Completed")</f>
        <v>Completed</v>
      </c>
      <c r="AN1330">
        <f>Lab_Data[[#This Row],[YearsAtCompany]]</f>
        <v>9</v>
      </c>
      <c r="AO1330" t="str">
        <f>IF(Lab_Data[[#This Row],[PerformanceRating]]&gt;=3,"Approved","Review Required")</f>
        <v>Approved</v>
      </c>
    </row>
    <row r="1331" spans="1:41"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t="str">
        <f>"LAB-"&amp;Lab_Data[[#This Row],[EmployeeNumber]]</f>
        <v>LAB-1865</v>
      </c>
      <c r="AK1331" t="str">
        <f>Lab_Data[[#This Row],[JobRole]]</f>
        <v>Human Resources</v>
      </c>
      <c r="AL1331" t="str">
        <f>Lab_Data[[#This Row],[Department]]</f>
        <v>Human Resources</v>
      </c>
      <c r="AM1331" t="str">
        <f>IF(Lab_Data[[#This Row],[Attrition]]="Yes","Failed","Completed")</f>
        <v>Completed</v>
      </c>
      <c r="AN1331">
        <f>Lab_Data[[#This Row],[YearsAtCompany]]</f>
        <v>1</v>
      </c>
      <c r="AO1331" t="str">
        <f>IF(Lab_Data[[#This Row],[PerformanceRating]]&gt;=3,"Approved","Review Required")</f>
        <v>Approved</v>
      </c>
    </row>
    <row r="1332" spans="1:41"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t="str">
        <f>"LAB-"&amp;Lab_Data[[#This Row],[EmployeeNumber]]</f>
        <v>LAB-1866</v>
      </c>
      <c r="AK1332" t="str">
        <f>Lab_Data[[#This Row],[JobRole]]</f>
        <v>Manager</v>
      </c>
      <c r="AL1332" t="str">
        <f>Lab_Data[[#This Row],[Department]]</f>
        <v>Research &amp; Development</v>
      </c>
      <c r="AM1332" t="str">
        <f>IF(Lab_Data[[#This Row],[Attrition]]="Yes","Failed","Completed")</f>
        <v>Completed</v>
      </c>
      <c r="AN1332">
        <f>Lab_Data[[#This Row],[YearsAtCompany]]</f>
        <v>16</v>
      </c>
      <c r="AO1332" t="str">
        <f>IF(Lab_Data[[#This Row],[PerformanceRating]]&gt;=3,"Approved","Review Required")</f>
        <v>Approved</v>
      </c>
    </row>
    <row r="1333" spans="1:41"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t="str">
        <f>"LAB-"&amp;Lab_Data[[#This Row],[EmployeeNumber]]</f>
        <v>LAB-1867</v>
      </c>
      <c r="AK1333" t="str">
        <f>Lab_Data[[#This Row],[JobRole]]</f>
        <v>Research Director</v>
      </c>
      <c r="AL1333" t="str">
        <f>Lab_Data[[#This Row],[Department]]</f>
        <v>Research &amp; Development</v>
      </c>
      <c r="AM1333" t="str">
        <f>IF(Lab_Data[[#This Row],[Attrition]]="Yes","Failed","Completed")</f>
        <v>Completed</v>
      </c>
      <c r="AN1333">
        <f>Lab_Data[[#This Row],[YearsAtCompany]]</f>
        <v>22</v>
      </c>
      <c r="AO1333" t="str">
        <f>IF(Lab_Data[[#This Row],[PerformanceRating]]&gt;=3,"Approved","Review Required")</f>
        <v>Approved</v>
      </c>
    </row>
    <row r="1334" spans="1:41"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t="str">
        <f>"LAB-"&amp;Lab_Data[[#This Row],[EmployeeNumber]]</f>
        <v>LAB-1868</v>
      </c>
      <c r="AK1334" t="str">
        <f>Lab_Data[[#This Row],[JobRole]]</f>
        <v>Research Scientist</v>
      </c>
      <c r="AL1334" t="str">
        <f>Lab_Data[[#This Row],[Department]]</f>
        <v>Research &amp; Development</v>
      </c>
      <c r="AM1334" t="str">
        <f>IF(Lab_Data[[#This Row],[Attrition]]="Yes","Failed","Completed")</f>
        <v>Failed</v>
      </c>
      <c r="AN1334">
        <f>Lab_Data[[#This Row],[YearsAtCompany]]</f>
        <v>1</v>
      </c>
      <c r="AO1334" t="str">
        <f>IF(Lab_Data[[#This Row],[PerformanceRating]]&gt;=3,"Approved","Review Required")</f>
        <v>Approved</v>
      </c>
    </row>
    <row r="1335" spans="1:41"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t="str">
        <f>"LAB-"&amp;Lab_Data[[#This Row],[EmployeeNumber]]</f>
        <v>LAB-1869</v>
      </c>
      <c r="AK1335" t="str">
        <f>Lab_Data[[#This Row],[JobRole]]</f>
        <v>Sales Executive</v>
      </c>
      <c r="AL1335" t="str">
        <f>Lab_Data[[#This Row],[Department]]</f>
        <v>Sales</v>
      </c>
      <c r="AM1335" t="str">
        <f>IF(Lab_Data[[#This Row],[Attrition]]="Yes","Failed","Completed")</f>
        <v>Failed</v>
      </c>
      <c r="AN1335">
        <f>Lab_Data[[#This Row],[YearsAtCompany]]</f>
        <v>8</v>
      </c>
      <c r="AO1335" t="str">
        <f>IF(Lab_Data[[#This Row],[PerformanceRating]]&gt;=3,"Approved","Review Required")</f>
        <v>Approved</v>
      </c>
    </row>
    <row r="1336" spans="1:41"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t="str">
        <f>"LAB-"&amp;Lab_Data[[#This Row],[EmployeeNumber]]</f>
        <v>LAB-1870</v>
      </c>
      <c r="AK1336" t="str">
        <f>Lab_Data[[#This Row],[JobRole]]</f>
        <v>Research Scientist</v>
      </c>
      <c r="AL1336" t="str">
        <f>Lab_Data[[#This Row],[Department]]</f>
        <v>Research &amp; Development</v>
      </c>
      <c r="AM1336" t="str">
        <f>IF(Lab_Data[[#This Row],[Attrition]]="Yes","Failed","Completed")</f>
        <v>Completed</v>
      </c>
      <c r="AN1336">
        <f>Lab_Data[[#This Row],[YearsAtCompany]]</f>
        <v>7</v>
      </c>
      <c r="AO1336" t="str">
        <f>IF(Lab_Data[[#This Row],[PerformanceRating]]&gt;=3,"Approved","Review Required")</f>
        <v>Approved</v>
      </c>
    </row>
    <row r="1337" spans="1:41"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t="str">
        <f>"LAB-"&amp;Lab_Data[[#This Row],[EmployeeNumber]]</f>
        <v>LAB-1871</v>
      </c>
      <c r="AK1337" t="str">
        <f>Lab_Data[[#This Row],[JobRole]]</f>
        <v>Research Scientist</v>
      </c>
      <c r="AL1337" t="str">
        <f>Lab_Data[[#This Row],[Department]]</f>
        <v>Research &amp; Development</v>
      </c>
      <c r="AM1337" t="str">
        <f>IF(Lab_Data[[#This Row],[Attrition]]="Yes","Failed","Completed")</f>
        <v>Completed</v>
      </c>
      <c r="AN1337">
        <f>Lab_Data[[#This Row],[YearsAtCompany]]</f>
        <v>2</v>
      </c>
      <c r="AO1337" t="str">
        <f>IF(Lab_Data[[#This Row],[PerformanceRating]]&gt;=3,"Approved","Review Required")</f>
        <v>Approved</v>
      </c>
    </row>
    <row r="1338" spans="1:41"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t="str">
        <f>"LAB-"&amp;Lab_Data[[#This Row],[EmployeeNumber]]</f>
        <v>LAB-1873</v>
      </c>
      <c r="AK1338" t="str">
        <f>Lab_Data[[#This Row],[JobRole]]</f>
        <v>Research Scientist</v>
      </c>
      <c r="AL1338" t="str">
        <f>Lab_Data[[#This Row],[Department]]</f>
        <v>Research &amp; Development</v>
      </c>
      <c r="AM1338" t="str">
        <f>IF(Lab_Data[[#This Row],[Attrition]]="Yes","Failed","Completed")</f>
        <v>Completed</v>
      </c>
      <c r="AN1338">
        <f>Lab_Data[[#This Row],[YearsAtCompany]]</f>
        <v>5</v>
      </c>
      <c r="AO1338" t="str">
        <f>IF(Lab_Data[[#This Row],[PerformanceRating]]&gt;=3,"Approved","Review Required")</f>
        <v>Approved</v>
      </c>
    </row>
    <row r="1339" spans="1:41"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t="str">
        <f>"LAB-"&amp;Lab_Data[[#This Row],[EmployeeNumber]]</f>
        <v>LAB-1875</v>
      </c>
      <c r="AK1339" t="str">
        <f>Lab_Data[[#This Row],[JobRole]]</f>
        <v>Sales Representative</v>
      </c>
      <c r="AL1339" t="str">
        <f>Lab_Data[[#This Row],[Department]]</f>
        <v>Sales</v>
      </c>
      <c r="AM1339" t="str">
        <f>IF(Lab_Data[[#This Row],[Attrition]]="Yes","Failed","Completed")</f>
        <v>Completed</v>
      </c>
      <c r="AN1339">
        <f>Lab_Data[[#This Row],[YearsAtCompany]]</f>
        <v>1</v>
      </c>
      <c r="AO1339" t="str">
        <f>IF(Lab_Data[[#This Row],[PerformanceRating]]&gt;=3,"Approved","Review Required")</f>
        <v>Approved</v>
      </c>
    </row>
    <row r="1340" spans="1:41"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t="str">
        <f>"LAB-"&amp;Lab_Data[[#This Row],[EmployeeNumber]]</f>
        <v>LAB-1876</v>
      </c>
      <c r="AK1340" t="str">
        <f>Lab_Data[[#This Row],[JobRole]]</f>
        <v>Sales Representative</v>
      </c>
      <c r="AL1340" t="str">
        <f>Lab_Data[[#This Row],[Department]]</f>
        <v>Sales</v>
      </c>
      <c r="AM1340" t="str">
        <f>IF(Lab_Data[[#This Row],[Attrition]]="Yes","Failed","Completed")</f>
        <v>Failed</v>
      </c>
      <c r="AN1340">
        <f>Lab_Data[[#This Row],[YearsAtCompany]]</f>
        <v>1</v>
      </c>
      <c r="AO1340" t="str">
        <f>IF(Lab_Data[[#This Row],[PerformanceRating]]&gt;=3,"Approved","Review Required")</f>
        <v>Approved</v>
      </c>
    </row>
    <row r="1341" spans="1:41"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t="str">
        <f>"LAB-"&amp;Lab_Data[[#This Row],[EmployeeNumber]]</f>
        <v>LAB-1878</v>
      </c>
      <c r="AK1341" t="str">
        <f>Lab_Data[[#This Row],[JobRole]]</f>
        <v>Research Scientist</v>
      </c>
      <c r="AL1341" t="str">
        <f>Lab_Data[[#This Row],[Department]]</f>
        <v>Research &amp; Development</v>
      </c>
      <c r="AM1341" t="str">
        <f>IF(Lab_Data[[#This Row],[Attrition]]="Yes","Failed","Completed")</f>
        <v>Failed</v>
      </c>
      <c r="AN1341">
        <f>Lab_Data[[#This Row],[YearsAtCompany]]</f>
        <v>1</v>
      </c>
      <c r="AO1341" t="str">
        <f>IF(Lab_Data[[#This Row],[PerformanceRating]]&gt;=3,"Approved","Review Required")</f>
        <v>Approved</v>
      </c>
    </row>
    <row r="1342" spans="1:41"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t="str">
        <f>"LAB-"&amp;Lab_Data[[#This Row],[EmployeeNumber]]</f>
        <v>LAB-1880</v>
      </c>
      <c r="AK1342" t="str">
        <f>Lab_Data[[#This Row],[JobRole]]</f>
        <v>Sales Executive</v>
      </c>
      <c r="AL1342" t="str">
        <f>Lab_Data[[#This Row],[Department]]</f>
        <v>Sales</v>
      </c>
      <c r="AM1342" t="str">
        <f>IF(Lab_Data[[#This Row],[Attrition]]="Yes","Failed","Completed")</f>
        <v>Completed</v>
      </c>
      <c r="AN1342">
        <f>Lab_Data[[#This Row],[YearsAtCompany]]</f>
        <v>10</v>
      </c>
      <c r="AO1342" t="str">
        <f>IF(Lab_Data[[#This Row],[PerformanceRating]]&gt;=3,"Approved","Review Required")</f>
        <v>Approved</v>
      </c>
    </row>
    <row r="1343" spans="1:41"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t="str">
        <f>"LAB-"&amp;Lab_Data[[#This Row],[EmployeeNumber]]</f>
        <v>LAB-1881</v>
      </c>
      <c r="AK1343" t="str">
        <f>Lab_Data[[#This Row],[JobRole]]</f>
        <v>Laboratory Technician</v>
      </c>
      <c r="AL1343" t="str">
        <f>Lab_Data[[#This Row],[Department]]</f>
        <v>Research &amp; Development</v>
      </c>
      <c r="AM1343" t="str">
        <f>IF(Lab_Data[[#This Row],[Attrition]]="Yes","Failed","Completed")</f>
        <v>Completed</v>
      </c>
      <c r="AN1343">
        <f>Lab_Data[[#This Row],[YearsAtCompany]]</f>
        <v>10</v>
      </c>
      <c r="AO1343" t="str">
        <f>IF(Lab_Data[[#This Row],[PerformanceRating]]&gt;=3,"Approved","Review Required")</f>
        <v>Approved</v>
      </c>
    </row>
    <row r="1344" spans="1:41"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t="str">
        <f>"LAB-"&amp;Lab_Data[[#This Row],[EmployeeNumber]]</f>
        <v>LAB-1882</v>
      </c>
      <c r="AK1344" t="str">
        <f>Lab_Data[[#This Row],[JobRole]]</f>
        <v>Sales Executive</v>
      </c>
      <c r="AL1344" t="str">
        <f>Lab_Data[[#This Row],[Department]]</f>
        <v>Sales</v>
      </c>
      <c r="AM1344" t="str">
        <f>IF(Lab_Data[[#This Row],[Attrition]]="Yes","Failed","Completed")</f>
        <v>Completed</v>
      </c>
      <c r="AN1344">
        <f>Lab_Data[[#This Row],[YearsAtCompany]]</f>
        <v>5</v>
      </c>
      <c r="AO1344" t="str">
        <f>IF(Lab_Data[[#This Row],[PerformanceRating]]&gt;=3,"Approved","Review Required")</f>
        <v>Approved</v>
      </c>
    </row>
    <row r="1345" spans="1:41"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t="str">
        <f>"LAB-"&amp;Lab_Data[[#This Row],[EmployeeNumber]]</f>
        <v>LAB-1883</v>
      </c>
      <c r="AK1345" t="str">
        <f>Lab_Data[[#This Row],[JobRole]]</f>
        <v>Laboratory Technician</v>
      </c>
      <c r="AL1345" t="str">
        <f>Lab_Data[[#This Row],[Department]]</f>
        <v>Research &amp; Development</v>
      </c>
      <c r="AM1345" t="str">
        <f>IF(Lab_Data[[#This Row],[Attrition]]="Yes","Failed","Completed")</f>
        <v>Completed</v>
      </c>
      <c r="AN1345">
        <f>Lab_Data[[#This Row],[YearsAtCompany]]</f>
        <v>3</v>
      </c>
      <c r="AO1345" t="str">
        <f>IF(Lab_Data[[#This Row],[PerformanceRating]]&gt;=3,"Approved","Review Required")</f>
        <v>Approved</v>
      </c>
    </row>
    <row r="1346" spans="1:41"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t="str">
        <f>"LAB-"&amp;Lab_Data[[#This Row],[EmployeeNumber]]</f>
        <v>LAB-1885</v>
      </c>
      <c r="AK1346" t="str">
        <f>Lab_Data[[#This Row],[JobRole]]</f>
        <v>Research Scientist</v>
      </c>
      <c r="AL1346" t="str">
        <f>Lab_Data[[#This Row],[Department]]</f>
        <v>Research &amp; Development</v>
      </c>
      <c r="AM1346" t="str">
        <f>IF(Lab_Data[[#This Row],[Attrition]]="Yes","Failed","Completed")</f>
        <v>Completed</v>
      </c>
      <c r="AN1346">
        <f>Lab_Data[[#This Row],[YearsAtCompany]]</f>
        <v>5</v>
      </c>
      <c r="AO1346" t="str">
        <f>IF(Lab_Data[[#This Row],[PerformanceRating]]&gt;=3,"Approved","Review Required")</f>
        <v>Approved</v>
      </c>
    </row>
    <row r="1347" spans="1:41"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t="str">
        <f>"LAB-"&amp;Lab_Data[[#This Row],[EmployeeNumber]]</f>
        <v>LAB-1886</v>
      </c>
      <c r="AK1347" t="str">
        <f>Lab_Data[[#This Row],[JobRole]]</f>
        <v>Manufacturing Director</v>
      </c>
      <c r="AL1347" t="str">
        <f>Lab_Data[[#This Row],[Department]]</f>
        <v>Research &amp; Development</v>
      </c>
      <c r="AM1347" t="str">
        <f>IF(Lab_Data[[#This Row],[Attrition]]="Yes","Failed","Completed")</f>
        <v>Completed</v>
      </c>
      <c r="AN1347">
        <f>Lab_Data[[#This Row],[YearsAtCompany]]</f>
        <v>3</v>
      </c>
      <c r="AO1347" t="str">
        <f>IF(Lab_Data[[#This Row],[PerformanceRating]]&gt;=3,"Approved","Review Required")</f>
        <v>Approved</v>
      </c>
    </row>
    <row r="1348" spans="1:41"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t="str">
        <f>"LAB-"&amp;Lab_Data[[#This Row],[EmployeeNumber]]</f>
        <v>LAB-1888</v>
      </c>
      <c r="AK1348" t="str">
        <f>Lab_Data[[#This Row],[JobRole]]</f>
        <v>Manufacturing Director</v>
      </c>
      <c r="AL1348" t="str">
        <f>Lab_Data[[#This Row],[Department]]</f>
        <v>Research &amp; Development</v>
      </c>
      <c r="AM1348" t="str">
        <f>IF(Lab_Data[[#This Row],[Attrition]]="Yes","Failed","Completed")</f>
        <v>Completed</v>
      </c>
      <c r="AN1348">
        <f>Lab_Data[[#This Row],[YearsAtCompany]]</f>
        <v>9</v>
      </c>
      <c r="AO1348" t="str">
        <f>IF(Lab_Data[[#This Row],[PerformanceRating]]&gt;=3,"Approved","Review Required")</f>
        <v>Approved</v>
      </c>
    </row>
    <row r="1349" spans="1:41"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t="str">
        <f>"LAB-"&amp;Lab_Data[[#This Row],[EmployeeNumber]]</f>
        <v>LAB-1890</v>
      </c>
      <c r="AK1349" t="str">
        <f>Lab_Data[[#This Row],[JobRole]]</f>
        <v>Human Resources</v>
      </c>
      <c r="AL1349" t="str">
        <f>Lab_Data[[#This Row],[Department]]</f>
        <v>Human Resources</v>
      </c>
      <c r="AM1349" t="str">
        <f>IF(Lab_Data[[#This Row],[Attrition]]="Yes","Failed","Completed")</f>
        <v>Completed</v>
      </c>
      <c r="AN1349">
        <f>Lab_Data[[#This Row],[YearsAtCompany]]</f>
        <v>10</v>
      </c>
      <c r="AO1349" t="str">
        <f>IF(Lab_Data[[#This Row],[PerformanceRating]]&gt;=3,"Approved","Review Required")</f>
        <v>Approved</v>
      </c>
    </row>
    <row r="1350" spans="1:41"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t="str">
        <f>"LAB-"&amp;Lab_Data[[#This Row],[EmployeeNumber]]</f>
        <v>LAB-1892</v>
      </c>
      <c r="AK1350" t="str">
        <f>Lab_Data[[#This Row],[JobRole]]</f>
        <v>Manager</v>
      </c>
      <c r="AL1350" t="str">
        <f>Lab_Data[[#This Row],[Department]]</f>
        <v>Research &amp; Development</v>
      </c>
      <c r="AM1350" t="str">
        <f>IF(Lab_Data[[#This Row],[Attrition]]="Yes","Failed","Completed")</f>
        <v>Completed</v>
      </c>
      <c r="AN1350">
        <f>Lab_Data[[#This Row],[YearsAtCompany]]</f>
        <v>19</v>
      </c>
      <c r="AO1350" t="str">
        <f>IF(Lab_Data[[#This Row],[PerformanceRating]]&gt;=3,"Approved","Review Required")</f>
        <v>Approved</v>
      </c>
    </row>
    <row r="1351" spans="1:41"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t="str">
        <f>"LAB-"&amp;Lab_Data[[#This Row],[EmployeeNumber]]</f>
        <v>LAB-1893</v>
      </c>
      <c r="AK1351" t="str">
        <f>Lab_Data[[#This Row],[JobRole]]</f>
        <v>Research Scientist</v>
      </c>
      <c r="AL1351" t="str">
        <f>Lab_Data[[#This Row],[Department]]</f>
        <v>Research &amp; Development</v>
      </c>
      <c r="AM1351" t="str">
        <f>IF(Lab_Data[[#This Row],[Attrition]]="Yes","Failed","Completed")</f>
        <v>Completed</v>
      </c>
      <c r="AN1351">
        <f>Lab_Data[[#This Row],[YearsAtCompany]]</f>
        <v>1</v>
      </c>
      <c r="AO1351" t="str">
        <f>IF(Lab_Data[[#This Row],[PerformanceRating]]&gt;=3,"Approved","Review Required")</f>
        <v>Approved</v>
      </c>
    </row>
    <row r="1352" spans="1:41"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t="str">
        <f>"LAB-"&amp;Lab_Data[[#This Row],[EmployeeNumber]]</f>
        <v>LAB-1898</v>
      </c>
      <c r="AK1352" t="str">
        <f>Lab_Data[[#This Row],[JobRole]]</f>
        <v>Sales Executive</v>
      </c>
      <c r="AL1352" t="str">
        <f>Lab_Data[[#This Row],[Department]]</f>
        <v>Sales</v>
      </c>
      <c r="AM1352" t="str">
        <f>IF(Lab_Data[[#This Row],[Attrition]]="Yes","Failed","Completed")</f>
        <v>Completed</v>
      </c>
      <c r="AN1352">
        <f>Lab_Data[[#This Row],[YearsAtCompany]]</f>
        <v>8</v>
      </c>
      <c r="AO1352" t="str">
        <f>IF(Lab_Data[[#This Row],[PerformanceRating]]&gt;=3,"Approved","Review Required")</f>
        <v>Approved</v>
      </c>
    </row>
    <row r="1353" spans="1:41"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t="str">
        <f>"LAB-"&amp;Lab_Data[[#This Row],[EmployeeNumber]]</f>
        <v>LAB-1900</v>
      </c>
      <c r="AK1353" t="str">
        <f>Lab_Data[[#This Row],[JobRole]]</f>
        <v>Manager</v>
      </c>
      <c r="AL1353" t="str">
        <f>Lab_Data[[#This Row],[Department]]</f>
        <v>Research &amp; Development</v>
      </c>
      <c r="AM1353" t="str">
        <f>IF(Lab_Data[[#This Row],[Attrition]]="Yes","Failed","Completed")</f>
        <v>Completed</v>
      </c>
      <c r="AN1353">
        <f>Lab_Data[[#This Row],[YearsAtCompany]]</f>
        <v>22</v>
      </c>
      <c r="AO1353" t="str">
        <f>IF(Lab_Data[[#This Row],[PerformanceRating]]&gt;=3,"Approved","Review Required")</f>
        <v>Approved</v>
      </c>
    </row>
    <row r="1354" spans="1:41"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t="str">
        <f>"LAB-"&amp;Lab_Data[[#This Row],[EmployeeNumber]]</f>
        <v>LAB-1903</v>
      </c>
      <c r="AK1354" t="str">
        <f>Lab_Data[[#This Row],[JobRole]]</f>
        <v>Healthcare Representative</v>
      </c>
      <c r="AL1354" t="str">
        <f>Lab_Data[[#This Row],[Department]]</f>
        <v>Research &amp; Development</v>
      </c>
      <c r="AM1354" t="str">
        <f>IF(Lab_Data[[#This Row],[Attrition]]="Yes","Failed","Completed")</f>
        <v>Completed</v>
      </c>
      <c r="AN1354">
        <f>Lab_Data[[#This Row],[YearsAtCompany]]</f>
        <v>2</v>
      </c>
      <c r="AO1354" t="str">
        <f>IF(Lab_Data[[#This Row],[PerformanceRating]]&gt;=3,"Approved","Review Required")</f>
        <v>Approved</v>
      </c>
    </row>
    <row r="1355" spans="1:41"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t="str">
        <f>"LAB-"&amp;Lab_Data[[#This Row],[EmployeeNumber]]</f>
        <v>LAB-1905</v>
      </c>
      <c r="AK1355" t="str">
        <f>Lab_Data[[#This Row],[JobRole]]</f>
        <v>Research Scientist</v>
      </c>
      <c r="AL1355" t="str">
        <f>Lab_Data[[#This Row],[Department]]</f>
        <v>Research &amp; Development</v>
      </c>
      <c r="AM1355" t="str">
        <f>IF(Lab_Data[[#This Row],[Attrition]]="Yes","Failed","Completed")</f>
        <v>Failed</v>
      </c>
      <c r="AN1355">
        <f>Lab_Data[[#This Row],[YearsAtCompany]]</f>
        <v>5</v>
      </c>
      <c r="AO1355" t="str">
        <f>IF(Lab_Data[[#This Row],[PerformanceRating]]&gt;=3,"Approved","Review Required")</f>
        <v>Approved</v>
      </c>
    </row>
    <row r="1356" spans="1:41"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t="str">
        <f>"LAB-"&amp;Lab_Data[[#This Row],[EmployeeNumber]]</f>
        <v>LAB-1907</v>
      </c>
      <c r="AK1356" t="str">
        <f>Lab_Data[[#This Row],[JobRole]]</f>
        <v>Laboratory Technician</v>
      </c>
      <c r="AL1356" t="str">
        <f>Lab_Data[[#This Row],[Department]]</f>
        <v>Research &amp; Development</v>
      </c>
      <c r="AM1356" t="str">
        <f>IF(Lab_Data[[#This Row],[Attrition]]="Yes","Failed","Completed")</f>
        <v>Failed</v>
      </c>
      <c r="AN1356">
        <f>Lab_Data[[#This Row],[YearsAtCompany]]</f>
        <v>4</v>
      </c>
      <c r="AO1356" t="str">
        <f>IF(Lab_Data[[#This Row],[PerformanceRating]]&gt;=3,"Approved","Review Required")</f>
        <v>Approved</v>
      </c>
    </row>
    <row r="1357" spans="1:41"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t="str">
        <f>"LAB-"&amp;Lab_Data[[#This Row],[EmployeeNumber]]</f>
        <v>LAB-1908</v>
      </c>
      <c r="AK1357" t="str">
        <f>Lab_Data[[#This Row],[JobRole]]</f>
        <v>Sales Executive</v>
      </c>
      <c r="AL1357" t="str">
        <f>Lab_Data[[#This Row],[Department]]</f>
        <v>Sales</v>
      </c>
      <c r="AM1357" t="str">
        <f>IF(Lab_Data[[#This Row],[Attrition]]="Yes","Failed","Completed")</f>
        <v>Completed</v>
      </c>
      <c r="AN1357">
        <f>Lab_Data[[#This Row],[YearsAtCompany]]</f>
        <v>4</v>
      </c>
      <c r="AO1357" t="str">
        <f>IF(Lab_Data[[#This Row],[PerformanceRating]]&gt;=3,"Approved","Review Required")</f>
        <v>Approved</v>
      </c>
    </row>
    <row r="1358" spans="1:41"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t="str">
        <f>"LAB-"&amp;Lab_Data[[#This Row],[EmployeeNumber]]</f>
        <v>LAB-1909</v>
      </c>
      <c r="AK1358" t="str">
        <f>Lab_Data[[#This Row],[JobRole]]</f>
        <v>Sales Executive</v>
      </c>
      <c r="AL1358" t="str">
        <f>Lab_Data[[#This Row],[Department]]</f>
        <v>Sales</v>
      </c>
      <c r="AM1358" t="str">
        <f>IF(Lab_Data[[#This Row],[Attrition]]="Yes","Failed","Completed")</f>
        <v>Completed</v>
      </c>
      <c r="AN1358">
        <f>Lab_Data[[#This Row],[YearsAtCompany]]</f>
        <v>5</v>
      </c>
      <c r="AO1358" t="str">
        <f>IF(Lab_Data[[#This Row],[PerformanceRating]]&gt;=3,"Approved","Review Required")</f>
        <v>Approved</v>
      </c>
    </row>
    <row r="1359" spans="1:41"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t="str">
        <f>"LAB-"&amp;Lab_Data[[#This Row],[EmployeeNumber]]</f>
        <v>LAB-1911</v>
      </c>
      <c r="AK1359" t="str">
        <f>Lab_Data[[#This Row],[JobRole]]</f>
        <v>Research Director</v>
      </c>
      <c r="AL1359" t="str">
        <f>Lab_Data[[#This Row],[Department]]</f>
        <v>Research &amp; Development</v>
      </c>
      <c r="AM1359" t="str">
        <f>IF(Lab_Data[[#This Row],[Attrition]]="Yes","Failed","Completed")</f>
        <v>Completed</v>
      </c>
      <c r="AN1359">
        <f>Lab_Data[[#This Row],[YearsAtCompany]]</f>
        <v>13</v>
      </c>
      <c r="AO1359" t="str">
        <f>IF(Lab_Data[[#This Row],[PerformanceRating]]&gt;=3,"Approved","Review Required")</f>
        <v>Approved</v>
      </c>
    </row>
    <row r="1360" spans="1:41"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t="str">
        <f>"LAB-"&amp;Lab_Data[[#This Row],[EmployeeNumber]]</f>
        <v>LAB-1912</v>
      </c>
      <c r="AK1360" t="str">
        <f>Lab_Data[[#This Row],[JobRole]]</f>
        <v>Sales Executive</v>
      </c>
      <c r="AL1360" t="str">
        <f>Lab_Data[[#This Row],[Department]]</f>
        <v>Sales</v>
      </c>
      <c r="AM1360" t="str">
        <f>IF(Lab_Data[[#This Row],[Attrition]]="Yes","Failed","Completed")</f>
        <v>Completed</v>
      </c>
      <c r="AN1360">
        <f>Lab_Data[[#This Row],[YearsAtCompany]]</f>
        <v>5</v>
      </c>
      <c r="AO1360" t="str">
        <f>IF(Lab_Data[[#This Row],[PerformanceRating]]&gt;=3,"Approved","Review Required")</f>
        <v>Approved</v>
      </c>
    </row>
    <row r="1361" spans="1:41"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t="str">
        <f>"LAB-"&amp;Lab_Data[[#This Row],[EmployeeNumber]]</f>
        <v>LAB-1915</v>
      </c>
      <c r="AK1361" t="str">
        <f>Lab_Data[[#This Row],[JobRole]]</f>
        <v>Sales Executive</v>
      </c>
      <c r="AL1361" t="str">
        <f>Lab_Data[[#This Row],[Department]]</f>
        <v>Sales</v>
      </c>
      <c r="AM1361" t="str">
        <f>IF(Lab_Data[[#This Row],[Attrition]]="Yes","Failed","Completed")</f>
        <v>Completed</v>
      </c>
      <c r="AN1361">
        <f>Lab_Data[[#This Row],[YearsAtCompany]]</f>
        <v>4</v>
      </c>
      <c r="AO1361" t="str">
        <f>IF(Lab_Data[[#This Row],[PerformanceRating]]&gt;=3,"Approved","Review Required")</f>
        <v>Approved</v>
      </c>
    </row>
    <row r="1362" spans="1:41"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t="str">
        <f>"LAB-"&amp;Lab_Data[[#This Row],[EmployeeNumber]]</f>
        <v>LAB-1916</v>
      </c>
      <c r="AK1362" t="str">
        <f>Lab_Data[[#This Row],[JobRole]]</f>
        <v>Laboratory Technician</v>
      </c>
      <c r="AL1362" t="str">
        <f>Lab_Data[[#This Row],[Department]]</f>
        <v>Research &amp; Development</v>
      </c>
      <c r="AM1362" t="str">
        <f>IF(Lab_Data[[#This Row],[Attrition]]="Yes","Failed","Completed")</f>
        <v>Completed</v>
      </c>
      <c r="AN1362">
        <f>Lab_Data[[#This Row],[YearsAtCompany]]</f>
        <v>2</v>
      </c>
      <c r="AO1362" t="str">
        <f>IF(Lab_Data[[#This Row],[PerformanceRating]]&gt;=3,"Approved","Review Required")</f>
        <v>Approved</v>
      </c>
    </row>
    <row r="1363" spans="1:41"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t="str">
        <f>"LAB-"&amp;Lab_Data[[#This Row],[EmployeeNumber]]</f>
        <v>LAB-1918</v>
      </c>
      <c r="AK1363" t="str">
        <f>Lab_Data[[#This Row],[JobRole]]</f>
        <v>Laboratory Technician</v>
      </c>
      <c r="AL1363" t="str">
        <f>Lab_Data[[#This Row],[Department]]</f>
        <v>Research &amp; Development</v>
      </c>
      <c r="AM1363" t="str">
        <f>IF(Lab_Data[[#This Row],[Attrition]]="Yes","Failed","Completed")</f>
        <v>Completed</v>
      </c>
      <c r="AN1363">
        <f>Lab_Data[[#This Row],[YearsAtCompany]]</f>
        <v>7</v>
      </c>
      <c r="AO1363" t="str">
        <f>IF(Lab_Data[[#This Row],[PerformanceRating]]&gt;=3,"Approved","Review Required")</f>
        <v>Approved</v>
      </c>
    </row>
    <row r="1364" spans="1:41"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t="str">
        <f>"LAB-"&amp;Lab_Data[[#This Row],[EmployeeNumber]]</f>
        <v>LAB-1922</v>
      </c>
      <c r="AK1364" t="str">
        <f>Lab_Data[[#This Row],[JobRole]]</f>
        <v>Healthcare Representative</v>
      </c>
      <c r="AL1364" t="str">
        <f>Lab_Data[[#This Row],[Department]]</f>
        <v>Research &amp; Development</v>
      </c>
      <c r="AM1364" t="str">
        <f>IF(Lab_Data[[#This Row],[Attrition]]="Yes","Failed","Completed")</f>
        <v>Completed</v>
      </c>
      <c r="AN1364">
        <f>Lab_Data[[#This Row],[YearsAtCompany]]</f>
        <v>4</v>
      </c>
      <c r="AO1364" t="str">
        <f>IF(Lab_Data[[#This Row],[PerformanceRating]]&gt;=3,"Approved","Review Required")</f>
        <v>Approved</v>
      </c>
    </row>
    <row r="1365" spans="1:41"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t="str">
        <f>"LAB-"&amp;Lab_Data[[#This Row],[EmployeeNumber]]</f>
        <v>LAB-1924</v>
      </c>
      <c r="AK1365" t="str">
        <f>Lab_Data[[#This Row],[JobRole]]</f>
        <v>Sales Executive</v>
      </c>
      <c r="AL1365" t="str">
        <f>Lab_Data[[#This Row],[Department]]</f>
        <v>Sales</v>
      </c>
      <c r="AM1365" t="str">
        <f>IF(Lab_Data[[#This Row],[Attrition]]="Yes","Failed","Completed")</f>
        <v>Completed</v>
      </c>
      <c r="AN1365">
        <f>Lab_Data[[#This Row],[YearsAtCompany]]</f>
        <v>10</v>
      </c>
      <c r="AO1365" t="str">
        <f>IF(Lab_Data[[#This Row],[PerformanceRating]]&gt;=3,"Approved","Review Required")</f>
        <v>Approved</v>
      </c>
    </row>
    <row r="1366" spans="1:41"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t="str">
        <f>"LAB-"&amp;Lab_Data[[#This Row],[EmployeeNumber]]</f>
        <v>LAB-1927</v>
      </c>
      <c r="AK1366" t="str">
        <f>Lab_Data[[#This Row],[JobRole]]</f>
        <v>Sales Executive</v>
      </c>
      <c r="AL1366" t="str">
        <f>Lab_Data[[#This Row],[Department]]</f>
        <v>Sales</v>
      </c>
      <c r="AM1366" t="str">
        <f>IF(Lab_Data[[#This Row],[Attrition]]="Yes","Failed","Completed")</f>
        <v>Completed</v>
      </c>
      <c r="AN1366">
        <f>Lab_Data[[#This Row],[YearsAtCompany]]</f>
        <v>7</v>
      </c>
      <c r="AO1366" t="str">
        <f>IF(Lab_Data[[#This Row],[PerformanceRating]]&gt;=3,"Approved","Review Required")</f>
        <v>Approved</v>
      </c>
    </row>
    <row r="1367" spans="1:41"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t="str">
        <f>"LAB-"&amp;Lab_Data[[#This Row],[EmployeeNumber]]</f>
        <v>LAB-1928</v>
      </c>
      <c r="AK1367" t="str">
        <f>Lab_Data[[#This Row],[JobRole]]</f>
        <v>Sales Representative</v>
      </c>
      <c r="AL1367" t="str">
        <f>Lab_Data[[#This Row],[Department]]</f>
        <v>Sales</v>
      </c>
      <c r="AM1367" t="str">
        <f>IF(Lab_Data[[#This Row],[Attrition]]="Yes","Failed","Completed")</f>
        <v>Failed</v>
      </c>
      <c r="AN1367">
        <f>Lab_Data[[#This Row],[YearsAtCompany]]</f>
        <v>1</v>
      </c>
      <c r="AO1367" t="str">
        <f>IF(Lab_Data[[#This Row],[PerformanceRating]]&gt;=3,"Approved","Review Required")</f>
        <v>Approved</v>
      </c>
    </row>
    <row r="1368" spans="1:41"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t="str">
        <f>"LAB-"&amp;Lab_Data[[#This Row],[EmployeeNumber]]</f>
        <v>LAB-1929</v>
      </c>
      <c r="AK1368" t="str">
        <f>Lab_Data[[#This Row],[JobRole]]</f>
        <v>Sales Executive</v>
      </c>
      <c r="AL1368" t="str">
        <f>Lab_Data[[#This Row],[Department]]</f>
        <v>Sales</v>
      </c>
      <c r="AM1368" t="str">
        <f>IF(Lab_Data[[#This Row],[Attrition]]="Yes","Failed","Completed")</f>
        <v>Completed</v>
      </c>
      <c r="AN1368">
        <f>Lab_Data[[#This Row],[YearsAtCompany]]</f>
        <v>3</v>
      </c>
      <c r="AO1368" t="str">
        <f>IF(Lab_Data[[#This Row],[PerformanceRating]]&gt;=3,"Approved","Review Required")</f>
        <v>Approved</v>
      </c>
    </row>
    <row r="1369" spans="1:41"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t="str">
        <f>"LAB-"&amp;Lab_Data[[#This Row],[EmployeeNumber]]</f>
        <v>LAB-1931</v>
      </c>
      <c r="AK1369" t="str">
        <f>Lab_Data[[#This Row],[JobRole]]</f>
        <v>Research Scientist</v>
      </c>
      <c r="AL1369" t="str">
        <f>Lab_Data[[#This Row],[Department]]</f>
        <v>Research &amp; Development</v>
      </c>
      <c r="AM1369" t="str">
        <f>IF(Lab_Data[[#This Row],[Attrition]]="Yes","Failed","Completed")</f>
        <v>Completed</v>
      </c>
      <c r="AN1369">
        <f>Lab_Data[[#This Row],[YearsAtCompany]]</f>
        <v>5</v>
      </c>
      <c r="AO1369" t="str">
        <f>IF(Lab_Data[[#This Row],[PerformanceRating]]&gt;=3,"Approved","Review Required")</f>
        <v>Approved</v>
      </c>
    </row>
    <row r="1370" spans="1:41"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t="str">
        <f>"LAB-"&amp;Lab_Data[[#This Row],[EmployeeNumber]]</f>
        <v>LAB-1932</v>
      </c>
      <c r="AK1370" t="str">
        <f>Lab_Data[[#This Row],[JobRole]]</f>
        <v>Research Scientist</v>
      </c>
      <c r="AL1370" t="str">
        <f>Lab_Data[[#This Row],[Department]]</f>
        <v>Research &amp; Development</v>
      </c>
      <c r="AM1370" t="str">
        <f>IF(Lab_Data[[#This Row],[Attrition]]="Yes","Failed","Completed")</f>
        <v>Completed</v>
      </c>
      <c r="AN1370">
        <f>Lab_Data[[#This Row],[YearsAtCompany]]</f>
        <v>15</v>
      </c>
      <c r="AO1370" t="str">
        <f>IF(Lab_Data[[#This Row],[PerformanceRating]]&gt;=3,"Approved","Review Required")</f>
        <v>Approved</v>
      </c>
    </row>
    <row r="1371" spans="1:41"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t="str">
        <f>"LAB-"&amp;Lab_Data[[#This Row],[EmployeeNumber]]</f>
        <v>LAB-1933</v>
      </c>
      <c r="AK1371" t="str">
        <f>Lab_Data[[#This Row],[JobRole]]</f>
        <v>Sales Executive</v>
      </c>
      <c r="AL1371" t="str">
        <f>Lab_Data[[#This Row],[Department]]</f>
        <v>Sales</v>
      </c>
      <c r="AM1371" t="str">
        <f>IF(Lab_Data[[#This Row],[Attrition]]="Yes","Failed","Completed")</f>
        <v>Failed</v>
      </c>
      <c r="AN1371">
        <f>Lab_Data[[#This Row],[YearsAtCompany]]</f>
        <v>2</v>
      </c>
      <c r="AO1371" t="str">
        <f>IF(Lab_Data[[#This Row],[PerformanceRating]]&gt;=3,"Approved","Review Required")</f>
        <v>Approved</v>
      </c>
    </row>
    <row r="1372" spans="1:41"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t="str">
        <f>"LAB-"&amp;Lab_Data[[#This Row],[EmployeeNumber]]</f>
        <v>LAB-1934</v>
      </c>
      <c r="AK1372" t="str">
        <f>Lab_Data[[#This Row],[JobRole]]</f>
        <v>Research Scientist</v>
      </c>
      <c r="AL1372" t="str">
        <f>Lab_Data[[#This Row],[Department]]</f>
        <v>Research &amp; Development</v>
      </c>
      <c r="AM1372" t="str">
        <f>IF(Lab_Data[[#This Row],[Attrition]]="Yes","Failed","Completed")</f>
        <v>Completed</v>
      </c>
      <c r="AN1372">
        <f>Lab_Data[[#This Row],[YearsAtCompany]]</f>
        <v>8</v>
      </c>
      <c r="AO1372" t="str">
        <f>IF(Lab_Data[[#This Row],[PerformanceRating]]&gt;=3,"Approved","Review Required")</f>
        <v>Approved</v>
      </c>
    </row>
    <row r="1373" spans="1:41"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t="str">
        <f>"LAB-"&amp;Lab_Data[[#This Row],[EmployeeNumber]]</f>
        <v>LAB-1935</v>
      </c>
      <c r="AK1373" t="str">
        <f>Lab_Data[[#This Row],[JobRole]]</f>
        <v>Sales Executive</v>
      </c>
      <c r="AL1373" t="str">
        <f>Lab_Data[[#This Row],[Department]]</f>
        <v>Sales</v>
      </c>
      <c r="AM1373" t="str">
        <f>IF(Lab_Data[[#This Row],[Attrition]]="Yes","Failed","Completed")</f>
        <v>Completed</v>
      </c>
      <c r="AN1373">
        <f>Lab_Data[[#This Row],[YearsAtCompany]]</f>
        <v>0</v>
      </c>
      <c r="AO1373" t="str">
        <f>IF(Lab_Data[[#This Row],[PerformanceRating]]&gt;=3,"Approved","Review Required")</f>
        <v>Approved</v>
      </c>
    </row>
    <row r="1374" spans="1:41"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t="str">
        <f>"LAB-"&amp;Lab_Data[[#This Row],[EmployeeNumber]]</f>
        <v>LAB-1936</v>
      </c>
      <c r="AK1374" t="str">
        <f>Lab_Data[[#This Row],[JobRole]]</f>
        <v>Manufacturing Director</v>
      </c>
      <c r="AL1374" t="str">
        <f>Lab_Data[[#This Row],[Department]]</f>
        <v>Research &amp; Development</v>
      </c>
      <c r="AM1374" t="str">
        <f>IF(Lab_Data[[#This Row],[Attrition]]="Yes","Failed","Completed")</f>
        <v>Completed</v>
      </c>
      <c r="AN1374">
        <f>Lab_Data[[#This Row],[YearsAtCompany]]</f>
        <v>10</v>
      </c>
      <c r="AO1374" t="str">
        <f>IF(Lab_Data[[#This Row],[PerformanceRating]]&gt;=3,"Approved","Review Required")</f>
        <v>Approved</v>
      </c>
    </row>
    <row r="1375" spans="1:41"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t="str">
        <f>"LAB-"&amp;Lab_Data[[#This Row],[EmployeeNumber]]</f>
        <v>LAB-1937</v>
      </c>
      <c r="AK1375" t="str">
        <f>Lab_Data[[#This Row],[JobRole]]</f>
        <v>Research Scientist</v>
      </c>
      <c r="AL1375" t="str">
        <f>Lab_Data[[#This Row],[Department]]</f>
        <v>Research &amp; Development</v>
      </c>
      <c r="AM1375" t="str">
        <f>IF(Lab_Data[[#This Row],[Attrition]]="Yes","Failed","Completed")</f>
        <v>Completed</v>
      </c>
      <c r="AN1375">
        <f>Lab_Data[[#This Row],[YearsAtCompany]]</f>
        <v>20</v>
      </c>
      <c r="AO1375" t="str">
        <f>IF(Lab_Data[[#This Row],[PerformanceRating]]&gt;=3,"Approved","Review Required")</f>
        <v>Approved</v>
      </c>
    </row>
    <row r="1376" spans="1:41"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t="str">
        <f>"LAB-"&amp;Lab_Data[[#This Row],[EmployeeNumber]]</f>
        <v>LAB-1938</v>
      </c>
      <c r="AK1376" t="str">
        <f>Lab_Data[[#This Row],[JobRole]]</f>
        <v>Manager</v>
      </c>
      <c r="AL1376" t="str">
        <f>Lab_Data[[#This Row],[Department]]</f>
        <v>Sales</v>
      </c>
      <c r="AM1376" t="str">
        <f>IF(Lab_Data[[#This Row],[Attrition]]="Yes","Failed","Completed")</f>
        <v>Completed</v>
      </c>
      <c r="AN1376">
        <f>Lab_Data[[#This Row],[YearsAtCompany]]</f>
        <v>1</v>
      </c>
      <c r="AO1376" t="str">
        <f>IF(Lab_Data[[#This Row],[PerformanceRating]]&gt;=3,"Approved","Review Required")</f>
        <v>Approved</v>
      </c>
    </row>
    <row r="1377" spans="1:41"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t="str">
        <f>"LAB-"&amp;Lab_Data[[#This Row],[EmployeeNumber]]</f>
        <v>LAB-1939</v>
      </c>
      <c r="AK1377" t="str">
        <f>Lab_Data[[#This Row],[JobRole]]</f>
        <v>Research Scientist</v>
      </c>
      <c r="AL1377" t="str">
        <f>Lab_Data[[#This Row],[Department]]</f>
        <v>Research &amp; Development</v>
      </c>
      <c r="AM1377" t="str">
        <f>IF(Lab_Data[[#This Row],[Attrition]]="Yes","Failed","Completed")</f>
        <v>Failed</v>
      </c>
      <c r="AN1377">
        <f>Lab_Data[[#This Row],[YearsAtCompany]]</f>
        <v>4</v>
      </c>
      <c r="AO1377" t="str">
        <f>IF(Lab_Data[[#This Row],[PerformanceRating]]&gt;=3,"Approved","Review Required")</f>
        <v>Approved</v>
      </c>
    </row>
    <row r="1378" spans="1:41"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t="str">
        <f>"LAB-"&amp;Lab_Data[[#This Row],[EmployeeNumber]]</f>
        <v>LAB-1940</v>
      </c>
      <c r="AK1378" t="str">
        <f>Lab_Data[[#This Row],[JobRole]]</f>
        <v>Research Scientist</v>
      </c>
      <c r="AL1378" t="str">
        <f>Lab_Data[[#This Row],[Department]]</f>
        <v>Research &amp; Development</v>
      </c>
      <c r="AM1378" t="str">
        <f>IF(Lab_Data[[#This Row],[Attrition]]="Yes","Failed","Completed")</f>
        <v>Completed</v>
      </c>
      <c r="AN1378">
        <f>Lab_Data[[#This Row],[YearsAtCompany]]</f>
        <v>5</v>
      </c>
      <c r="AO1378" t="str">
        <f>IF(Lab_Data[[#This Row],[PerformanceRating]]&gt;=3,"Approved","Review Required")</f>
        <v>Approved</v>
      </c>
    </row>
    <row r="1379" spans="1:41"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t="str">
        <f>"LAB-"&amp;Lab_Data[[#This Row],[EmployeeNumber]]</f>
        <v>LAB-1941</v>
      </c>
      <c r="AK1379" t="str">
        <f>Lab_Data[[#This Row],[JobRole]]</f>
        <v>Research Director</v>
      </c>
      <c r="AL1379" t="str">
        <f>Lab_Data[[#This Row],[Department]]</f>
        <v>Research &amp; Development</v>
      </c>
      <c r="AM1379" t="str">
        <f>IF(Lab_Data[[#This Row],[Attrition]]="Yes","Failed","Completed")</f>
        <v>Completed</v>
      </c>
      <c r="AN1379">
        <f>Lab_Data[[#This Row],[YearsAtCompany]]</f>
        <v>5</v>
      </c>
      <c r="AO1379" t="str">
        <f>IF(Lab_Data[[#This Row],[PerformanceRating]]&gt;=3,"Approved","Review Required")</f>
        <v>Approved</v>
      </c>
    </row>
    <row r="1380" spans="1:41"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t="str">
        <f>"LAB-"&amp;Lab_Data[[#This Row],[EmployeeNumber]]</f>
        <v>LAB-1943</v>
      </c>
      <c r="AK1380" t="str">
        <f>Lab_Data[[#This Row],[JobRole]]</f>
        <v>Sales Executive</v>
      </c>
      <c r="AL1380" t="str">
        <f>Lab_Data[[#This Row],[Department]]</f>
        <v>Sales</v>
      </c>
      <c r="AM1380" t="str">
        <f>IF(Lab_Data[[#This Row],[Attrition]]="Yes","Failed","Completed")</f>
        <v>Completed</v>
      </c>
      <c r="AN1380">
        <f>Lab_Data[[#This Row],[YearsAtCompany]]</f>
        <v>0</v>
      </c>
      <c r="AO1380" t="str">
        <f>IF(Lab_Data[[#This Row],[PerformanceRating]]&gt;=3,"Approved","Review Required")</f>
        <v>Approved</v>
      </c>
    </row>
    <row r="1381" spans="1:41"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t="str">
        <f>"LAB-"&amp;Lab_Data[[#This Row],[EmployeeNumber]]</f>
        <v>LAB-1944</v>
      </c>
      <c r="AK1381" t="str">
        <f>Lab_Data[[#This Row],[JobRole]]</f>
        <v>Human Resources</v>
      </c>
      <c r="AL1381" t="str">
        <f>Lab_Data[[#This Row],[Department]]</f>
        <v>Human Resources</v>
      </c>
      <c r="AM1381" t="str">
        <f>IF(Lab_Data[[#This Row],[Attrition]]="Yes","Failed","Completed")</f>
        <v>Failed</v>
      </c>
      <c r="AN1381">
        <f>Lab_Data[[#This Row],[YearsAtCompany]]</f>
        <v>1</v>
      </c>
      <c r="AO1381" t="str">
        <f>IF(Lab_Data[[#This Row],[PerformanceRating]]&gt;=3,"Approved","Review Required")</f>
        <v>Approved</v>
      </c>
    </row>
    <row r="1382" spans="1:41"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t="str">
        <f>"LAB-"&amp;Lab_Data[[#This Row],[EmployeeNumber]]</f>
        <v>LAB-1945</v>
      </c>
      <c r="AK1382" t="str">
        <f>Lab_Data[[#This Row],[JobRole]]</f>
        <v>Sales Executive</v>
      </c>
      <c r="AL1382" t="str">
        <f>Lab_Data[[#This Row],[Department]]</f>
        <v>Sales</v>
      </c>
      <c r="AM1382" t="str">
        <f>IF(Lab_Data[[#This Row],[Attrition]]="Yes","Failed","Completed")</f>
        <v>Completed</v>
      </c>
      <c r="AN1382">
        <f>Lab_Data[[#This Row],[YearsAtCompany]]</f>
        <v>5</v>
      </c>
      <c r="AO1382" t="str">
        <f>IF(Lab_Data[[#This Row],[PerformanceRating]]&gt;=3,"Approved","Review Required")</f>
        <v>Approved</v>
      </c>
    </row>
    <row r="1383" spans="1:41"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t="str">
        <f>"LAB-"&amp;Lab_Data[[#This Row],[EmployeeNumber]]</f>
        <v>LAB-1947</v>
      </c>
      <c r="AK1383" t="str">
        <f>Lab_Data[[#This Row],[JobRole]]</f>
        <v>Research Scientist</v>
      </c>
      <c r="AL1383" t="str">
        <f>Lab_Data[[#This Row],[Department]]</f>
        <v>Research &amp; Development</v>
      </c>
      <c r="AM1383" t="str">
        <f>IF(Lab_Data[[#This Row],[Attrition]]="Yes","Failed","Completed")</f>
        <v>Completed</v>
      </c>
      <c r="AN1383">
        <f>Lab_Data[[#This Row],[YearsAtCompany]]</f>
        <v>5</v>
      </c>
      <c r="AO1383" t="str">
        <f>IF(Lab_Data[[#This Row],[PerformanceRating]]&gt;=3,"Approved","Review Required")</f>
        <v>Approved</v>
      </c>
    </row>
    <row r="1384" spans="1:41"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t="str">
        <f>"LAB-"&amp;Lab_Data[[#This Row],[EmployeeNumber]]</f>
        <v>LAB-1948</v>
      </c>
      <c r="AK1384" t="str">
        <f>Lab_Data[[#This Row],[JobRole]]</f>
        <v>Research Scientist</v>
      </c>
      <c r="AL1384" t="str">
        <f>Lab_Data[[#This Row],[Department]]</f>
        <v>Research &amp; Development</v>
      </c>
      <c r="AM1384" t="str">
        <f>IF(Lab_Data[[#This Row],[Attrition]]="Yes","Failed","Completed")</f>
        <v>Completed</v>
      </c>
      <c r="AN1384">
        <f>Lab_Data[[#This Row],[YearsAtCompany]]</f>
        <v>4</v>
      </c>
      <c r="AO1384" t="str">
        <f>IF(Lab_Data[[#This Row],[PerformanceRating]]&gt;=3,"Approved","Review Required")</f>
        <v>Approved</v>
      </c>
    </row>
    <row r="1385" spans="1:41"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t="str">
        <f>"LAB-"&amp;Lab_Data[[#This Row],[EmployeeNumber]]</f>
        <v>LAB-1949</v>
      </c>
      <c r="AK1385" t="str">
        <f>Lab_Data[[#This Row],[JobRole]]</f>
        <v>Laboratory Technician</v>
      </c>
      <c r="AL1385" t="str">
        <f>Lab_Data[[#This Row],[Department]]</f>
        <v>Research &amp; Development</v>
      </c>
      <c r="AM1385" t="str">
        <f>IF(Lab_Data[[#This Row],[Attrition]]="Yes","Failed","Completed")</f>
        <v>Completed</v>
      </c>
      <c r="AN1385">
        <f>Lab_Data[[#This Row],[YearsAtCompany]]</f>
        <v>5</v>
      </c>
      <c r="AO1385" t="str">
        <f>IF(Lab_Data[[#This Row],[PerformanceRating]]&gt;=3,"Approved","Review Required")</f>
        <v>Approved</v>
      </c>
    </row>
    <row r="1386" spans="1:41"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t="str">
        <f>"LAB-"&amp;Lab_Data[[#This Row],[EmployeeNumber]]</f>
        <v>LAB-1950</v>
      </c>
      <c r="AK1386" t="str">
        <f>Lab_Data[[#This Row],[JobRole]]</f>
        <v>Sales Executive</v>
      </c>
      <c r="AL1386" t="str">
        <f>Lab_Data[[#This Row],[Department]]</f>
        <v>Sales</v>
      </c>
      <c r="AM1386" t="str">
        <f>IF(Lab_Data[[#This Row],[Attrition]]="Yes","Failed","Completed")</f>
        <v>Completed</v>
      </c>
      <c r="AN1386">
        <f>Lab_Data[[#This Row],[YearsAtCompany]]</f>
        <v>14</v>
      </c>
      <c r="AO1386" t="str">
        <f>IF(Lab_Data[[#This Row],[PerformanceRating]]&gt;=3,"Approved","Review Required")</f>
        <v>Approved</v>
      </c>
    </row>
    <row r="1387" spans="1:41"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t="str">
        <f>"LAB-"&amp;Lab_Data[[#This Row],[EmployeeNumber]]</f>
        <v>LAB-1951</v>
      </c>
      <c r="AK1387" t="str">
        <f>Lab_Data[[#This Row],[JobRole]]</f>
        <v>Sales Executive</v>
      </c>
      <c r="AL1387" t="str">
        <f>Lab_Data[[#This Row],[Department]]</f>
        <v>Sales</v>
      </c>
      <c r="AM1387" t="str">
        <f>IF(Lab_Data[[#This Row],[Attrition]]="Yes","Failed","Completed")</f>
        <v>Completed</v>
      </c>
      <c r="AN1387">
        <f>Lab_Data[[#This Row],[YearsAtCompany]]</f>
        <v>8</v>
      </c>
      <c r="AO1387" t="str">
        <f>IF(Lab_Data[[#This Row],[PerformanceRating]]&gt;=3,"Approved","Review Required")</f>
        <v>Approved</v>
      </c>
    </row>
    <row r="1388" spans="1:41"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t="str">
        <f>"LAB-"&amp;Lab_Data[[#This Row],[EmployeeNumber]]</f>
        <v>LAB-1952</v>
      </c>
      <c r="AK1388" t="str">
        <f>Lab_Data[[#This Row],[JobRole]]</f>
        <v>Laboratory Technician</v>
      </c>
      <c r="AL1388" t="str">
        <f>Lab_Data[[#This Row],[Department]]</f>
        <v>Research &amp; Development</v>
      </c>
      <c r="AM1388" t="str">
        <f>IF(Lab_Data[[#This Row],[Attrition]]="Yes","Failed","Completed")</f>
        <v>Completed</v>
      </c>
      <c r="AN1388">
        <f>Lab_Data[[#This Row],[YearsAtCompany]]</f>
        <v>7</v>
      </c>
      <c r="AO1388" t="str">
        <f>IF(Lab_Data[[#This Row],[PerformanceRating]]&gt;=3,"Approved","Review Required")</f>
        <v>Approved</v>
      </c>
    </row>
    <row r="1389" spans="1:41"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t="str">
        <f>"LAB-"&amp;Lab_Data[[#This Row],[EmployeeNumber]]</f>
        <v>LAB-1954</v>
      </c>
      <c r="AK1389" t="str">
        <f>Lab_Data[[#This Row],[JobRole]]</f>
        <v>Healthcare Representative</v>
      </c>
      <c r="AL1389" t="str">
        <f>Lab_Data[[#This Row],[Department]]</f>
        <v>Research &amp; Development</v>
      </c>
      <c r="AM1389" t="str">
        <f>IF(Lab_Data[[#This Row],[Attrition]]="Yes","Failed","Completed")</f>
        <v>Completed</v>
      </c>
      <c r="AN1389">
        <f>Lab_Data[[#This Row],[YearsAtCompany]]</f>
        <v>5</v>
      </c>
      <c r="AO1389" t="str">
        <f>IF(Lab_Data[[#This Row],[PerformanceRating]]&gt;=3,"Approved","Review Required")</f>
        <v>Approved</v>
      </c>
    </row>
    <row r="1390" spans="1:41"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t="str">
        <f>"LAB-"&amp;Lab_Data[[#This Row],[EmployeeNumber]]</f>
        <v>LAB-1955</v>
      </c>
      <c r="AK1390" t="str">
        <f>Lab_Data[[#This Row],[JobRole]]</f>
        <v>Healthcare Representative</v>
      </c>
      <c r="AL1390" t="str">
        <f>Lab_Data[[#This Row],[Department]]</f>
        <v>Research &amp; Development</v>
      </c>
      <c r="AM1390" t="str">
        <f>IF(Lab_Data[[#This Row],[Attrition]]="Yes","Failed","Completed")</f>
        <v>Completed</v>
      </c>
      <c r="AN1390">
        <f>Lab_Data[[#This Row],[YearsAtCompany]]</f>
        <v>5</v>
      </c>
      <c r="AO1390" t="str">
        <f>IF(Lab_Data[[#This Row],[PerformanceRating]]&gt;=3,"Approved","Review Required")</f>
        <v>Approved</v>
      </c>
    </row>
    <row r="1391" spans="1:41"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t="str">
        <f>"LAB-"&amp;Lab_Data[[#This Row],[EmployeeNumber]]</f>
        <v>LAB-1956</v>
      </c>
      <c r="AK1391" t="str">
        <f>Lab_Data[[#This Row],[JobRole]]</f>
        <v>Research Scientist</v>
      </c>
      <c r="AL1391" t="str">
        <f>Lab_Data[[#This Row],[Department]]</f>
        <v>Research &amp; Development</v>
      </c>
      <c r="AM1391" t="str">
        <f>IF(Lab_Data[[#This Row],[Attrition]]="Yes","Failed","Completed")</f>
        <v>Completed</v>
      </c>
      <c r="AN1391">
        <f>Lab_Data[[#This Row],[YearsAtCompany]]</f>
        <v>10</v>
      </c>
      <c r="AO1391" t="str">
        <f>IF(Lab_Data[[#This Row],[PerformanceRating]]&gt;=3,"Approved","Review Required")</f>
        <v>Approved</v>
      </c>
    </row>
    <row r="1392" spans="1:41"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t="str">
        <f>"LAB-"&amp;Lab_Data[[#This Row],[EmployeeNumber]]</f>
        <v>LAB-1960</v>
      </c>
      <c r="AK1392" t="str">
        <f>Lab_Data[[#This Row],[JobRole]]</f>
        <v>Laboratory Technician</v>
      </c>
      <c r="AL1392" t="str">
        <f>Lab_Data[[#This Row],[Department]]</f>
        <v>Research &amp; Development</v>
      </c>
      <c r="AM1392" t="str">
        <f>IF(Lab_Data[[#This Row],[Attrition]]="Yes","Failed","Completed")</f>
        <v>Failed</v>
      </c>
      <c r="AN1392">
        <f>Lab_Data[[#This Row],[YearsAtCompany]]</f>
        <v>4</v>
      </c>
      <c r="AO1392" t="str">
        <f>IF(Lab_Data[[#This Row],[PerformanceRating]]&gt;=3,"Approved","Review Required")</f>
        <v>Approved</v>
      </c>
    </row>
    <row r="1393" spans="1:41"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t="str">
        <f>"LAB-"&amp;Lab_Data[[#This Row],[EmployeeNumber]]</f>
        <v>LAB-1961</v>
      </c>
      <c r="AK1393" t="str">
        <f>Lab_Data[[#This Row],[JobRole]]</f>
        <v>Sales Representative</v>
      </c>
      <c r="AL1393" t="str">
        <f>Lab_Data[[#This Row],[Department]]</f>
        <v>Sales</v>
      </c>
      <c r="AM1393" t="str">
        <f>IF(Lab_Data[[#This Row],[Attrition]]="Yes","Failed","Completed")</f>
        <v>Completed</v>
      </c>
      <c r="AN1393">
        <f>Lab_Data[[#This Row],[YearsAtCompany]]</f>
        <v>1</v>
      </c>
      <c r="AO1393" t="str">
        <f>IF(Lab_Data[[#This Row],[PerformanceRating]]&gt;=3,"Approved","Review Required")</f>
        <v>Approved</v>
      </c>
    </row>
    <row r="1394" spans="1:41"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t="str">
        <f>"LAB-"&amp;Lab_Data[[#This Row],[EmployeeNumber]]</f>
        <v>LAB-1962</v>
      </c>
      <c r="AK1394" t="str">
        <f>Lab_Data[[#This Row],[JobRole]]</f>
        <v>Sales Executive</v>
      </c>
      <c r="AL1394" t="str">
        <f>Lab_Data[[#This Row],[Department]]</f>
        <v>Sales</v>
      </c>
      <c r="AM1394" t="str">
        <f>IF(Lab_Data[[#This Row],[Attrition]]="Yes","Failed","Completed")</f>
        <v>Completed</v>
      </c>
      <c r="AN1394">
        <f>Lab_Data[[#This Row],[YearsAtCompany]]</f>
        <v>10</v>
      </c>
      <c r="AO1394" t="str">
        <f>IF(Lab_Data[[#This Row],[PerformanceRating]]&gt;=3,"Approved","Review Required")</f>
        <v>Approved</v>
      </c>
    </row>
    <row r="1395" spans="1:41"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t="str">
        <f>"LAB-"&amp;Lab_Data[[#This Row],[EmployeeNumber]]</f>
        <v>LAB-1965</v>
      </c>
      <c r="AK1395" t="str">
        <f>Lab_Data[[#This Row],[JobRole]]</f>
        <v>Sales Executive</v>
      </c>
      <c r="AL1395" t="str">
        <f>Lab_Data[[#This Row],[Department]]</f>
        <v>Sales</v>
      </c>
      <c r="AM1395" t="str">
        <f>IF(Lab_Data[[#This Row],[Attrition]]="Yes","Failed","Completed")</f>
        <v>Completed</v>
      </c>
      <c r="AN1395">
        <f>Lab_Data[[#This Row],[YearsAtCompany]]</f>
        <v>7</v>
      </c>
      <c r="AO1395" t="str">
        <f>IF(Lab_Data[[#This Row],[PerformanceRating]]&gt;=3,"Approved","Review Required")</f>
        <v>Approved</v>
      </c>
    </row>
    <row r="1396" spans="1:41"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t="str">
        <f>"LAB-"&amp;Lab_Data[[#This Row],[EmployeeNumber]]</f>
        <v>LAB-1966</v>
      </c>
      <c r="AK1396" t="str">
        <f>Lab_Data[[#This Row],[JobRole]]</f>
        <v>Manufacturing Director</v>
      </c>
      <c r="AL1396" t="str">
        <f>Lab_Data[[#This Row],[Department]]</f>
        <v>Research &amp; Development</v>
      </c>
      <c r="AM1396" t="str">
        <f>IF(Lab_Data[[#This Row],[Attrition]]="Yes","Failed","Completed")</f>
        <v>Completed</v>
      </c>
      <c r="AN1396">
        <f>Lab_Data[[#This Row],[YearsAtCompany]]</f>
        <v>1</v>
      </c>
      <c r="AO1396" t="str">
        <f>IF(Lab_Data[[#This Row],[PerformanceRating]]&gt;=3,"Approved","Review Required")</f>
        <v>Approved</v>
      </c>
    </row>
    <row r="1397" spans="1:41"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t="str">
        <f>"LAB-"&amp;Lab_Data[[#This Row],[EmployeeNumber]]</f>
        <v>LAB-1967</v>
      </c>
      <c r="AK1397" t="str">
        <f>Lab_Data[[#This Row],[JobRole]]</f>
        <v>Sales Executive</v>
      </c>
      <c r="AL1397" t="str">
        <f>Lab_Data[[#This Row],[Department]]</f>
        <v>Sales</v>
      </c>
      <c r="AM1397" t="str">
        <f>IF(Lab_Data[[#This Row],[Attrition]]="Yes","Failed","Completed")</f>
        <v>Failed</v>
      </c>
      <c r="AN1397">
        <f>Lab_Data[[#This Row],[YearsAtCompany]]</f>
        <v>10</v>
      </c>
      <c r="AO1397" t="str">
        <f>IF(Lab_Data[[#This Row],[PerformanceRating]]&gt;=3,"Approved","Review Required")</f>
        <v>Approved</v>
      </c>
    </row>
    <row r="1398" spans="1:41"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t="str">
        <f>"LAB-"&amp;Lab_Data[[#This Row],[EmployeeNumber]]</f>
        <v>LAB-1968</v>
      </c>
      <c r="AK1398" t="str">
        <f>Lab_Data[[#This Row],[JobRole]]</f>
        <v>Sales Executive</v>
      </c>
      <c r="AL1398" t="str">
        <f>Lab_Data[[#This Row],[Department]]</f>
        <v>Sales</v>
      </c>
      <c r="AM1398" t="str">
        <f>IF(Lab_Data[[#This Row],[Attrition]]="Yes","Failed","Completed")</f>
        <v>Failed</v>
      </c>
      <c r="AN1398">
        <f>Lab_Data[[#This Row],[YearsAtCompany]]</f>
        <v>2</v>
      </c>
      <c r="AO1398" t="str">
        <f>IF(Lab_Data[[#This Row],[PerformanceRating]]&gt;=3,"Approved","Review Required")</f>
        <v>Approved</v>
      </c>
    </row>
    <row r="1399" spans="1:41"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t="str">
        <f>"LAB-"&amp;Lab_Data[[#This Row],[EmployeeNumber]]</f>
        <v>LAB-1969</v>
      </c>
      <c r="AK1399" t="str">
        <f>Lab_Data[[#This Row],[JobRole]]</f>
        <v>Research Scientist</v>
      </c>
      <c r="AL1399" t="str">
        <f>Lab_Data[[#This Row],[Department]]</f>
        <v>Research &amp; Development</v>
      </c>
      <c r="AM1399" t="str">
        <f>IF(Lab_Data[[#This Row],[Attrition]]="Yes","Failed","Completed")</f>
        <v>Completed</v>
      </c>
      <c r="AN1399">
        <f>Lab_Data[[#This Row],[YearsAtCompany]]</f>
        <v>4</v>
      </c>
      <c r="AO1399" t="str">
        <f>IF(Lab_Data[[#This Row],[PerformanceRating]]&gt;=3,"Approved","Review Required")</f>
        <v>Approved</v>
      </c>
    </row>
    <row r="1400" spans="1:41"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t="str">
        <f>"LAB-"&amp;Lab_Data[[#This Row],[EmployeeNumber]]</f>
        <v>LAB-1970</v>
      </c>
      <c r="AK1400" t="str">
        <f>Lab_Data[[#This Row],[JobRole]]</f>
        <v>Healthcare Representative</v>
      </c>
      <c r="AL1400" t="str">
        <f>Lab_Data[[#This Row],[Department]]</f>
        <v>Research &amp; Development</v>
      </c>
      <c r="AM1400" t="str">
        <f>IF(Lab_Data[[#This Row],[Attrition]]="Yes","Failed","Completed")</f>
        <v>Completed</v>
      </c>
      <c r="AN1400">
        <f>Lab_Data[[#This Row],[YearsAtCompany]]</f>
        <v>9</v>
      </c>
      <c r="AO1400" t="str">
        <f>IF(Lab_Data[[#This Row],[PerformanceRating]]&gt;=3,"Approved","Review Required")</f>
        <v>Approved</v>
      </c>
    </row>
    <row r="1401" spans="1:41"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t="str">
        <f>"LAB-"&amp;Lab_Data[[#This Row],[EmployeeNumber]]</f>
        <v>LAB-1971</v>
      </c>
      <c r="AK1401" t="str">
        <f>Lab_Data[[#This Row],[JobRole]]</f>
        <v>Healthcare Representative</v>
      </c>
      <c r="AL1401" t="str">
        <f>Lab_Data[[#This Row],[Department]]</f>
        <v>Research &amp; Development</v>
      </c>
      <c r="AM1401" t="str">
        <f>IF(Lab_Data[[#This Row],[Attrition]]="Yes","Failed","Completed")</f>
        <v>Completed</v>
      </c>
      <c r="AN1401">
        <f>Lab_Data[[#This Row],[YearsAtCompany]]</f>
        <v>10</v>
      </c>
      <c r="AO1401" t="str">
        <f>IF(Lab_Data[[#This Row],[PerformanceRating]]&gt;=3,"Approved","Review Required")</f>
        <v>Approved</v>
      </c>
    </row>
    <row r="1402" spans="1:41"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t="str">
        <f>"LAB-"&amp;Lab_Data[[#This Row],[EmployeeNumber]]</f>
        <v>LAB-1972</v>
      </c>
      <c r="AK1402" t="str">
        <f>Lab_Data[[#This Row],[JobRole]]</f>
        <v>Human Resources</v>
      </c>
      <c r="AL1402" t="str">
        <f>Lab_Data[[#This Row],[Department]]</f>
        <v>Human Resources</v>
      </c>
      <c r="AM1402" t="str">
        <f>IF(Lab_Data[[#This Row],[Attrition]]="Yes","Failed","Completed")</f>
        <v>Completed</v>
      </c>
      <c r="AN1402">
        <f>Lab_Data[[#This Row],[YearsAtCompany]]</f>
        <v>6</v>
      </c>
      <c r="AO1402" t="str">
        <f>IF(Lab_Data[[#This Row],[PerformanceRating]]&gt;=3,"Approved","Review Required")</f>
        <v>Approved</v>
      </c>
    </row>
    <row r="1403" spans="1:41"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t="str">
        <f>"LAB-"&amp;Lab_Data[[#This Row],[EmployeeNumber]]</f>
        <v>LAB-1973</v>
      </c>
      <c r="AK1403" t="str">
        <f>Lab_Data[[#This Row],[JobRole]]</f>
        <v>Manager</v>
      </c>
      <c r="AL1403" t="str">
        <f>Lab_Data[[#This Row],[Department]]</f>
        <v>Human Resources</v>
      </c>
      <c r="AM1403" t="str">
        <f>IF(Lab_Data[[#This Row],[Attrition]]="Yes","Failed","Completed")</f>
        <v>Completed</v>
      </c>
      <c r="AN1403">
        <f>Lab_Data[[#This Row],[YearsAtCompany]]</f>
        <v>10</v>
      </c>
      <c r="AO1403" t="str">
        <f>IF(Lab_Data[[#This Row],[PerformanceRating]]&gt;=3,"Approved","Review Required")</f>
        <v>Approved</v>
      </c>
    </row>
    <row r="1404" spans="1:41"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t="str">
        <f>"LAB-"&amp;Lab_Data[[#This Row],[EmployeeNumber]]</f>
        <v>LAB-1974</v>
      </c>
      <c r="AK1404" t="str">
        <f>Lab_Data[[#This Row],[JobRole]]</f>
        <v>Laboratory Technician</v>
      </c>
      <c r="AL1404" t="str">
        <f>Lab_Data[[#This Row],[Department]]</f>
        <v>Research &amp; Development</v>
      </c>
      <c r="AM1404" t="str">
        <f>IF(Lab_Data[[#This Row],[Attrition]]="Yes","Failed","Completed")</f>
        <v>Completed</v>
      </c>
      <c r="AN1404">
        <f>Lab_Data[[#This Row],[YearsAtCompany]]</f>
        <v>1</v>
      </c>
      <c r="AO1404" t="str">
        <f>IF(Lab_Data[[#This Row],[PerformanceRating]]&gt;=3,"Approved","Review Required")</f>
        <v>Approved</v>
      </c>
    </row>
    <row r="1405" spans="1:41"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t="str">
        <f>"LAB-"&amp;Lab_Data[[#This Row],[EmployeeNumber]]</f>
        <v>LAB-1975</v>
      </c>
      <c r="AK1405" t="str">
        <f>Lab_Data[[#This Row],[JobRole]]</f>
        <v>Sales Executive</v>
      </c>
      <c r="AL1405" t="str">
        <f>Lab_Data[[#This Row],[Department]]</f>
        <v>Sales</v>
      </c>
      <c r="AM1405" t="str">
        <f>IF(Lab_Data[[#This Row],[Attrition]]="Yes","Failed","Completed")</f>
        <v>Completed</v>
      </c>
      <c r="AN1405">
        <f>Lab_Data[[#This Row],[YearsAtCompany]]</f>
        <v>20</v>
      </c>
      <c r="AO1405" t="str">
        <f>IF(Lab_Data[[#This Row],[PerformanceRating]]&gt;=3,"Approved","Review Required")</f>
        <v>Approved</v>
      </c>
    </row>
    <row r="1406" spans="1:41"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t="str">
        <f>"LAB-"&amp;Lab_Data[[#This Row],[EmployeeNumber]]</f>
        <v>LAB-1976</v>
      </c>
      <c r="AK1406" t="str">
        <f>Lab_Data[[#This Row],[JobRole]]</f>
        <v>Research Scientist</v>
      </c>
      <c r="AL1406" t="str">
        <f>Lab_Data[[#This Row],[Department]]</f>
        <v>Research &amp; Development</v>
      </c>
      <c r="AM1406" t="str">
        <f>IF(Lab_Data[[#This Row],[Attrition]]="Yes","Failed","Completed")</f>
        <v>Completed</v>
      </c>
      <c r="AN1406">
        <f>Lab_Data[[#This Row],[YearsAtCompany]]</f>
        <v>20</v>
      </c>
      <c r="AO1406" t="str">
        <f>IF(Lab_Data[[#This Row],[PerformanceRating]]&gt;=3,"Approved","Review Required")</f>
        <v>Approved</v>
      </c>
    </row>
    <row r="1407" spans="1:41"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t="str">
        <f>"LAB-"&amp;Lab_Data[[#This Row],[EmployeeNumber]]</f>
        <v>LAB-1979</v>
      </c>
      <c r="AK1407" t="str">
        <f>Lab_Data[[#This Row],[JobRole]]</f>
        <v>Research Director</v>
      </c>
      <c r="AL1407" t="str">
        <f>Lab_Data[[#This Row],[Department]]</f>
        <v>Research &amp; Development</v>
      </c>
      <c r="AM1407" t="str">
        <f>IF(Lab_Data[[#This Row],[Attrition]]="Yes","Failed","Completed")</f>
        <v>Completed</v>
      </c>
      <c r="AN1407">
        <f>Lab_Data[[#This Row],[YearsAtCompany]]</f>
        <v>11</v>
      </c>
      <c r="AO1407" t="str">
        <f>IF(Lab_Data[[#This Row],[PerformanceRating]]&gt;=3,"Approved","Review Required")</f>
        <v>Approved</v>
      </c>
    </row>
    <row r="1408" spans="1:41"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t="str">
        <f>"LAB-"&amp;Lab_Data[[#This Row],[EmployeeNumber]]</f>
        <v>LAB-1980</v>
      </c>
      <c r="AK1408" t="str">
        <f>Lab_Data[[#This Row],[JobRole]]</f>
        <v>Manufacturing Director</v>
      </c>
      <c r="AL1408" t="str">
        <f>Lab_Data[[#This Row],[Department]]</f>
        <v>Research &amp; Development</v>
      </c>
      <c r="AM1408" t="str">
        <f>IF(Lab_Data[[#This Row],[Attrition]]="Yes","Failed","Completed")</f>
        <v>Completed</v>
      </c>
      <c r="AN1408">
        <f>Lab_Data[[#This Row],[YearsAtCompany]]</f>
        <v>5</v>
      </c>
      <c r="AO1408" t="str">
        <f>IF(Lab_Data[[#This Row],[PerformanceRating]]&gt;=3,"Approved","Review Required")</f>
        <v>Approved</v>
      </c>
    </row>
    <row r="1409" spans="1:41"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t="str">
        <f>"LAB-"&amp;Lab_Data[[#This Row],[EmployeeNumber]]</f>
        <v>LAB-1981</v>
      </c>
      <c r="AK1409" t="str">
        <f>Lab_Data[[#This Row],[JobRole]]</f>
        <v>Healthcare Representative</v>
      </c>
      <c r="AL1409" t="str">
        <f>Lab_Data[[#This Row],[Department]]</f>
        <v>Research &amp; Development</v>
      </c>
      <c r="AM1409" t="str">
        <f>IF(Lab_Data[[#This Row],[Attrition]]="Yes","Failed","Completed")</f>
        <v>Completed</v>
      </c>
      <c r="AN1409">
        <f>Lab_Data[[#This Row],[YearsAtCompany]]</f>
        <v>4</v>
      </c>
      <c r="AO1409" t="str">
        <f>IF(Lab_Data[[#This Row],[PerformanceRating]]&gt;=3,"Approved","Review Required")</f>
        <v>Approved</v>
      </c>
    </row>
    <row r="1410" spans="1:41"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t="str">
        <f>"LAB-"&amp;Lab_Data[[#This Row],[EmployeeNumber]]</f>
        <v>LAB-1982</v>
      </c>
      <c r="AK1410" t="str">
        <f>Lab_Data[[#This Row],[JobRole]]</f>
        <v>Laboratory Technician</v>
      </c>
      <c r="AL1410" t="str">
        <f>Lab_Data[[#This Row],[Department]]</f>
        <v>Research &amp; Development</v>
      </c>
      <c r="AM1410" t="str">
        <f>IF(Lab_Data[[#This Row],[Attrition]]="Yes","Failed","Completed")</f>
        <v>Completed</v>
      </c>
      <c r="AN1410">
        <f>Lab_Data[[#This Row],[YearsAtCompany]]</f>
        <v>5</v>
      </c>
      <c r="AO1410" t="str">
        <f>IF(Lab_Data[[#This Row],[PerformanceRating]]&gt;=3,"Approved","Review Required")</f>
        <v>Approved</v>
      </c>
    </row>
    <row r="1411" spans="1:41"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t="str">
        <f>"LAB-"&amp;Lab_Data[[#This Row],[EmployeeNumber]]</f>
        <v>LAB-1985</v>
      </c>
      <c r="AK1411" t="str">
        <f>Lab_Data[[#This Row],[JobRole]]</f>
        <v>Laboratory Technician</v>
      </c>
      <c r="AL1411" t="str">
        <f>Lab_Data[[#This Row],[Department]]</f>
        <v>Research &amp; Development</v>
      </c>
      <c r="AM1411" t="str">
        <f>IF(Lab_Data[[#This Row],[Attrition]]="Yes","Failed","Completed")</f>
        <v>Completed</v>
      </c>
      <c r="AN1411">
        <f>Lab_Data[[#This Row],[YearsAtCompany]]</f>
        <v>10</v>
      </c>
      <c r="AO1411" t="str">
        <f>IF(Lab_Data[[#This Row],[PerformanceRating]]&gt;=3,"Approved","Review Required")</f>
        <v>Approved</v>
      </c>
    </row>
    <row r="1412" spans="1:41"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t="str">
        <f>"LAB-"&amp;Lab_Data[[#This Row],[EmployeeNumber]]</f>
        <v>LAB-1986</v>
      </c>
      <c r="AK1412" t="str">
        <f>Lab_Data[[#This Row],[JobRole]]</f>
        <v>Sales Executive</v>
      </c>
      <c r="AL1412" t="str">
        <f>Lab_Data[[#This Row],[Department]]</f>
        <v>Sales</v>
      </c>
      <c r="AM1412" t="str">
        <f>IF(Lab_Data[[#This Row],[Attrition]]="Yes","Failed","Completed")</f>
        <v>Completed</v>
      </c>
      <c r="AN1412">
        <f>Lab_Data[[#This Row],[YearsAtCompany]]</f>
        <v>11</v>
      </c>
      <c r="AO1412" t="str">
        <f>IF(Lab_Data[[#This Row],[PerformanceRating]]&gt;=3,"Approved","Review Required")</f>
        <v>Approved</v>
      </c>
    </row>
    <row r="1413" spans="1:41"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t="str">
        <f>"LAB-"&amp;Lab_Data[[#This Row],[EmployeeNumber]]</f>
        <v>LAB-1987</v>
      </c>
      <c r="AK1413" t="str">
        <f>Lab_Data[[#This Row],[JobRole]]</f>
        <v>Human Resources</v>
      </c>
      <c r="AL1413" t="str">
        <f>Lab_Data[[#This Row],[Department]]</f>
        <v>Human Resources</v>
      </c>
      <c r="AM1413" t="str">
        <f>IF(Lab_Data[[#This Row],[Attrition]]="Yes","Failed","Completed")</f>
        <v>Completed</v>
      </c>
      <c r="AN1413">
        <f>Lab_Data[[#This Row],[YearsAtCompany]]</f>
        <v>2</v>
      </c>
      <c r="AO1413" t="str">
        <f>IF(Lab_Data[[#This Row],[PerformanceRating]]&gt;=3,"Approved","Review Required")</f>
        <v>Approved</v>
      </c>
    </row>
    <row r="1414" spans="1:41"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t="str">
        <f>"LAB-"&amp;Lab_Data[[#This Row],[EmployeeNumber]]</f>
        <v>LAB-1989</v>
      </c>
      <c r="AK1414" t="str">
        <f>Lab_Data[[#This Row],[JobRole]]</f>
        <v>Laboratory Technician</v>
      </c>
      <c r="AL1414" t="str">
        <f>Lab_Data[[#This Row],[Department]]</f>
        <v>Research &amp; Development</v>
      </c>
      <c r="AM1414" t="str">
        <f>IF(Lab_Data[[#This Row],[Attrition]]="Yes","Failed","Completed")</f>
        <v>Completed</v>
      </c>
      <c r="AN1414">
        <f>Lab_Data[[#This Row],[YearsAtCompany]]</f>
        <v>12</v>
      </c>
      <c r="AO1414" t="str">
        <f>IF(Lab_Data[[#This Row],[PerformanceRating]]&gt;=3,"Approved","Review Required")</f>
        <v>Approved</v>
      </c>
    </row>
    <row r="1415" spans="1:41"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t="str">
        <f>"LAB-"&amp;Lab_Data[[#This Row],[EmployeeNumber]]</f>
        <v>LAB-1992</v>
      </c>
      <c r="AK1415" t="str">
        <f>Lab_Data[[#This Row],[JobRole]]</f>
        <v>Laboratory Technician</v>
      </c>
      <c r="AL1415" t="str">
        <f>Lab_Data[[#This Row],[Department]]</f>
        <v>Research &amp; Development</v>
      </c>
      <c r="AM1415" t="str">
        <f>IF(Lab_Data[[#This Row],[Attrition]]="Yes","Failed","Completed")</f>
        <v>Completed</v>
      </c>
      <c r="AN1415">
        <f>Lab_Data[[#This Row],[YearsAtCompany]]</f>
        <v>2</v>
      </c>
      <c r="AO1415" t="str">
        <f>IF(Lab_Data[[#This Row],[PerformanceRating]]&gt;=3,"Approved","Review Required")</f>
        <v>Approved</v>
      </c>
    </row>
    <row r="1416" spans="1:41"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t="str">
        <f>"LAB-"&amp;Lab_Data[[#This Row],[EmployeeNumber]]</f>
        <v>LAB-1993</v>
      </c>
      <c r="AK1416" t="str">
        <f>Lab_Data[[#This Row],[JobRole]]</f>
        <v>Healthcare Representative</v>
      </c>
      <c r="AL1416" t="str">
        <f>Lab_Data[[#This Row],[Department]]</f>
        <v>Research &amp; Development</v>
      </c>
      <c r="AM1416" t="str">
        <f>IF(Lab_Data[[#This Row],[Attrition]]="Yes","Failed","Completed")</f>
        <v>Completed</v>
      </c>
      <c r="AN1416">
        <f>Lab_Data[[#This Row],[YearsAtCompany]]</f>
        <v>17</v>
      </c>
      <c r="AO1416" t="str">
        <f>IF(Lab_Data[[#This Row],[PerformanceRating]]&gt;=3,"Approved","Review Required")</f>
        <v>Approved</v>
      </c>
    </row>
    <row r="1417" spans="1:41"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t="str">
        <f>"LAB-"&amp;Lab_Data[[#This Row],[EmployeeNumber]]</f>
        <v>LAB-1994</v>
      </c>
      <c r="AK1417" t="str">
        <f>Lab_Data[[#This Row],[JobRole]]</f>
        <v>Laboratory Technician</v>
      </c>
      <c r="AL1417" t="str">
        <f>Lab_Data[[#This Row],[Department]]</f>
        <v>Research &amp; Development</v>
      </c>
      <c r="AM1417" t="str">
        <f>IF(Lab_Data[[#This Row],[Attrition]]="Yes","Failed","Completed")</f>
        <v>Completed</v>
      </c>
      <c r="AN1417">
        <f>Lab_Data[[#This Row],[YearsAtCompany]]</f>
        <v>1</v>
      </c>
      <c r="AO1417" t="str">
        <f>IF(Lab_Data[[#This Row],[PerformanceRating]]&gt;=3,"Approved","Review Required")</f>
        <v>Approved</v>
      </c>
    </row>
    <row r="1418" spans="1:41"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t="str">
        <f>"LAB-"&amp;Lab_Data[[#This Row],[EmployeeNumber]]</f>
        <v>LAB-1995</v>
      </c>
      <c r="AK1418" t="str">
        <f>Lab_Data[[#This Row],[JobRole]]</f>
        <v>Sales Executive</v>
      </c>
      <c r="AL1418" t="str">
        <f>Lab_Data[[#This Row],[Department]]</f>
        <v>Sales</v>
      </c>
      <c r="AM1418" t="str">
        <f>IF(Lab_Data[[#This Row],[Attrition]]="Yes","Failed","Completed")</f>
        <v>Completed</v>
      </c>
      <c r="AN1418">
        <f>Lab_Data[[#This Row],[YearsAtCompany]]</f>
        <v>15</v>
      </c>
      <c r="AO1418" t="str">
        <f>IF(Lab_Data[[#This Row],[PerformanceRating]]&gt;=3,"Approved","Review Required")</f>
        <v>Approved</v>
      </c>
    </row>
    <row r="1419" spans="1:41"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t="str">
        <f>"LAB-"&amp;Lab_Data[[#This Row],[EmployeeNumber]]</f>
        <v>LAB-1996</v>
      </c>
      <c r="AK1419" t="str">
        <f>Lab_Data[[#This Row],[JobRole]]</f>
        <v>Sales Representative</v>
      </c>
      <c r="AL1419" t="str">
        <f>Lab_Data[[#This Row],[Department]]</f>
        <v>Sales</v>
      </c>
      <c r="AM1419" t="str">
        <f>IF(Lab_Data[[#This Row],[Attrition]]="Yes","Failed","Completed")</f>
        <v>Completed</v>
      </c>
      <c r="AN1419">
        <f>Lab_Data[[#This Row],[YearsAtCompany]]</f>
        <v>2</v>
      </c>
      <c r="AO1419" t="str">
        <f>IF(Lab_Data[[#This Row],[PerformanceRating]]&gt;=3,"Approved","Review Required")</f>
        <v>Approved</v>
      </c>
    </row>
    <row r="1420" spans="1:41"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t="str">
        <f>"LAB-"&amp;Lab_Data[[#This Row],[EmployeeNumber]]</f>
        <v>LAB-1997</v>
      </c>
      <c r="AK1420" t="str">
        <f>Lab_Data[[#This Row],[JobRole]]</f>
        <v>Manufacturing Director</v>
      </c>
      <c r="AL1420" t="str">
        <f>Lab_Data[[#This Row],[Department]]</f>
        <v>Research &amp; Development</v>
      </c>
      <c r="AM1420" t="str">
        <f>IF(Lab_Data[[#This Row],[Attrition]]="Yes","Failed","Completed")</f>
        <v>Completed</v>
      </c>
      <c r="AN1420">
        <f>Lab_Data[[#This Row],[YearsAtCompany]]</f>
        <v>8</v>
      </c>
      <c r="AO1420" t="str">
        <f>IF(Lab_Data[[#This Row],[PerformanceRating]]&gt;=3,"Approved","Review Required")</f>
        <v>Approved</v>
      </c>
    </row>
    <row r="1421" spans="1:41"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t="str">
        <f>"LAB-"&amp;Lab_Data[[#This Row],[EmployeeNumber]]</f>
        <v>LAB-1998</v>
      </c>
      <c r="AK1421" t="str">
        <f>Lab_Data[[#This Row],[JobRole]]</f>
        <v>Research Scientist</v>
      </c>
      <c r="AL1421" t="str">
        <f>Lab_Data[[#This Row],[Department]]</f>
        <v>Research &amp; Development</v>
      </c>
      <c r="AM1421" t="str">
        <f>IF(Lab_Data[[#This Row],[Attrition]]="Yes","Failed","Completed")</f>
        <v>Completed</v>
      </c>
      <c r="AN1421">
        <f>Lab_Data[[#This Row],[YearsAtCompany]]</f>
        <v>4</v>
      </c>
      <c r="AO1421" t="str">
        <f>IF(Lab_Data[[#This Row],[PerformanceRating]]&gt;=3,"Approved","Review Required")</f>
        <v>Approved</v>
      </c>
    </row>
    <row r="1422" spans="1:41"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t="str">
        <f>"LAB-"&amp;Lab_Data[[#This Row],[EmployeeNumber]]</f>
        <v>LAB-1999</v>
      </c>
      <c r="AK1422" t="str">
        <f>Lab_Data[[#This Row],[JobRole]]</f>
        <v>Research Scientist</v>
      </c>
      <c r="AL1422" t="str">
        <f>Lab_Data[[#This Row],[Department]]</f>
        <v>Research &amp; Development</v>
      </c>
      <c r="AM1422" t="str">
        <f>IF(Lab_Data[[#This Row],[Attrition]]="Yes","Failed","Completed")</f>
        <v>Completed</v>
      </c>
      <c r="AN1422">
        <f>Lab_Data[[#This Row],[YearsAtCompany]]</f>
        <v>5</v>
      </c>
      <c r="AO1422" t="str">
        <f>IF(Lab_Data[[#This Row],[PerformanceRating]]&gt;=3,"Approved","Review Required")</f>
        <v>Approved</v>
      </c>
    </row>
    <row r="1423" spans="1:41"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t="str">
        <f>"LAB-"&amp;Lab_Data[[#This Row],[EmployeeNumber]]</f>
        <v>LAB-2000</v>
      </c>
      <c r="AK1423" t="str">
        <f>Lab_Data[[#This Row],[JobRole]]</f>
        <v>Research Director</v>
      </c>
      <c r="AL1423" t="str">
        <f>Lab_Data[[#This Row],[Department]]</f>
        <v>Research &amp; Development</v>
      </c>
      <c r="AM1423" t="str">
        <f>IF(Lab_Data[[#This Row],[Attrition]]="Yes","Failed","Completed")</f>
        <v>Completed</v>
      </c>
      <c r="AN1423">
        <f>Lab_Data[[#This Row],[YearsAtCompany]]</f>
        <v>13</v>
      </c>
      <c r="AO1423" t="str">
        <f>IF(Lab_Data[[#This Row],[PerformanceRating]]&gt;=3,"Approved","Review Required")</f>
        <v>Approved</v>
      </c>
    </row>
    <row r="1424" spans="1:41"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t="str">
        <f>"LAB-"&amp;Lab_Data[[#This Row],[EmployeeNumber]]</f>
        <v>LAB-2003</v>
      </c>
      <c r="AK1424" t="str">
        <f>Lab_Data[[#This Row],[JobRole]]</f>
        <v>Laboratory Technician</v>
      </c>
      <c r="AL1424" t="str">
        <f>Lab_Data[[#This Row],[Department]]</f>
        <v>Research &amp; Development</v>
      </c>
      <c r="AM1424" t="str">
        <f>IF(Lab_Data[[#This Row],[Attrition]]="Yes","Failed","Completed")</f>
        <v>Completed</v>
      </c>
      <c r="AN1424">
        <f>Lab_Data[[#This Row],[YearsAtCompany]]</f>
        <v>2</v>
      </c>
      <c r="AO1424" t="str">
        <f>IF(Lab_Data[[#This Row],[PerformanceRating]]&gt;=3,"Approved","Review Required")</f>
        <v>Approved</v>
      </c>
    </row>
    <row r="1425" spans="1:41"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t="str">
        <f>"LAB-"&amp;Lab_Data[[#This Row],[EmployeeNumber]]</f>
        <v>LAB-2007</v>
      </c>
      <c r="AK1425" t="str">
        <f>Lab_Data[[#This Row],[JobRole]]</f>
        <v>Research Scientist</v>
      </c>
      <c r="AL1425" t="str">
        <f>Lab_Data[[#This Row],[Department]]</f>
        <v>Research &amp; Development</v>
      </c>
      <c r="AM1425" t="str">
        <f>IF(Lab_Data[[#This Row],[Attrition]]="Yes","Failed","Completed")</f>
        <v>Completed</v>
      </c>
      <c r="AN1425">
        <f>Lab_Data[[#This Row],[YearsAtCompany]]</f>
        <v>3</v>
      </c>
      <c r="AO1425" t="str">
        <f>IF(Lab_Data[[#This Row],[PerformanceRating]]&gt;=3,"Approved","Review Required")</f>
        <v>Approved</v>
      </c>
    </row>
    <row r="1426" spans="1:41"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t="str">
        <f>"LAB-"&amp;Lab_Data[[#This Row],[EmployeeNumber]]</f>
        <v>LAB-2008</v>
      </c>
      <c r="AK1426" t="str">
        <f>Lab_Data[[#This Row],[JobRole]]</f>
        <v>Research Scientist</v>
      </c>
      <c r="AL1426" t="str">
        <f>Lab_Data[[#This Row],[Department]]</f>
        <v>Research &amp; Development</v>
      </c>
      <c r="AM1426" t="str">
        <f>IF(Lab_Data[[#This Row],[Attrition]]="Yes","Failed","Completed")</f>
        <v>Completed</v>
      </c>
      <c r="AN1426">
        <f>Lab_Data[[#This Row],[YearsAtCompany]]</f>
        <v>10</v>
      </c>
      <c r="AO1426" t="str">
        <f>IF(Lab_Data[[#This Row],[PerformanceRating]]&gt;=3,"Approved","Review Required")</f>
        <v>Approved</v>
      </c>
    </row>
    <row r="1427" spans="1:41"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t="str">
        <f>"LAB-"&amp;Lab_Data[[#This Row],[EmployeeNumber]]</f>
        <v>LAB-2009</v>
      </c>
      <c r="AK1427" t="str">
        <f>Lab_Data[[#This Row],[JobRole]]</f>
        <v>Healthcare Representative</v>
      </c>
      <c r="AL1427" t="str">
        <f>Lab_Data[[#This Row],[Department]]</f>
        <v>Research &amp; Development</v>
      </c>
      <c r="AM1427" t="str">
        <f>IF(Lab_Data[[#This Row],[Attrition]]="Yes","Failed","Completed")</f>
        <v>Completed</v>
      </c>
      <c r="AN1427">
        <f>Lab_Data[[#This Row],[YearsAtCompany]]</f>
        <v>9</v>
      </c>
      <c r="AO1427" t="str">
        <f>IF(Lab_Data[[#This Row],[PerformanceRating]]&gt;=3,"Approved","Review Required")</f>
        <v>Approved</v>
      </c>
    </row>
    <row r="1428" spans="1:41"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t="str">
        <f>"LAB-"&amp;Lab_Data[[#This Row],[EmployeeNumber]]</f>
        <v>LAB-2010</v>
      </c>
      <c r="AK1428" t="str">
        <f>Lab_Data[[#This Row],[JobRole]]</f>
        <v>Laboratory Technician</v>
      </c>
      <c r="AL1428" t="str">
        <f>Lab_Data[[#This Row],[Department]]</f>
        <v>Research &amp; Development</v>
      </c>
      <c r="AM1428" t="str">
        <f>IF(Lab_Data[[#This Row],[Attrition]]="Yes","Failed","Completed")</f>
        <v>Completed</v>
      </c>
      <c r="AN1428">
        <f>Lab_Data[[#This Row],[YearsAtCompany]]</f>
        <v>6</v>
      </c>
      <c r="AO1428" t="str">
        <f>IF(Lab_Data[[#This Row],[PerformanceRating]]&gt;=3,"Approved","Review Required")</f>
        <v>Approved</v>
      </c>
    </row>
    <row r="1429" spans="1:41"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t="str">
        <f>"LAB-"&amp;Lab_Data[[#This Row],[EmployeeNumber]]</f>
        <v>LAB-2012</v>
      </c>
      <c r="AK1429" t="str">
        <f>Lab_Data[[#This Row],[JobRole]]</f>
        <v>Laboratory Technician</v>
      </c>
      <c r="AL1429" t="str">
        <f>Lab_Data[[#This Row],[Department]]</f>
        <v>Research &amp; Development</v>
      </c>
      <c r="AM1429" t="str">
        <f>IF(Lab_Data[[#This Row],[Attrition]]="Yes","Failed","Completed")</f>
        <v>Completed</v>
      </c>
      <c r="AN1429">
        <f>Lab_Data[[#This Row],[YearsAtCompany]]</f>
        <v>1</v>
      </c>
      <c r="AO1429" t="str">
        <f>IF(Lab_Data[[#This Row],[PerformanceRating]]&gt;=3,"Approved","Review Required")</f>
        <v>Approved</v>
      </c>
    </row>
    <row r="1430" spans="1:41"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t="str">
        <f>"LAB-"&amp;Lab_Data[[#This Row],[EmployeeNumber]]</f>
        <v>LAB-2013</v>
      </c>
      <c r="AK1430" t="str">
        <f>Lab_Data[[#This Row],[JobRole]]</f>
        <v>Sales Representative</v>
      </c>
      <c r="AL1430" t="str">
        <f>Lab_Data[[#This Row],[Department]]</f>
        <v>Sales</v>
      </c>
      <c r="AM1430" t="str">
        <f>IF(Lab_Data[[#This Row],[Attrition]]="Yes","Failed","Completed")</f>
        <v>Completed</v>
      </c>
      <c r="AN1430">
        <f>Lab_Data[[#This Row],[YearsAtCompany]]</f>
        <v>2</v>
      </c>
      <c r="AO1430" t="str">
        <f>IF(Lab_Data[[#This Row],[PerformanceRating]]&gt;=3,"Approved","Review Required")</f>
        <v>Approved</v>
      </c>
    </row>
    <row r="1431" spans="1:41"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t="str">
        <f>"LAB-"&amp;Lab_Data[[#This Row],[EmployeeNumber]]</f>
        <v>LAB-2014</v>
      </c>
      <c r="AK1431" t="str">
        <f>Lab_Data[[#This Row],[JobRole]]</f>
        <v>Research Scientist</v>
      </c>
      <c r="AL1431" t="str">
        <f>Lab_Data[[#This Row],[Department]]</f>
        <v>Research &amp; Development</v>
      </c>
      <c r="AM1431" t="str">
        <f>IF(Lab_Data[[#This Row],[Attrition]]="Yes","Failed","Completed")</f>
        <v>Completed</v>
      </c>
      <c r="AN1431">
        <f>Lab_Data[[#This Row],[YearsAtCompany]]</f>
        <v>7</v>
      </c>
      <c r="AO1431" t="str">
        <f>IF(Lab_Data[[#This Row],[PerformanceRating]]&gt;=3,"Approved","Review Required")</f>
        <v>Approved</v>
      </c>
    </row>
    <row r="1432" spans="1:41"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t="str">
        <f>"LAB-"&amp;Lab_Data[[#This Row],[EmployeeNumber]]</f>
        <v>LAB-2015</v>
      </c>
      <c r="AK1432" t="str">
        <f>Lab_Data[[#This Row],[JobRole]]</f>
        <v>Research Director</v>
      </c>
      <c r="AL1432" t="str">
        <f>Lab_Data[[#This Row],[Department]]</f>
        <v>Research &amp; Development</v>
      </c>
      <c r="AM1432" t="str">
        <f>IF(Lab_Data[[#This Row],[Attrition]]="Yes","Failed","Completed")</f>
        <v>Completed</v>
      </c>
      <c r="AN1432">
        <f>Lab_Data[[#This Row],[YearsAtCompany]]</f>
        <v>18</v>
      </c>
      <c r="AO1432" t="str">
        <f>IF(Lab_Data[[#This Row],[PerformanceRating]]&gt;=3,"Approved","Review Required")</f>
        <v>Approved</v>
      </c>
    </row>
    <row r="1433" spans="1:41"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t="str">
        <f>"LAB-"&amp;Lab_Data[[#This Row],[EmployeeNumber]]</f>
        <v>LAB-2016</v>
      </c>
      <c r="AK1433" t="str">
        <f>Lab_Data[[#This Row],[JobRole]]</f>
        <v>Sales Executive</v>
      </c>
      <c r="AL1433" t="str">
        <f>Lab_Data[[#This Row],[Department]]</f>
        <v>Sales</v>
      </c>
      <c r="AM1433" t="str">
        <f>IF(Lab_Data[[#This Row],[Attrition]]="Yes","Failed","Completed")</f>
        <v>Completed</v>
      </c>
      <c r="AN1433">
        <f>Lab_Data[[#This Row],[YearsAtCompany]]</f>
        <v>14</v>
      </c>
      <c r="AO1433" t="str">
        <f>IF(Lab_Data[[#This Row],[PerformanceRating]]&gt;=3,"Approved","Review Required")</f>
        <v>Approved</v>
      </c>
    </row>
    <row r="1434" spans="1:41"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t="str">
        <f>"LAB-"&amp;Lab_Data[[#This Row],[EmployeeNumber]]</f>
        <v>LAB-2017</v>
      </c>
      <c r="AK1434" t="str">
        <f>Lab_Data[[#This Row],[JobRole]]</f>
        <v>Research Director</v>
      </c>
      <c r="AL1434" t="str">
        <f>Lab_Data[[#This Row],[Department]]</f>
        <v>Research &amp; Development</v>
      </c>
      <c r="AM1434" t="str">
        <f>IF(Lab_Data[[#This Row],[Attrition]]="Yes","Failed","Completed")</f>
        <v>Completed</v>
      </c>
      <c r="AN1434">
        <f>Lab_Data[[#This Row],[YearsAtCompany]]</f>
        <v>16</v>
      </c>
      <c r="AO1434" t="str">
        <f>IF(Lab_Data[[#This Row],[PerformanceRating]]&gt;=3,"Approved","Review Required")</f>
        <v>Approved</v>
      </c>
    </row>
    <row r="1435" spans="1:41"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t="str">
        <f>"LAB-"&amp;Lab_Data[[#This Row],[EmployeeNumber]]</f>
        <v>LAB-2018</v>
      </c>
      <c r="AK1435" t="str">
        <f>Lab_Data[[#This Row],[JobRole]]</f>
        <v>Sales Executive</v>
      </c>
      <c r="AL1435" t="str">
        <f>Lab_Data[[#This Row],[Department]]</f>
        <v>Sales</v>
      </c>
      <c r="AM1435" t="str">
        <f>IF(Lab_Data[[#This Row],[Attrition]]="Yes","Failed","Completed")</f>
        <v>Completed</v>
      </c>
      <c r="AN1435">
        <f>Lab_Data[[#This Row],[YearsAtCompany]]</f>
        <v>5</v>
      </c>
      <c r="AO1435" t="str">
        <f>IF(Lab_Data[[#This Row],[PerformanceRating]]&gt;=3,"Approved","Review Required")</f>
        <v>Approved</v>
      </c>
    </row>
    <row r="1436" spans="1:41"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t="str">
        <f>"LAB-"&amp;Lab_Data[[#This Row],[EmployeeNumber]]</f>
        <v>LAB-2019</v>
      </c>
      <c r="AK1436" t="str">
        <f>Lab_Data[[#This Row],[JobRole]]</f>
        <v>Sales Representative</v>
      </c>
      <c r="AL1436" t="str">
        <f>Lab_Data[[#This Row],[Department]]</f>
        <v>Sales</v>
      </c>
      <c r="AM1436" t="str">
        <f>IF(Lab_Data[[#This Row],[Attrition]]="Yes","Failed","Completed")</f>
        <v>Completed</v>
      </c>
      <c r="AN1436">
        <f>Lab_Data[[#This Row],[YearsAtCompany]]</f>
        <v>9</v>
      </c>
      <c r="AO1436" t="str">
        <f>IF(Lab_Data[[#This Row],[PerformanceRating]]&gt;=3,"Approved","Review Required")</f>
        <v>Approved</v>
      </c>
    </row>
    <row r="1437" spans="1:41"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t="str">
        <f>"LAB-"&amp;Lab_Data[[#This Row],[EmployeeNumber]]</f>
        <v>LAB-2020</v>
      </c>
      <c r="AK1437" t="str">
        <f>Lab_Data[[#This Row],[JobRole]]</f>
        <v>Research Scientist</v>
      </c>
      <c r="AL1437" t="str">
        <f>Lab_Data[[#This Row],[Department]]</f>
        <v>Research &amp; Development</v>
      </c>
      <c r="AM1437" t="str">
        <f>IF(Lab_Data[[#This Row],[Attrition]]="Yes","Failed","Completed")</f>
        <v>Completed</v>
      </c>
      <c r="AN1437">
        <f>Lab_Data[[#This Row],[YearsAtCompany]]</f>
        <v>4</v>
      </c>
      <c r="AO1437" t="str">
        <f>IF(Lab_Data[[#This Row],[PerformanceRating]]&gt;=3,"Approved","Review Required")</f>
        <v>Approved</v>
      </c>
    </row>
    <row r="1438" spans="1:41"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t="str">
        <f>"LAB-"&amp;Lab_Data[[#This Row],[EmployeeNumber]]</f>
        <v>LAB-2021</v>
      </c>
      <c r="AK1438" t="str">
        <f>Lab_Data[[#This Row],[JobRole]]</f>
        <v>Sales Representative</v>
      </c>
      <c r="AL1438" t="str">
        <f>Lab_Data[[#This Row],[Department]]</f>
        <v>Sales</v>
      </c>
      <c r="AM1438" t="str">
        <f>IF(Lab_Data[[#This Row],[Attrition]]="Yes","Failed","Completed")</f>
        <v>Completed</v>
      </c>
      <c r="AN1438">
        <f>Lab_Data[[#This Row],[YearsAtCompany]]</f>
        <v>2</v>
      </c>
      <c r="AO1438" t="str">
        <f>IF(Lab_Data[[#This Row],[PerformanceRating]]&gt;=3,"Approved","Review Required")</f>
        <v>Approved</v>
      </c>
    </row>
    <row r="1439" spans="1:41"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t="str">
        <f>"LAB-"&amp;Lab_Data[[#This Row],[EmployeeNumber]]</f>
        <v>LAB-2022</v>
      </c>
      <c r="AK1439" t="str">
        <f>Lab_Data[[#This Row],[JobRole]]</f>
        <v>Manager</v>
      </c>
      <c r="AL1439" t="str">
        <f>Lab_Data[[#This Row],[Department]]</f>
        <v>Research &amp; Development</v>
      </c>
      <c r="AM1439" t="str">
        <f>IF(Lab_Data[[#This Row],[Attrition]]="Yes","Failed","Completed")</f>
        <v>Completed</v>
      </c>
      <c r="AN1439">
        <f>Lab_Data[[#This Row],[YearsAtCompany]]</f>
        <v>6</v>
      </c>
      <c r="AO1439" t="str">
        <f>IF(Lab_Data[[#This Row],[PerformanceRating]]&gt;=3,"Approved","Review Required")</f>
        <v>Approved</v>
      </c>
    </row>
    <row r="1440" spans="1:41"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t="str">
        <f>"LAB-"&amp;Lab_Data[[#This Row],[EmployeeNumber]]</f>
        <v>LAB-2023</v>
      </c>
      <c r="AK1440" t="str">
        <f>Lab_Data[[#This Row],[JobRole]]</f>
        <v>Sales Representative</v>
      </c>
      <c r="AL1440" t="str">
        <f>Lab_Data[[#This Row],[Department]]</f>
        <v>Sales</v>
      </c>
      <c r="AM1440" t="str">
        <f>IF(Lab_Data[[#This Row],[Attrition]]="Yes","Failed","Completed")</f>
        <v>Failed</v>
      </c>
      <c r="AN1440">
        <f>Lab_Data[[#This Row],[YearsAtCompany]]</f>
        <v>1</v>
      </c>
      <c r="AO1440" t="str">
        <f>IF(Lab_Data[[#This Row],[PerformanceRating]]&gt;=3,"Approved","Review Required")</f>
        <v>Approved</v>
      </c>
    </row>
    <row r="1441" spans="1:41"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t="str">
        <f>"LAB-"&amp;Lab_Data[[#This Row],[EmployeeNumber]]</f>
        <v>LAB-2024</v>
      </c>
      <c r="AK1441" t="str">
        <f>Lab_Data[[#This Row],[JobRole]]</f>
        <v>Sales Executive</v>
      </c>
      <c r="AL1441" t="str">
        <f>Lab_Data[[#This Row],[Department]]</f>
        <v>Sales</v>
      </c>
      <c r="AM1441" t="str">
        <f>IF(Lab_Data[[#This Row],[Attrition]]="Yes","Failed","Completed")</f>
        <v>Completed</v>
      </c>
      <c r="AN1441">
        <f>Lab_Data[[#This Row],[YearsAtCompany]]</f>
        <v>9</v>
      </c>
      <c r="AO1441" t="str">
        <f>IF(Lab_Data[[#This Row],[PerformanceRating]]&gt;=3,"Approved","Review Required")</f>
        <v>Approved</v>
      </c>
    </row>
    <row r="1442" spans="1:41"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t="str">
        <f>"LAB-"&amp;Lab_Data[[#This Row],[EmployeeNumber]]</f>
        <v>LAB-2025</v>
      </c>
      <c r="AK1442" t="str">
        <f>Lab_Data[[#This Row],[JobRole]]</f>
        <v>Manufacturing Director</v>
      </c>
      <c r="AL1442" t="str">
        <f>Lab_Data[[#This Row],[Department]]</f>
        <v>Research &amp; Development</v>
      </c>
      <c r="AM1442" t="str">
        <f>IF(Lab_Data[[#This Row],[Attrition]]="Yes","Failed","Completed")</f>
        <v>Completed</v>
      </c>
      <c r="AN1442">
        <f>Lab_Data[[#This Row],[YearsAtCompany]]</f>
        <v>4</v>
      </c>
      <c r="AO1442" t="str">
        <f>IF(Lab_Data[[#This Row],[PerformanceRating]]&gt;=3,"Approved","Review Required")</f>
        <v>Approved</v>
      </c>
    </row>
    <row r="1443" spans="1:41"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t="str">
        <f>"LAB-"&amp;Lab_Data[[#This Row],[EmployeeNumber]]</f>
        <v>LAB-2026</v>
      </c>
      <c r="AK1443" t="str">
        <f>Lab_Data[[#This Row],[JobRole]]</f>
        <v>Healthcare Representative</v>
      </c>
      <c r="AL1443" t="str">
        <f>Lab_Data[[#This Row],[Department]]</f>
        <v>Research &amp; Development</v>
      </c>
      <c r="AM1443" t="str">
        <f>IF(Lab_Data[[#This Row],[Attrition]]="Yes","Failed","Completed")</f>
        <v>Completed</v>
      </c>
      <c r="AN1443">
        <f>Lab_Data[[#This Row],[YearsAtCompany]]</f>
        <v>13</v>
      </c>
      <c r="AO1443" t="str">
        <f>IF(Lab_Data[[#This Row],[PerformanceRating]]&gt;=3,"Approved","Review Required")</f>
        <v>Approved</v>
      </c>
    </row>
    <row r="1444" spans="1:41"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t="str">
        <f>"LAB-"&amp;Lab_Data[[#This Row],[EmployeeNumber]]</f>
        <v>LAB-2027</v>
      </c>
      <c r="AK1444" t="str">
        <f>Lab_Data[[#This Row],[JobRole]]</f>
        <v>Research Scientist</v>
      </c>
      <c r="AL1444" t="str">
        <f>Lab_Data[[#This Row],[Department]]</f>
        <v>Research &amp; Development</v>
      </c>
      <c r="AM1444" t="str">
        <f>IF(Lab_Data[[#This Row],[Attrition]]="Yes","Failed","Completed")</f>
        <v>Failed</v>
      </c>
      <c r="AN1444">
        <f>Lab_Data[[#This Row],[YearsAtCompany]]</f>
        <v>2</v>
      </c>
      <c r="AO1444" t="str">
        <f>IF(Lab_Data[[#This Row],[PerformanceRating]]&gt;=3,"Approved","Review Required")</f>
        <v>Approved</v>
      </c>
    </row>
    <row r="1445" spans="1:41"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t="str">
        <f>"LAB-"&amp;Lab_Data[[#This Row],[EmployeeNumber]]</f>
        <v>LAB-2031</v>
      </c>
      <c r="AK1445" t="str">
        <f>Lab_Data[[#This Row],[JobRole]]</f>
        <v>Manager</v>
      </c>
      <c r="AL1445" t="str">
        <f>Lab_Data[[#This Row],[Department]]</f>
        <v>Research &amp; Development</v>
      </c>
      <c r="AM1445" t="str">
        <f>IF(Lab_Data[[#This Row],[Attrition]]="Yes","Failed","Completed")</f>
        <v>Completed</v>
      </c>
      <c r="AN1445">
        <f>Lab_Data[[#This Row],[YearsAtCompany]]</f>
        <v>22</v>
      </c>
      <c r="AO1445" t="str">
        <f>IF(Lab_Data[[#This Row],[PerformanceRating]]&gt;=3,"Approved","Review Required")</f>
        <v>Approved</v>
      </c>
    </row>
    <row r="1446" spans="1:41"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t="str">
        <f>"LAB-"&amp;Lab_Data[[#This Row],[EmployeeNumber]]</f>
        <v>LAB-2032</v>
      </c>
      <c r="AK1446" t="str">
        <f>Lab_Data[[#This Row],[JobRole]]</f>
        <v>Laboratory Technician</v>
      </c>
      <c r="AL1446" t="str">
        <f>Lab_Data[[#This Row],[Department]]</f>
        <v>Research &amp; Development</v>
      </c>
      <c r="AM1446" t="str">
        <f>IF(Lab_Data[[#This Row],[Attrition]]="Yes","Failed","Completed")</f>
        <v>Failed</v>
      </c>
      <c r="AN1446">
        <f>Lab_Data[[#This Row],[YearsAtCompany]]</f>
        <v>10</v>
      </c>
      <c r="AO1446" t="str">
        <f>IF(Lab_Data[[#This Row],[PerformanceRating]]&gt;=3,"Approved","Review Required")</f>
        <v>Approved</v>
      </c>
    </row>
    <row r="1447" spans="1:41"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t="str">
        <f>"LAB-"&amp;Lab_Data[[#This Row],[EmployeeNumber]]</f>
        <v>LAB-2034</v>
      </c>
      <c r="AK1447" t="str">
        <f>Lab_Data[[#This Row],[JobRole]]</f>
        <v>Manufacturing Director</v>
      </c>
      <c r="AL1447" t="str">
        <f>Lab_Data[[#This Row],[Department]]</f>
        <v>Research &amp; Development</v>
      </c>
      <c r="AM1447" t="str">
        <f>IF(Lab_Data[[#This Row],[Attrition]]="Yes","Failed","Completed")</f>
        <v>Completed</v>
      </c>
      <c r="AN1447">
        <f>Lab_Data[[#This Row],[YearsAtCompany]]</f>
        <v>20</v>
      </c>
      <c r="AO1447" t="str">
        <f>IF(Lab_Data[[#This Row],[PerformanceRating]]&gt;=3,"Approved","Review Required")</f>
        <v>Approved</v>
      </c>
    </row>
    <row r="1448" spans="1:41"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t="str">
        <f>"LAB-"&amp;Lab_Data[[#This Row],[EmployeeNumber]]</f>
        <v>LAB-2035</v>
      </c>
      <c r="AK1448" t="str">
        <f>Lab_Data[[#This Row],[JobRole]]</f>
        <v>Sales Executive</v>
      </c>
      <c r="AL1448" t="str">
        <f>Lab_Data[[#This Row],[Department]]</f>
        <v>Sales</v>
      </c>
      <c r="AM1448" t="str">
        <f>IF(Lab_Data[[#This Row],[Attrition]]="Yes","Failed","Completed")</f>
        <v>Completed</v>
      </c>
      <c r="AN1448">
        <f>Lab_Data[[#This Row],[YearsAtCompany]]</f>
        <v>8</v>
      </c>
      <c r="AO1448" t="str">
        <f>IF(Lab_Data[[#This Row],[PerformanceRating]]&gt;=3,"Approved","Review Required")</f>
        <v>Approved</v>
      </c>
    </row>
    <row r="1449" spans="1:41"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t="str">
        <f>"LAB-"&amp;Lab_Data[[#This Row],[EmployeeNumber]]</f>
        <v>LAB-2036</v>
      </c>
      <c r="AK1449" t="str">
        <f>Lab_Data[[#This Row],[JobRole]]</f>
        <v>Sales Executive</v>
      </c>
      <c r="AL1449" t="str">
        <f>Lab_Data[[#This Row],[Department]]</f>
        <v>Sales</v>
      </c>
      <c r="AM1449" t="str">
        <f>IF(Lab_Data[[#This Row],[Attrition]]="Yes","Failed","Completed")</f>
        <v>Completed</v>
      </c>
      <c r="AN1449">
        <f>Lab_Data[[#This Row],[YearsAtCompany]]</f>
        <v>15</v>
      </c>
      <c r="AO1449" t="str">
        <f>IF(Lab_Data[[#This Row],[PerformanceRating]]&gt;=3,"Approved","Review Required")</f>
        <v>Approved</v>
      </c>
    </row>
    <row r="1450" spans="1:41"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t="str">
        <f>"LAB-"&amp;Lab_Data[[#This Row],[EmployeeNumber]]</f>
        <v>LAB-2037</v>
      </c>
      <c r="AK1450" t="str">
        <f>Lab_Data[[#This Row],[JobRole]]</f>
        <v>Sales Executive</v>
      </c>
      <c r="AL1450" t="str">
        <f>Lab_Data[[#This Row],[Department]]</f>
        <v>Sales</v>
      </c>
      <c r="AM1450" t="str">
        <f>IF(Lab_Data[[#This Row],[Attrition]]="Yes","Failed","Completed")</f>
        <v>Completed</v>
      </c>
      <c r="AN1450">
        <f>Lab_Data[[#This Row],[YearsAtCompany]]</f>
        <v>5</v>
      </c>
      <c r="AO1450" t="str">
        <f>IF(Lab_Data[[#This Row],[PerformanceRating]]&gt;=3,"Approved","Review Required")</f>
        <v>Approved</v>
      </c>
    </row>
    <row r="1451" spans="1:41"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t="str">
        <f>"LAB-"&amp;Lab_Data[[#This Row],[EmployeeNumber]]</f>
        <v>LAB-2038</v>
      </c>
      <c r="AK1451" t="str">
        <f>Lab_Data[[#This Row],[JobRole]]</f>
        <v>Research Scientist</v>
      </c>
      <c r="AL1451" t="str">
        <f>Lab_Data[[#This Row],[Department]]</f>
        <v>Research &amp; Development</v>
      </c>
      <c r="AM1451" t="str">
        <f>IF(Lab_Data[[#This Row],[Attrition]]="Yes","Failed","Completed")</f>
        <v>Completed</v>
      </c>
      <c r="AN1451">
        <f>Lab_Data[[#This Row],[YearsAtCompany]]</f>
        <v>4</v>
      </c>
      <c r="AO1451" t="str">
        <f>IF(Lab_Data[[#This Row],[PerformanceRating]]&gt;=3,"Approved","Review Required")</f>
        <v>Approved</v>
      </c>
    </row>
    <row r="1452" spans="1:41"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t="str">
        <f>"LAB-"&amp;Lab_Data[[#This Row],[EmployeeNumber]]</f>
        <v>LAB-2040</v>
      </c>
      <c r="AK1452" t="str">
        <f>Lab_Data[[#This Row],[JobRole]]</f>
        <v>Human Resources</v>
      </c>
      <c r="AL1452" t="str">
        <f>Lab_Data[[#This Row],[Department]]</f>
        <v>Human Resources</v>
      </c>
      <c r="AM1452" t="str">
        <f>IF(Lab_Data[[#This Row],[Attrition]]="Yes","Failed","Completed")</f>
        <v>Completed</v>
      </c>
      <c r="AN1452">
        <f>Lab_Data[[#This Row],[YearsAtCompany]]</f>
        <v>9</v>
      </c>
      <c r="AO1452" t="str">
        <f>IF(Lab_Data[[#This Row],[PerformanceRating]]&gt;=3,"Approved","Review Required")</f>
        <v>Approved</v>
      </c>
    </row>
    <row r="1453" spans="1:41"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t="str">
        <f>"LAB-"&amp;Lab_Data[[#This Row],[EmployeeNumber]]</f>
        <v>LAB-2041</v>
      </c>
      <c r="AK1453" t="str">
        <f>Lab_Data[[#This Row],[JobRole]]</f>
        <v>Sales Executive</v>
      </c>
      <c r="AL1453" t="str">
        <f>Lab_Data[[#This Row],[Department]]</f>
        <v>Sales</v>
      </c>
      <c r="AM1453" t="str">
        <f>IF(Lab_Data[[#This Row],[Attrition]]="Yes","Failed","Completed")</f>
        <v>Completed</v>
      </c>
      <c r="AN1453">
        <f>Lab_Data[[#This Row],[YearsAtCompany]]</f>
        <v>10</v>
      </c>
      <c r="AO1453" t="str">
        <f>IF(Lab_Data[[#This Row],[PerformanceRating]]&gt;=3,"Approved","Review Required")</f>
        <v>Approved</v>
      </c>
    </row>
    <row r="1454" spans="1:41"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t="str">
        <f>"LAB-"&amp;Lab_Data[[#This Row],[EmployeeNumber]]</f>
        <v>LAB-2044</v>
      </c>
      <c r="AK1454" t="str">
        <f>Lab_Data[[#This Row],[JobRole]]</f>
        <v>Sales Executive</v>
      </c>
      <c r="AL1454" t="str">
        <f>Lab_Data[[#This Row],[Department]]</f>
        <v>Sales</v>
      </c>
      <c r="AM1454" t="str">
        <f>IF(Lab_Data[[#This Row],[Attrition]]="Yes","Failed","Completed")</f>
        <v>Failed</v>
      </c>
      <c r="AN1454">
        <f>Lab_Data[[#This Row],[YearsAtCompany]]</f>
        <v>6</v>
      </c>
      <c r="AO1454" t="str">
        <f>IF(Lab_Data[[#This Row],[PerformanceRating]]&gt;=3,"Approved","Review Required")</f>
        <v>Approved</v>
      </c>
    </row>
    <row r="1455" spans="1:41"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t="str">
        <f>"LAB-"&amp;Lab_Data[[#This Row],[EmployeeNumber]]</f>
        <v>LAB-2045</v>
      </c>
      <c r="AK1455" t="str">
        <f>Lab_Data[[#This Row],[JobRole]]</f>
        <v>Sales Executive</v>
      </c>
      <c r="AL1455" t="str">
        <f>Lab_Data[[#This Row],[Department]]</f>
        <v>Sales</v>
      </c>
      <c r="AM1455" t="str">
        <f>IF(Lab_Data[[#This Row],[Attrition]]="Yes","Failed","Completed")</f>
        <v>Completed</v>
      </c>
      <c r="AN1455">
        <f>Lab_Data[[#This Row],[YearsAtCompany]]</f>
        <v>6</v>
      </c>
      <c r="AO1455" t="str">
        <f>IF(Lab_Data[[#This Row],[PerformanceRating]]&gt;=3,"Approved","Review Required")</f>
        <v>Approved</v>
      </c>
    </row>
    <row r="1456" spans="1:41"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t="str">
        <f>"LAB-"&amp;Lab_Data[[#This Row],[EmployeeNumber]]</f>
        <v>LAB-2046</v>
      </c>
      <c r="AK1456" t="str">
        <f>Lab_Data[[#This Row],[JobRole]]</f>
        <v>Sales Executive</v>
      </c>
      <c r="AL1456" t="str">
        <f>Lab_Data[[#This Row],[Department]]</f>
        <v>Sales</v>
      </c>
      <c r="AM1456" t="str">
        <f>IF(Lab_Data[[#This Row],[Attrition]]="Yes","Failed","Completed")</f>
        <v>Completed</v>
      </c>
      <c r="AN1456">
        <f>Lab_Data[[#This Row],[YearsAtCompany]]</f>
        <v>5</v>
      </c>
      <c r="AO1456" t="str">
        <f>IF(Lab_Data[[#This Row],[PerformanceRating]]&gt;=3,"Approved","Review Required")</f>
        <v>Approved</v>
      </c>
    </row>
    <row r="1457" spans="1:41"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t="str">
        <f>"LAB-"&amp;Lab_Data[[#This Row],[EmployeeNumber]]</f>
        <v>LAB-2048</v>
      </c>
      <c r="AK1457" t="str">
        <f>Lab_Data[[#This Row],[JobRole]]</f>
        <v>Research Scientist</v>
      </c>
      <c r="AL1457" t="str">
        <f>Lab_Data[[#This Row],[Department]]</f>
        <v>Research &amp; Development</v>
      </c>
      <c r="AM1457" t="str">
        <f>IF(Lab_Data[[#This Row],[Attrition]]="Yes","Failed","Completed")</f>
        <v>Completed</v>
      </c>
      <c r="AN1457">
        <f>Lab_Data[[#This Row],[YearsAtCompany]]</f>
        <v>2</v>
      </c>
      <c r="AO1457" t="str">
        <f>IF(Lab_Data[[#This Row],[PerformanceRating]]&gt;=3,"Approved","Review Required")</f>
        <v>Approved</v>
      </c>
    </row>
    <row r="1458" spans="1:41"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t="str">
        <f>"LAB-"&amp;Lab_Data[[#This Row],[EmployeeNumber]]</f>
        <v>LAB-2049</v>
      </c>
      <c r="AK1458" t="str">
        <f>Lab_Data[[#This Row],[JobRole]]</f>
        <v>Healthcare Representative</v>
      </c>
      <c r="AL1458" t="str">
        <f>Lab_Data[[#This Row],[Department]]</f>
        <v>Research &amp; Development</v>
      </c>
      <c r="AM1458" t="str">
        <f>IF(Lab_Data[[#This Row],[Attrition]]="Yes","Failed","Completed")</f>
        <v>Completed</v>
      </c>
      <c r="AN1458">
        <f>Lab_Data[[#This Row],[YearsAtCompany]]</f>
        <v>10</v>
      </c>
      <c r="AO1458" t="str">
        <f>IF(Lab_Data[[#This Row],[PerformanceRating]]&gt;=3,"Approved","Review Required")</f>
        <v>Approved</v>
      </c>
    </row>
    <row r="1459" spans="1:41"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t="str">
        <f>"LAB-"&amp;Lab_Data[[#This Row],[EmployeeNumber]]</f>
        <v>LAB-2051</v>
      </c>
      <c r="AK1459" t="str">
        <f>Lab_Data[[#This Row],[JobRole]]</f>
        <v>Research Scientist</v>
      </c>
      <c r="AL1459" t="str">
        <f>Lab_Data[[#This Row],[Department]]</f>
        <v>Research &amp; Development</v>
      </c>
      <c r="AM1459" t="str">
        <f>IF(Lab_Data[[#This Row],[Attrition]]="Yes","Failed","Completed")</f>
        <v>Completed</v>
      </c>
      <c r="AN1459">
        <f>Lab_Data[[#This Row],[YearsAtCompany]]</f>
        <v>5</v>
      </c>
      <c r="AO1459" t="str">
        <f>IF(Lab_Data[[#This Row],[PerformanceRating]]&gt;=3,"Approved","Review Required")</f>
        <v>Approved</v>
      </c>
    </row>
    <row r="1460" spans="1:41"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t="str">
        <f>"LAB-"&amp;Lab_Data[[#This Row],[EmployeeNumber]]</f>
        <v>LAB-2052</v>
      </c>
      <c r="AK1460" t="str">
        <f>Lab_Data[[#This Row],[JobRole]]</f>
        <v>Research Scientist</v>
      </c>
      <c r="AL1460" t="str">
        <f>Lab_Data[[#This Row],[Department]]</f>
        <v>Research &amp; Development</v>
      </c>
      <c r="AM1460" t="str">
        <f>IF(Lab_Data[[#This Row],[Attrition]]="Yes","Failed","Completed")</f>
        <v>Completed</v>
      </c>
      <c r="AN1460">
        <f>Lab_Data[[#This Row],[YearsAtCompany]]</f>
        <v>4</v>
      </c>
      <c r="AO1460" t="str">
        <f>IF(Lab_Data[[#This Row],[PerformanceRating]]&gt;=3,"Approved","Review Required")</f>
        <v>Approved</v>
      </c>
    </row>
    <row r="1461" spans="1:41"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t="str">
        <f>"LAB-"&amp;Lab_Data[[#This Row],[EmployeeNumber]]</f>
        <v>LAB-2053</v>
      </c>
      <c r="AK1461" t="str">
        <f>Lab_Data[[#This Row],[JobRole]]</f>
        <v>Laboratory Technician</v>
      </c>
      <c r="AL1461" t="str">
        <f>Lab_Data[[#This Row],[Department]]</f>
        <v>Research &amp; Development</v>
      </c>
      <c r="AM1461" t="str">
        <f>IF(Lab_Data[[#This Row],[Attrition]]="Yes","Failed","Completed")</f>
        <v>Completed</v>
      </c>
      <c r="AN1461">
        <f>Lab_Data[[#This Row],[YearsAtCompany]]</f>
        <v>4</v>
      </c>
      <c r="AO1461" t="str">
        <f>IF(Lab_Data[[#This Row],[PerformanceRating]]&gt;=3,"Approved","Review Required")</f>
        <v>Approved</v>
      </c>
    </row>
    <row r="1462" spans="1:41"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t="str">
        <f>"LAB-"&amp;Lab_Data[[#This Row],[EmployeeNumber]]</f>
        <v>LAB-2054</v>
      </c>
      <c r="AK1462" t="str">
        <f>Lab_Data[[#This Row],[JobRole]]</f>
        <v>Research Scientist</v>
      </c>
      <c r="AL1462" t="str">
        <f>Lab_Data[[#This Row],[Department]]</f>
        <v>Research &amp; Development</v>
      </c>
      <c r="AM1462" t="str">
        <f>IF(Lab_Data[[#This Row],[Attrition]]="Yes","Failed","Completed")</f>
        <v>Completed</v>
      </c>
      <c r="AN1462">
        <f>Lab_Data[[#This Row],[YearsAtCompany]]</f>
        <v>5</v>
      </c>
      <c r="AO1462" t="str">
        <f>IF(Lab_Data[[#This Row],[PerformanceRating]]&gt;=3,"Approved","Review Required")</f>
        <v>Approved</v>
      </c>
    </row>
    <row r="1463" spans="1:41"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t="str">
        <f>"LAB-"&amp;Lab_Data[[#This Row],[EmployeeNumber]]</f>
        <v>LAB-2055</v>
      </c>
      <c r="AK1463" t="str">
        <f>Lab_Data[[#This Row],[JobRole]]</f>
        <v>Sales Executive</v>
      </c>
      <c r="AL1463" t="str">
        <f>Lab_Data[[#This Row],[Department]]</f>
        <v>Sales</v>
      </c>
      <c r="AM1463" t="str">
        <f>IF(Lab_Data[[#This Row],[Attrition]]="Yes","Failed","Completed")</f>
        <v>Failed</v>
      </c>
      <c r="AN1463">
        <f>Lab_Data[[#This Row],[YearsAtCompany]]</f>
        <v>3</v>
      </c>
      <c r="AO1463" t="str">
        <f>IF(Lab_Data[[#This Row],[PerformanceRating]]&gt;=3,"Approved","Review Required")</f>
        <v>Approved</v>
      </c>
    </row>
    <row r="1464" spans="1:41"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t="str">
        <f>"LAB-"&amp;Lab_Data[[#This Row],[EmployeeNumber]]</f>
        <v>LAB-2056</v>
      </c>
      <c r="AK1464" t="str">
        <f>Lab_Data[[#This Row],[JobRole]]</f>
        <v>Sales Executive</v>
      </c>
      <c r="AL1464" t="str">
        <f>Lab_Data[[#This Row],[Department]]</f>
        <v>Sales</v>
      </c>
      <c r="AM1464" t="str">
        <f>IF(Lab_Data[[#This Row],[Attrition]]="Yes","Failed","Completed")</f>
        <v>Completed</v>
      </c>
      <c r="AN1464">
        <f>Lab_Data[[#This Row],[YearsAtCompany]]</f>
        <v>20</v>
      </c>
      <c r="AO1464" t="str">
        <f>IF(Lab_Data[[#This Row],[PerformanceRating]]&gt;=3,"Approved","Review Required")</f>
        <v>Approved</v>
      </c>
    </row>
    <row r="1465" spans="1:41"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t="str">
        <f>"LAB-"&amp;Lab_Data[[#This Row],[EmployeeNumber]]</f>
        <v>LAB-2057</v>
      </c>
      <c r="AK1465" t="str">
        <f>Lab_Data[[#This Row],[JobRole]]</f>
        <v>Manufacturing Director</v>
      </c>
      <c r="AL1465" t="str">
        <f>Lab_Data[[#This Row],[Department]]</f>
        <v>Research &amp; Development</v>
      </c>
      <c r="AM1465" t="str">
        <f>IF(Lab_Data[[#This Row],[Attrition]]="Yes","Failed","Completed")</f>
        <v>Completed</v>
      </c>
      <c r="AN1465">
        <f>Lab_Data[[#This Row],[YearsAtCompany]]</f>
        <v>9</v>
      </c>
      <c r="AO1465" t="str">
        <f>IF(Lab_Data[[#This Row],[PerformanceRating]]&gt;=3,"Approved","Review Required")</f>
        <v>Approved</v>
      </c>
    </row>
    <row r="1466" spans="1:41"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t="str">
        <f>"LAB-"&amp;Lab_Data[[#This Row],[EmployeeNumber]]</f>
        <v>LAB-2060</v>
      </c>
      <c r="AK1466" t="str">
        <f>Lab_Data[[#This Row],[JobRole]]</f>
        <v>Sales Representative</v>
      </c>
      <c r="AL1466" t="str">
        <f>Lab_Data[[#This Row],[Department]]</f>
        <v>Sales</v>
      </c>
      <c r="AM1466" t="str">
        <f>IF(Lab_Data[[#This Row],[Attrition]]="Yes","Failed","Completed")</f>
        <v>Completed</v>
      </c>
      <c r="AN1466">
        <f>Lab_Data[[#This Row],[YearsAtCompany]]</f>
        <v>4</v>
      </c>
      <c r="AO1466" t="str">
        <f>IF(Lab_Data[[#This Row],[PerformanceRating]]&gt;=3,"Approved","Review Required")</f>
        <v>Approved</v>
      </c>
    </row>
    <row r="1467" spans="1:41"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t="str">
        <f>"LAB-"&amp;Lab_Data[[#This Row],[EmployeeNumber]]</f>
        <v>LAB-2061</v>
      </c>
      <c r="AK1467" t="str">
        <f>Lab_Data[[#This Row],[JobRole]]</f>
        <v>Laboratory Technician</v>
      </c>
      <c r="AL1467" t="str">
        <f>Lab_Data[[#This Row],[Department]]</f>
        <v>Research &amp; Development</v>
      </c>
      <c r="AM1467" t="str">
        <f>IF(Lab_Data[[#This Row],[Attrition]]="Yes","Failed","Completed")</f>
        <v>Completed</v>
      </c>
      <c r="AN1467">
        <f>Lab_Data[[#This Row],[YearsAtCompany]]</f>
        <v>5</v>
      </c>
      <c r="AO1467" t="str">
        <f>IF(Lab_Data[[#This Row],[PerformanceRating]]&gt;=3,"Approved","Review Required")</f>
        <v>Approved</v>
      </c>
    </row>
    <row r="1468" spans="1:41"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t="str">
        <f>"LAB-"&amp;Lab_Data[[#This Row],[EmployeeNumber]]</f>
        <v>LAB-2062</v>
      </c>
      <c r="AK1468" t="str">
        <f>Lab_Data[[#This Row],[JobRole]]</f>
        <v>Healthcare Representative</v>
      </c>
      <c r="AL1468" t="str">
        <f>Lab_Data[[#This Row],[Department]]</f>
        <v>Research &amp; Development</v>
      </c>
      <c r="AM1468" t="str">
        <f>IF(Lab_Data[[#This Row],[Attrition]]="Yes","Failed","Completed")</f>
        <v>Completed</v>
      </c>
      <c r="AN1468">
        <f>Lab_Data[[#This Row],[YearsAtCompany]]</f>
        <v>7</v>
      </c>
      <c r="AO1468" t="str">
        <f>IF(Lab_Data[[#This Row],[PerformanceRating]]&gt;=3,"Approved","Review Required")</f>
        <v>Approved</v>
      </c>
    </row>
    <row r="1469" spans="1:41"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t="str">
        <f>"LAB-"&amp;Lab_Data[[#This Row],[EmployeeNumber]]</f>
        <v>LAB-2064</v>
      </c>
      <c r="AK1469" t="str">
        <f>Lab_Data[[#This Row],[JobRole]]</f>
        <v>Manufacturing Director</v>
      </c>
      <c r="AL1469" t="str">
        <f>Lab_Data[[#This Row],[Department]]</f>
        <v>Research &amp; Development</v>
      </c>
      <c r="AM1469" t="str">
        <f>IF(Lab_Data[[#This Row],[Attrition]]="Yes","Failed","Completed")</f>
        <v>Completed</v>
      </c>
      <c r="AN1469">
        <f>Lab_Data[[#This Row],[YearsAtCompany]]</f>
        <v>6</v>
      </c>
      <c r="AO1469" t="str">
        <f>IF(Lab_Data[[#This Row],[PerformanceRating]]&gt;=3,"Approved","Review Required")</f>
        <v>Approved</v>
      </c>
    </row>
    <row r="1470" spans="1:41"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t="str">
        <f>"LAB-"&amp;Lab_Data[[#This Row],[EmployeeNumber]]</f>
        <v>LAB-2065</v>
      </c>
      <c r="AK1470" t="str">
        <f>Lab_Data[[#This Row],[JobRole]]</f>
        <v>Sales Executive</v>
      </c>
      <c r="AL1470" t="str">
        <f>Lab_Data[[#This Row],[Department]]</f>
        <v>Sales</v>
      </c>
      <c r="AM1470" t="str">
        <f>IF(Lab_Data[[#This Row],[Attrition]]="Yes","Failed","Completed")</f>
        <v>Completed</v>
      </c>
      <c r="AN1470">
        <f>Lab_Data[[#This Row],[YearsAtCompany]]</f>
        <v>9</v>
      </c>
      <c r="AO1470" t="str">
        <f>IF(Lab_Data[[#This Row],[PerformanceRating]]&gt;=3,"Approved","Review Required")</f>
        <v>Approved</v>
      </c>
    </row>
    <row r="1471" spans="1:41"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t="str">
        <f>"LAB-"&amp;Lab_Data[[#This Row],[EmployeeNumber]]</f>
        <v>LAB-2068</v>
      </c>
      <c r="AK1471" t="str">
        <f>Lab_Data[[#This Row],[JobRole]]</f>
        <v>Laboratory Technician</v>
      </c>
      <c r="AL1471" t="str">
        <f>Lab_Data[[#This Row],[Department]]</f>
        <v>Research &amp; Development</v>
      </c>
      <c r="AM1471" t="str">
        <f>IF(Lab_Data[[#This Row],[Attrition]]="Yes","Failed","Completed")</f>
        <v>Completed</v>
      </c>
      <c r="AN1471">
        <f>Lab_Data[[#This Row],[YearsAtCompany]]</f>
        <v>4</v>
      </c>
      <c r="AO1471" t="str">
        <f>IF(Lab_Data[[#This Row],[PerformanceRating]]&gt;=3,"Approved","Review Required")</f>
        <v>Approved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7A436-CAEE-45B3-A83D-377630731299}">
  <sheetPr>
    <pageSetUpPr fitToPage="1"/>
  </sheetPr>
  <dimension ref="A1:O4"/>
  <sheetViews>
    <sheetView showGridLines="0" tabSelected="1" zoomScale="84" zoomScaleNormal="84" workbookViewId="0">
      <selection activeCell="I13" sqref="I13"/>
    </sheetView>
  </sheetViews>
  <sheetFormatPr defaultRowHeight="14.5" x14ac:dyDescent="0.35"/>
  <cols>
    <col min="1" max="1" width="24.81640625" customWidth="1"/>
    <col min="2" max="2" width="26.54296875" customWidth="1"/>
    <col min="3" max="3" width="25.7265625" customWidth="1"/>
    <col min="4" max="4" width="33.36328125" customWidth="1"/>
    <col min="5" max="5" width="31.6328125" customWidth="1"/>
    <col min="6" max="6" width="5" customWidth="1"/>
    <col min="15" max="15" width="8.81640625" customWidth="1"/>
  </cols>
  <sheetData>
    <row r="1" spans="1:15" ht="14.5" customHeight="1" x14ac:dyDescent="0.35">
      <c r="A1" s="15" t="s">
        <v>79</v>
      </c>
      <c r="B1" s="15"/>
      <c r="C1" s="15"/>
      <c r="D1" s="15"/>
      <c r="E1" s="15"/>
      <c r="F1" s="15"/>
      <c r="G1" s="5"/>
      <c r="H1" s="5"/>
      <c r="I1" s="5"/>
      <c r="J1" s="5"/>
      <c r="K1" s="5"/>
      <c r="L1" s="5"/>
      <c r="M1" s="5"/>
      <c r="N1" s="5"/>
      <c r="O1" s="5"/>
    </row>
    <row r="2" spans="1:15" ht="14.5" customHeight="1" x14ac:dyDescent="0.35">
      <c r="A2" s="15"/>
      <c r="B2" s="15"/>
      <c r="C2" s="15"/>
      <c r="D2" s="15"/>
      <c r="E2" s="15"/>
      <c r="F2" s="15"/>
      <c r="G2" s="5"/>
      <c r="H2" s="5"/>
      <c r="I2" s="5"/>
      <c r="J2" s="5"/>
      <c r="K2" s="5"/>
      <c r="L2" s="5"/>
      <c r="M2" s="5"/>
      <c r="N2" s="5"/>
      <c r="O2" s="5"/>
    </row>
    <row r="3" spans="1:15" ht="23.5" x14ac:dyDescent="0.35">
      <c r="A3" s="6" t="s">
        <v>68</v>
      </c>
      <c r="B3" s="7" t="s">
        <v>80</v>
      </c>
      <c r="C3" s="8" t="s">
        <v>81</v>
      </c>
      <c r="D3" s="9" t="s">
        <v>83</v>
      </c>
      <c r="E3" s="16" t="s">
        <v>82</v>
      </c>
      <c r="F3" s="16"/>
    </row>
    <row r="4" spans="1:15" ht="23.5" x14ac:dyDescent="0.35">
      <c r="A4" s="12">
        <f>COUNTA(Lab_Data[Sample_ID])</f>
        <v>1470</v>
      </c>
      <c r="B4" s="13">
        <f>KPI!C4/A4</f>
        <v>0.83877551020408159</v>
      </c>
      <c r="C4" s="11">
        <f>KPI!E4/A4</f>
        <v>0.16122448979591836</v>
      </c>
      <c r="D4" s="10">
        <f>KPI!A7</f>
        <v>1</v>
      </c>
      <c r="E4" s="17">
        <f>AVERAGE(Lab_Data[Test_Duration_Days])</f>
        <v>7.0081632653061225</v>
      </c>
      <c r="F4" s="17"/>
    </row>
  </sheetData>
  <mergeCells count="3">
    <mergeCell ref="A1:F2"/>
    <mergeCell ref="E3:F3"/>
    <mergeCell ref="E4:F4"/>
  </mergeCells>
  <pageMargins left="0.7" right="0.7" top="0.75" bottom="0.75" header="0.3" footer="0.3"/>
  <pageSetup paperSize="9" scale="72"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F03D7-BB2D-4B41-B1AF-FA8B1555B1D1}">
  <dimension ref="A3:I7"/>
  <sheetViews>
    <sheetView workbookViewId="0">
      <selection activeCell="A7" sqref="A7"/>
    </sheetView>
  </sheetViews>
  <sheetFormatPr defaultRowHeight="14.5" x14ac:dyDescent="0.35"/>
  <cols>
    <col min="1" max="1" width="14.453125" customWidth="1"/>
    <col min="3" max="3" width="15.453125" customWidth="1"/>
    <col min="5" max="5" width="13" customWidth="1"/>
    <col min="7" max="7" width="14.90625" customWidth="1"/>
    <col min="9" max="9" width="19.54296875" customWidth="1"/>
  </cols>
  <sheetData>
    <row r="3" spans="1:9" x14ac:dyDescent="0.35">
      <c r="A3" s="1" t="s">
        <v>68</v>
      </c>
      <c r="C3" s="1" t="s">
        <v>69</v>
      </c>
      <c r="E3" s="1" t="s">
        <v>70</v>
      </c>
      <c r="G3" s="1" t="s">
        <v>71</v>
      </c>
      <c r="I3" s="1" t="s">
        <v>72</v>
      </c>
    </row>
    <row r="4" spans="1:9" x14ac:dyDescent="0.35">
      <c r="A4" s="1">
        <f>COUNTA(Lab_Data[Sample_ID])</f>
        <v>1470</v>
      </c>
      <c r="C4" s="1">
        <f>COUNTIF(Lab_Data[Test_Result],"Completed")</f>
        <v>1233</v>
      </c>
      <c r="E4" s="1">
        <f>COUNTIF(Lab_Data[Test_Result],"Failed")</f>
        <v>237</v>
      </c>
      <c r="G4" s="4">
        <f>C4/A4</f>
        <v>0.83877551020408159</v>
      </c>
      <c r="I4" s="1">
        <f>AVERAGE(Lab_Data[Test_Duration_Days])</f>
        <v>7.0081632653061225</v>
      </c>
    </row>
    <row r="7" spans="1:9" x14ac:dyDescent="0.35">
      <c r="A7" s="14">
        <f>COUNTIF(Lab_Data!AO2:AO1471,"Approved")/A4</f>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79D3A-8243-4827-8F0C-91E16B52047F}">
  <dimension ref="A1:F19"/>
  <sheetViews>
    <sheetView topLeftCell="B1" workbookViewId="0">
      <selection activeCell="F4" sqref="F4"/>
    </sheetView>
  </sheetViews>
  <sheetFormatPr defaultRowHeight="14.5" x14ac:dyDescent="0.35"/>
  <cols>
    <col min="1" max="1" width="22.08984375" bestFit="1" customWidth="1"/>
    <col min="2" max="2" width="23" bestFit="1" customWidth="1"/>
    <col min="3" max="3" width="17.6328125" bestFit="1" customWidth="1"/>
    <col min="5" max="5" width="12.36328125" bestFit="1" customWidth="1"/>
    <col min="6" max="6" width="17.6328125" bestFit="1" customWidth="1"/>
  </cols>
  <sheetData>
    <row r="1" spans="1:6" x14ac:dyDescent="0.35">
      <c r="A1" s="2" t="s">
        <v>73</v>
      </c>
      <c r="B1" t="s">
        <v>75</v>
      </c>
    </row>
    <row r="2" spans="1:6" x14ac:dyDescent="0.35">
      <c r="A2" s="3" t="s">
        <v>61</v>
      </c>
      <c r="B2">
        <v>63</v>
      </c>
      <c r="E2" s="2" t="s">
        <v>73</v>
      </c>
      <c r="F2" t="s">
        <v>75</v>
      </c>
    </row>
    <row r="3" spans="1:6" x14ac:dyDescent="0.35">
      <c r="A3" s="3" t="s">
        <v>45</v>
      </c>
      <c r="B3">
        <v>961</v>
      </c>
      <c r="E3" s="3" t="s">
        <v>76</v>
      </c>
      <c r="F3">
        <v>1233</v>
      </c>
    </row>
    <row r="4" spans="1:6" x14ac:dyDescent="0.35">
      <c r="A4" s="3" t="s">
        <v>37</v>
      </c>
      <c r="B4">
        <v>446</v>
      </c>
      <c r="E4" s="3" t="s">
        <v>77</v>
      </c>
      <c r="F4">
        <v>237</v>
      </c>
    </row>
    <row r="5" spans="1:6" x14ac:dyDescent="0.35">
      <c r="A5" s="3" t="s">
        <v>74</v>
      </c>
      <c r="B5">
        <v>1470</v>
      </c>
      <c r="E5" s="3" t="s">
        <v>74</v>
      </c>
      <c r="F5">
        <v>1470</v>
      </c>
    </row>
    <row r="9" spans="1:6" x14ac:dyDescent="0.35">
      <c r="B9" s="2" t="s">
        <v>73</v>
      </c>
      <c r="C9" t="s">
        <v>75</v>
      </c>
    </row>
    <row r="10" spans="1:6" x14ac:dyDescent="0.35">
      <c r="B10" s="3" t="s">
        <v>54</v>
      </c>
      <c r="C10">
        <v>131</v>
      </c>
    </row>
    <row r="11" spans="1:6" x14ac:dyDescent="0.35">
      <c r="B11" s="3" t="s">
        <v>61</v>
      </c>
      <c r="C11">
        <v>52</v>
      </c>
      <c r="E11" s="2" t="s">
        <v>73</v>
      </c>
      <c r="F11" t="s">
        <v>75</v>
      </c>
    </row>
    <row r="12" spans="1:6" x14ac:dyDescent="0.35">
      <c r="B12" s="3" t="s">
        <v>50</v>
      </c>
      <c r="C12">
        <v>259</v>
      </c>
      <c r="E12" s="3" t="s">
        <v>78</v>
      </c>
      <c r="F12">
        <v>1470</v>
      </c>
    </row>
    <row r="13" spans="1:6" x14ac:dyDescent="0.35">
      <c r="B13" s="3" t="s">
        <v>56</v>
      </c>
      <c r="C13">
        <v>102</v>
      </c>
      <c r="E13" s="3" t="s">
        <v>74</v>
      </c>
      <c r="F13">
        <v>1470</v>
      </c>
    </row>
    <row r="14" spans="1:6" x14ac:dyDescent="0.35">
      <c r="B14" s="3" t="s">
        <v>53</v>
      </c>
      <c r="C14">
        <v>145</v>
      </c>
    </row>
    <row r="15" spans="1:6" x14ac:dyDescent="0.35">
      <c r="B15" s="3" t="s">
        <v>58</v>
      </c>
      <c r="C15">
        <v>80</v>
      </c>
    </row>
    <row r="16" spans="1:6" x14ac:dyDescent="0.35">
      <c r="B16" s="3" t="s">
        <v>47</v>
      </c>
      <c r="C16">
        <v>292</v>
      </c>
    </row>
    <row r="17" spans="2:3" x14ac:dyDescent="0.35">
      <c r="B17" s="3" t="s">
        <v>40</v>
      </c>
      <c r="C17">
        <v>326</v>
      </c>
    </row>
    <row r="18" spans="2:3" x14ac:dyDescent="0.35">
      <c r="B18" s="3" t="s">
        <v>57</v>
      </c>
      <c r="C18">
        <v>83</v>
      </c>
    </row>
    <row r="19" spans="2:3" x14ac:dyDescent="0.35">
      <c r="B19" s="3" t="s">
        <v>74</v>
      </c>
      <c r="C19">
        <v>1470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2DB924-13EC-437A-A49D-D22216E8BD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Lab_Data</vt:lpstr>
      <vt:lpstr>Dashboard</vt:lpstr>
      <vt:lpstr>KPI</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Harriet Esewe</dc:creator>
  <cp:lastModifiedBy>Harriet Esewe</cp:lastModifiedBy>
  <cp:lastPrinted>2026-02-19T02:55:48Z</cp:lastPrinted>
  <dcterms:created xsi:type="dcterms:W3CDTF">2026-02-18T22:59:35Z</dcterms:created>
  <dcterms:modified xsi:type="dcterms:W3CDTF">2026-02-19T02:56:20Z</dcterms:modified>
</cp:coreProperties>
</file>